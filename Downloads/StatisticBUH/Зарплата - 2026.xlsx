
<file path=[Content_Types].xml><?xml version="1.0" encoding="utf-8"?>
<Types xmlns="http://schemas.openxmlformats.org/package/2006/content-types">
  <Override PartName="/xl/tables/table4.xml" ContentType="application/vnd.openxmlformats-officedocument.spreadsheetml.table+xml"/>
  <Override PartName="/xl/tables/table16.xml" ContentType="application/vnd.openxmlformats-officedocument.spreadsheetml.table+xml"/>
  <Override PartName="/xl/tables/table25.xml" ContentType="application/vnd.openxmlformats-officedocument.spreadsheetml.table+xml"/>
  <Override PartName="/xl/tables/table34.xml" ContentType="application/vnd.openxmlformats-officedocument.spreadsheetml.table+xml"/>
  <Override PartName="/xl/tables/table43.xml" ContentType="application/vnd.openxmlformats-officedocument.spreadsheetml.table+xml"/>
  <Override PartName="/xl/tables/table54.xml" ContentType="application/vnd.openxmlformats-officedocument.spreadsheetml.table+xml"/>
  <Override PartName="/xl/tables/table6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tables/table14.xml" ContentType="application/vnd.openxmlformats-officedocument.spreadsheetml.table+xml"/>
  <Override PartName="/xl/tables/table23.xml" ContentType="application/vnd.openxmlformats-officedocument.spreadsheetml.table+xml"/>
  <Override PartName="/xl/tables/table32.xml" ContentType="application/vnd.openxmlformats-officedocument.spreadsheetml.table+xml"/>
  <Override PartName="/xl/tables/table41.xml" ContentType="application/vnd.openxmlformats-officedocument.spreadsheetml.table+xml"/>
  <Override PartName="/xl/tables/table52.xml" ContentType="application/vnd.openxmlformats-officedocument.spreadsheetml.table+xml"/>
  <Override PartName="/xl/tables/table61.xml" ContentType="application/vnd.openxmlformats-officedocument.spreadsheetml.table+xml"/>
  <Override PartName="/xl/tables/table12.xml" ContentType="application/vnd.openxmlformats-officedocument.spreadsheetml.table+xml"/>
  <Override PartName="/xl/tables/table21.xml" ContentType="application/vnd.openxmlformats-officedocument.spreadsheetml.table+xml"/>
  <Override PartName="/xl/tables/table30.xml" ContentType="application/vnd.openxmlformats-officedocument.spreadsheetml.table+xml"/>
  <Override PartName="/xl/tables/table50.xml" ContentType="application/vnd.openxmlformats-officedocument.spreadsheetml.table+xml"/>
  <Default Extension="rels" ContentType="application/vnd.openxmlformats-package.relationships+xml"/>
  <Default Extension="xml" ContentType="application/xml"/>
  <Override PartName="/xl/tables/table10.xml" ContentType="application/vnd.openxmlformats-officedocument.spreadsheetml.table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tables/table59.xml" ContentType="application/vnd.openxmlformats-officedocument.spreadsheetml.table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19.xml" ContentType="application/vnd.openxmlformats-officedocument.spreadsheetml.table+xml"/>
  <Override PartName="/xl/tables/table29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persons/person.xml" ContentType="application/vnd.ms-excel.person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docProps/core.xml" ContentType="application/vnd.openxmlformats-package.core-properties+xml"/>
  <Override PartName="/xl/tables/table3.xml" ContentType="application/vnd.openxmlformats-officedocument.spreadsheetml.table+xml"/>
  <Override PartName="/xl/tables/table15.xml" ContentType="application/vnd.openxmlformats-officedocument.spreadsheetml.table+xml"/>
  <Override PartName="/xl/tables/table24.xml" ContentType="application/vnd.openxmlformats-officedocument.spreadsheetml.table+xml"/>
  <Override PartName="/xl/tables/table35.xml" ContentType="application/vnd.openxmlformats-officedocument.spreadsheetml.table+xml"/>
  <Override PartName="/xl/tables/table44.xml" ContentType="application/vnd.openxmlformats-officedocument.spreadsheetml.table+xml"/>
  <Override PartName="/xl/tables/table53.xml" ContentType="application/vnd.openxmlformats-officedocument.spreadsheetml.table+xml"/>
  <Override PartName="/xl/tables/table62.xml" ContentType="application/vnd.openxmlformats-officedocument.spreadsheetml.table+xml"/>
  <Override PartName="/xl/tables/table1.xml" ContentType="application/vnd.openxmlformats-officedocument.spreadsheetml.table+xml"/>
  <Override PartName="/xl/tables/table13.xml" ContentType="application/vnd.openxmlformats-officedocument.spreadsheetml.table+xml"/>
  <Override PartName="/xl/tables/table22.xml" ContentType="application/vnd.openxmlformats-officedocument.spreadsheetml.table+xml"/>
  <Override PartName="/xl/tables/table33.xml" ContentType="application/vnd.openxmlformats-officedocument.spreadsheetml.table+xml"/>
  <Override PartName="/xl/tables/table42.xml" ContentType="application/vnd.openxmlformats-officedocument.spreadsheetml.table+xml"/>
  <Override PartName="/xl/tables/table51.xml" ContentType="application/vnd.openxmlformats-officedocument.spreadsheetml.table+xml"/>
  <Override PartName="/xl/tables/table60.xml" ContentType="application/vnd.openxmlformats-officedocument.spreadsheetml.table+xml"/>
  <Override PartName="/xl/tables/table11.xml" ContentType="application/vnd.openxmlformats-officedocument.spreadsheetml.table+xml"/>
  <Override PartName="/xl/tables/table20.xml" ContentType="application/vnd.openxmlformats-officedocument.spreadsheetml.table+xml"/>
  <Override PartName="/xl/tables/table31.xml" ContentType="application/vnd.openxmlformats-officedocument.spreadsheetml.table+xml"/>
  <Override PartName="/xl/tables/table40.xml" ContentType="application/vnd.openxmlformats-officedocument.spreadsheetml.table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tables/table4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8" yWindow="-108" windowWidth="23256" windowHeight="12576"/>
  </bookViews>
  <sheets>
    <sheet name="квітень" sheetId="4" r:id="rId1"/>
    <sheet name="травень" sheetId="5" r:id="rId2"/>
  </sheets>
  <calcPr calcId="125725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93" i="5"/>
  <c r="AB188"/>
  <c r="AB193" s="1"/>
  <c r="AC184"/>
  <c r="BB165"/>
  <c r="AW164"/>
  <c r="AS164"/>
  <c r="AP164"/>
  <c r="AM164"/>
  <c r="AH164"/>
  <c r="AE164"/>
  <c r="AC164"/>
  <c r="Z164"/>
  <c r="W164"/>
  <c r="AW163"/>
  <c r="AV163"/>
  <c r="AV164" s="1"/>
  <c r="AS163"/>
  <c r="AR163"/>
  <c r="AR164" s="1"/>
  <c r="AQ163"/>
  <c r="AQ164" s="1"/>
  <c r="AP163"/>
  <c r="AO163"/>
  <c r="AO164" s="1"/>
  <c r="AN163"/>
  <c r="AN164" s="1"/>
  <c r="AM163"/>
  <c r="AL163"/>
  <c r="AL164" s="1"/>
  <c r="AJ163"/>
  <c r="AJ164" s="1"/>
  <c r="AI163"/>
  <c r="AI164" s="1"/>
  <c r="AH163"/>
  <c r="AG163"/>
  <c r="AG164" s="1"/>
  <c r="AF163"/>
  <c r="AF164" s="1"/>
  <c r="AE163"/>
  <c r="AD163"/>
  <c r="AD164" s="1"/>
  <c r="AC163"/>
  <c r="Z163"/>
  <c r="W163"/>
  <c r="V163"/>
  <c r="V164" s="1"/>
  <c r="S163"/>
  <c r="S164" s="1"/>
  <c r="Q163"/>
  <c r="Q164" s="1"/>
  <c r="N163"/>
  <c r="N164" s="1"/>
  <c r="K163"/>
  <c r="K164" s="1"/>
  <c r="AY162"/>
  <c r="AX162"/>
  <c r="AZ162" s="1"/>
  <c r="BA162" s="1"/>
  <c r="AU162"/>
  <c r="AT162"/>
  <c r="AK162"/>
  <c r="AJ162"/>
  <c r="BB162" s="1"/>
  <c r="AF162"/>
  <c r="M162"/>
  <c r="M163" s="1"/>
  <c r="M164" s="1"/>
  <c r="G162"/>
  <c r="AU161"/>
  <c r="AJ161"/>
  <c r="Y161"/>
  <c r="S161"/>
  <c r="P161"/>
  <c r="M161"/>
  <c r="AF161" s="1"/>
  <c r="G161"/>
  <c r="AZ160"/>
  <c r="BA160" s="1"/>
  <c r="AY160"/>
  <c r="AX160"/>
  <c r="AU160"/>
  <c r="AK160"/>
  <c r="AT160" s="1"/>
  <c r="AJ160"/>
  <c r="AF160"/>
  <c r="Y160"/>
  <c r="S160"/>
  <c r="P160"/>
  <c r="M160"/>
  <c r="G160"/>
  <c r="AX159"/>
  <c r="AU159"/>
  <c r="AU163" s="1"/>
  <c r="AU164" s="1"/>
  <c r="AJ159"/>
  <c r="AY159" s="1"/>
  <c r="AY163" s="1"/>
  <c r="AY164" s="1"/>
  <c r="Y159"/>
  <c r="S159"/>
  <c r="P159"/>
  <c r="P163" s="1"/>
  <c r="P164" s="1"/>
  <c r="M159"/>
  <c r="AF159" s="1"/>
  <c r="G159"/>
  <c r="BB158"/>
  <c r="BB157"/>
  <c r="BB156"/>
  <c r="AV155"/>
  <c r="AR155"/>
  <c r="AD155"/>
  <c r="Z155"/>
  <c r="S155"/>
  <c r="AW154"/>
  <c r="AV154"/>
  <c r="AS154"/>
  <c r="AS155" s="1"/>
  <c r="AR154"/>
  <c r="AQ154"/>
  <c r="AQ155" s="1"/>
  <c r="AP154"/>
  <c r="AO154"/>
  <c r="AN154"/>
  <c r="AN155" s="1"/>
  <c r="AM154"/>
  <c r="AL154"/>
  <c r="AI154"/>
  <c r="AI155" s="1"/>
  <c r="AH154"/>
  <c r="AH155" s="1"/>
  <c r="AG154"/>
  <c r="AE154"/>
  <c r="AD154"/>
  <c r="AC154"/>
  <c r="AC155" s="1"/>
  <c r="Z154"/>
  <c r="Y154"/>
  <c r="Y155" s="1"/>
  <c r="W154"/>
  <c r="W155" s="1"/>
  <c r="V154"/>
  <c r="V155" s="1"/>
  <c r="S154"/>
  <c r="Q154"/>
  <c r="P154"/>
  <c r="N154"/>
  <c r="N155" s="1"/>
  <c r="K154"/>
  <c r="K155" s="1"/>
  <c r="AU153"/>
  <c r="AJ153"/>
  <c r="M153"/>
  <c r="G153"/>
  <c r="AY152"/>
  <c r="AU152"/>
  <c r="AK152"/>
  <c r="AT152" s="1"/>
  <c r="AJ152"/>
  <c r="BB152" s="1"/>
  <c r="G152"/>
  <c r="AU151"/>
  <c r="AJ151"/>
  <c r="AF151"/>
  <c r="M151"/>
  <c r="AU150"/>
  <c r="AJ150"/>
  <c r="AF150"/>
  <c r="M150"/>
  <c r="G150"/>
  <c r="AX149"/>
  <c r="AU149"/>
  <c r="AJ149"/>
  <c r="AK149" s="1"/>
  <c r="M149"/>
  <c r="G149"/>
  <c r="BB148"/>
  <c r="AW147"/>
  <c r="AW155" s="1"/>
  <c r="AV147"/>
  <c r="AS147"/>
  <c r="AR147"/>
  <c r="AQ147"/>
  <c r="AP147"/>
  <c r="AO147"/>
  <c r="AN147"/>
  <c r="AM147"/>
  <c r="AL147"/>
  <c r="AL155" s="1"/>
  <c r="AI147"/>
  <c r="AH147"/>
  <c r="AG147"/>
  <c r="AE147"/>
  <c r="AD147"/>
  <c r="AC147"/>
  <c r="AB147"/>
  <c r="Z147"/>
  <c r="Y147"/>
  <c r="W147"/>
  <c r="V147"/>
  <c r="S147"/>
  <c r="Q147"/>
  <c r="P147"/>
  <c r="P155" s="1"/>
  <c r="N147"/>
  <c r="K147"/>
  <c r="AY146"/>
  <c r="AU146"/>
  <c r="AK146"/>
  <c r="AJ146"/>
  <c r="M146"/>
  <c r="G146"/>
  <c r="AX145"/>
  <c r="AU145"/>
  <c r="AJ145"/>
  <c r="AF145"/>
  <c r="M145"/>
  <c r="G145"/>
  <c r="AX144"/>
  <c r="AU144"/>
  <c r="AU147" s="1"/>
  <c r="AJ144"/>
  <c r="AF144"/>
  <c r="AF147" s="1"/>
  <c r="M144"/>
  <c r="M147" s="1"/>
  <c r="BB143"/>
  <c r="BB142"/>
  <c r="BB141"/>
  <c r="AW140"/>
  <c r="AO140"/>
  <c r="AN140"/>
  <c r="AM140"/>
  <c r="AG140"/>
  <c r="AE140"/>
  <c r="V140"/>
  <c r="BA139"/>
  <c r="BA140" s="1"/>
  <c r="AW139"/>
  <c r="AV139"/>
  <c r="AV140" s="1"/>
  <c r="AS139"/>
  <c r="AS140" s="1"/>
  <c r="AR139"/>
  <c r="AR140" s="1"/>
  <c r="AQ139"/>
  <c r="AQ140" s="1"/>
  <c r="AP139"/>
  <c r="AP140" s="1"/>
  <c r="AO139"/>
  <c r="AN139"/>
  <c r="AM139"/>
  <c r="AL139"/>
  <c r="AL140" s="1"/>
  <c r="AJ139"/>
  <c r="AI139"/>
  <c r="AI140" s="1"/>
  <c r="AH139"/>
  <c r="AH140" s="1"/>
  <c r="AG139"/>
  <c r="AF139"/>
  <c r="AF140" s="1"/>
  <c r="AE139"/>
  <c r="AD139"/>
  <c r="AD140" s="1"/>
  <c r="AC139"/>
  <c r="AC140" s="1"/>
  <c r="Z139"/>
  <c r="Z140" s="1"/>
  <c r="Y139"/>
  <c r="Y140" s="1"/>
  <c r="W139"/>
  <c r="W140" s="1"/>
  <c r="V139"/>
  <c r="S139"/>
  <c r="S140" s="1"/>
  <c r="Q139"/>
  <c r="Q140" s="1"/>
  <c r="P139"/>
  <c r="P140" s="1"/>
  <c r="N139"/>
  <c r="N140" s="1"/>
  <c r="M139"/>
  <c r="M140" s="1"/>
  <c r="K139"/>
  <c r="K140" s="1"/>
  <c r="AX138"/>
  <c r="AU138"/>
  <c r="AK138"/>
  <c r="AT138" s="1"/>
  <c r="AJ138"/>
  <c r="AF138"/>
  <c r="AY137"/>
  <c r="AU137"/>
  <c r="AU139" s="1"/>
  <c r="AU140" s="1"/>
  <c r="AT137"/>
  <c r="AK137"/>
  <c r="AK139" s="1"/>
  <c r="AK140" s="1"/>
  <c r="AJ137"/>
  <c r="AF137"/>
  <c r="BB136"/>
  <c r="BB135"/>
  <c r="BB134"/>
  <c r="AV132"/>
  <c r="AU132"/>
  <c r="AS132"/>
  <c r="AR132"/>
  <c r="AQ132"/>
  <c r="AO132"/>
  <c r="AN132"/>
  <c r="AN133" s="1"/>
  <c r="AM132"/>
  <c r="AL132"/>
  <c r="AG132"/>
  <c r="AE132"/>
  <c r="AD132"/>
  <c r="Z132"/>
  <c r="Y132"/>
  <c r="W132"/>
  <c r="V132"/>
  <c r="S132"/>
  <c r="Q132"/>
  <c r="P132"/>
  <c r="N132"/>
  <c r="M132"/>
  <c r="K132"/>
  <c r="AU131"/>
  <c r="AI131"/>
  <c r="AF131"/>
  <c r="AF132" s="1"/>
  <c r="M131"/>
  <c r="G131"/>
  <c r="BB130"/>
  <c r="AW129"/>
  <c r="AV129"/>
  <c r="AS129"/>
  <c r="AP129"/>
  <c r="AO129"/>
  <c r="AN129"/>
  <c r="AM129"/>
  <c r="AL129"/>
  <c r="AH129"/>
  <c r="AG129"/>
  <c r="AE129"/>
  <c r="AD129"/>
  <c r="AC129"/>
  <c r="Z129"/>
  <c r="Y129"/>
  <c r="W129"/>
  <c r="V129"/>
  <c r="S129"/>
  <c r="Q129"/>
  <c r="P129"/>
  <c r="N129"/>
  <c r="K129"/>
  <c r="BB128"/>
  <c r="AY128"/>
  <c r="AU128"/>
  <c r="AK128"/>
  <c r="AJ128"/>
  <c r="G128"/>
  <c r="A128"/>
  <c r="AU127"/>
  <c r="AJ127"/>
  <c r="G127"/>
  <c r="AX126"/>
  <c r="AU126"/>
  <c r="AI126"/>
  <c r="AJ126" s="1"/>
  <c r="AF126"/>
  <c r="AF129" s="1"/>
  <c r="M126"/>
  <c r="G126"/>
  <c r="AY125"/>
  <c r="AX125"/>
  <c r="AU125"/>
  <c r="AK125"/>
  <c r="AI125"/>
  <c r="AJ125" s="1"/>
  <c r="M125"/>
  <c r="AF125" s="1"/>
  <c r="G125"/>
  <c r="AU124"/>
  <c r="AI124"/>
  <c r="AJ124" s="1"/>
  <c r="M124"/>
  <c r="AF124" s="1"/>
  <c r="G124"/>
  <c r="A124"/>
  <c r="A125" s="1"/>
  <c r="A126" s="1"/>
  <c r="A127" s="1"/>
  <c r="AR123"/>
  <c r="AR129" s="1"/>
  <c r="AQ123"/>
  <c r="S123"/>
  <c r="AF123" s="1"/>
  <c r="M123"/>
  <c r="M129" s="1"/>
  <c r="BB122"/>
  <c r="BN121"/>
  <c r="BM121"/>
  <c r="BL121"/>
  <c r="BK121"/>
  <c r="BJ121"/>
  <c r="BI121"/>
  <c r="BH121"/>
  <c r="BG121"/>
  <c r="BF121"/>
  <c r="BE121"/>
  <c r="BD121"/>
  <c r="BC121"/>
  <c r="BA121"/>
  <c r="AV121"/>
  <c r="AU121"/>
  <c r="AS121"/>
  <c r="AR121"/>
  <c r="AQ121"/>
  <c r="AP121"/>
  <c r="AO121"/>
  <c r="AO133" s="1"/>
  <c r="AN121"/>
  <c r="AM121"/>
  <c r="AL121"/>
  <c r="AI121"/>
  <c r="AH121"/>
  <c r="AG121"/>
  <c r="AG133" s="1"/>
  <c r="AE121"/>
  <c r="AD121"/>
  <c r="AC121"/>
  <c r="Z121"/>
  <c r="Y121"/>
  <c r="X121"/>
  <c r="W121"/>
  <c r="V121"/>
  <c r="S121"/>
  <c r="R121"/>
  <c r="Q121"/>
  <c r="P121"/>
  <c r="O121"/>
  <c r="N121"/>
  <c r="N133" s="1"/>
  <c r="M121"/>
  <c r="L121"/>
  <c r="K121"/>
  <c r="AU120"/>
  <c r="AJ120"/>
  <c r="AF120"/>
  <c r="AF121" s="1"/>
  <c r="M120"/>
  <c r="G120"/>
  <c r="BB119"/>
  <c r="AW118"/>
  <c r="AV118"/>
  <c r="AS118"/>
  <c r="AS133" s="1"/>
  <c r="AQ118"/>
  <c r="AP118"/>
  <c r="AO118"/>
  <c r="AN118"/>
  <c r="AM118"/>
  <c r="AL118"/>
  <c r="AI118"/>
  <c r="AH118"/>
  <c r="AG118"/>
  <c r="AE118"/>
  <c r="AD118"/>
  <c r="AC118"/>
  <c r="Z118"/>
  <c r="Y118"/>
  <c r="W118"/>
  <c r="V118"/>
  <c r="S118"/>
  <c r="Q118"/>
  <c r="P118"/>
  <c r="N118"/>
  <c r="K118"/>
  <c r="AX117"/>
  <c r="AU117"/>
  <c r="AJ117"/>
  <c r="M117"/>
  <c r="AZ116"/>
  <c r="BA116" s="1"/>
  <c r="AY116"/>
  <c r="AU116"/>
  <c r="AT116"/>
  <c r="AK116"/>
  <c r="AJ116"/>
  <c r="AX116" s="1"/>
  <c r="M116"/>
  <c r="AF116" s="1"/>
  <c r="G116"/>
  <c r="AR115"/>
  <c r="AJ115"/>
  <c r="AF115"/>
  <c r="M115"/>
  <c r="M118" s="1"/>
  <c r="G115"/>
  <c r="BB114"/>
  <c r="BA113"/>
  <c r="AZ113"/>
  <c r="AY113"/>
  <c r="AX113"/>
  <c r="AV113"/>
  <c r="AU113"/>
  <c r="AT113"/>
  <c r="AS113"/>
  <c r="AN113"/>
  <c r="AM113"/>
  <c r="AL113"/>
  <c r="AK113"/>
  <c r="BB113" s="1"/>
  <c r="AJ113"/>
  <c r="AI113"/>
  <c r="AG113"/>
  <c r="AF113"/>
  <c r="AE113"/>
  <c r="AD113"/>
  <c r="Z113"/>
  <c r="Y113"/>
  <c r="W113"/>
  <c r="V113"/>
  <c r="S113"/>
  <c r="Q113"/>
  <c r="P113"/>
  <c r="N113"/>
  <c r="M113"/>
  <c r="K113"/>
  <c r="BB112"/>
  <c r="BB111"/>
  <c r="AW110"/>
  <c r="AV110"/>
  <c r="AS110"/>
  <c r="AR110"/>
  <c r="AQ110"/>
  <c r="AP110"/>
  <c r="AO110"/>
  <c r="AN110"/>
  <c r="AM110"/>
  <c r="AL110"/>
  <c r="AI110"/>
  <c r="AH110"/>
  <c r="AG110"/>
  <c r="AE110"/>
  <c r="AD110"/>
  <c r="AC110"/>
  <c r="AC133" s="1"/>
  <c r="Z110"/>
  <c r="W110"/>
  <c r="V110"/>
  <c r="Q110"/>
  <c r="N110"/>
  <c r="M110"/>
  <c r="K110"/>
  <c r="AU109"/>
  <c r="AJ109"/>
  <c r="Y109"/>
  <c r="S109"/>
  <c r="P109"/>
  <c r="M109"/>
  <c r="G109"/>
  <c r="AY108"/>
  <c r="AU108"/>
  <c r="AJ108"/>
  <c r="AH108"/>
  <c r="Y108"/>
  <c r="Y110" s="1"/>
  <c r="S108"/>
  <c r="S110" s="1"/>
  <c r="P108"/>
  <c r="P110" s="1"/>
  <c r="M108"/>
  <c r="G108"/>
  <c r="BB107"/>
  <c r="AW106"/>
  <c r="AV106"/>
  <c r="AS106"/>
  <c r="AR106"/>
  <c r="AQ106"/>
  <c r="AP106"/>
  <c r="AO106"/>
  <c r="AN106"/>
  <c r="AM106"/>
  <c r="AL106"/>
  <c r="AI106"/>
  <c r="AG106"/>
  <c r="AE106"/>
  <c r="AD106"/>
  <c r="Z106"/>
  <c r="Y106"/>
  <c r="W106"/>
  <c r="V106"/>
  <c r="S106"/>
  <c r="Q106"/>
  <c r="P106"/>
  <c r="N106"/>
  <c r="K106"/>
  <c r="AU105"/>
  <c r="AH105"/>
  <c r="AJ105" s="1"/>
  <c r="AF105"/>
  <c r="G105"/>
  <c r="AU104"/>
  <c r="AK104"/>
  <c r="AH104"/>
  <c r="AJ104" s="1"/>
  <c r="AF104"/>
  <c r="G104"/>
  <c r="AZ103"/>
  <c r="AX103"/>
  <c r="AU103"/>
  <c r="AJ103"/>
  <c r="AY103" s="1"/>
  <c r="AF103"/>
  <c r="G103"/>
  <c r="AU102"/>
  <c r="AH102"/>
  <c r="AF102"/>
  <c r="G102"/>
  <c r="AY101"/>
  <c r="AU101"/>
  <c r="AJ101"/>
  <c r="AF101"/>
  <c r="G101"/>
  <c r="AU100"/>
  <c r="AJ100"/>
  <c r="AF100"/>
  <c r="G100"/>
  <c r="AX99"/>
  <c r="AU99"/>
  <c r="AJ99"/>
  <c r="AK99" s="1"/>
  <c r="BB99" s="1"/>
  <c r="AF99"/>
  <c r="G99"/>
  <c r="AU98"/>
  <c r="AJ98"/>
  <c r="AY98" s="1"/>
  <c r="AF98"/>
  <c r="M98"/>
  <c r="G98"/>
  <c r="AU97"/>
  <c r="AJ97"/>
  <c r="AF97"/>
  <c r="M97"/>
  <c r="G97"/>
  <c r="AX96"/>
  <c r="AU96"/>
  <c r="AK96"/>
  <c r="BB96" s="1"/>
  <c r="AJ96"/>
  <c r="AY96" s="1"/>
  <c r="M96"/>
  <c r="AF96" s="1"/>
  <c r="G96"/>
  <c r="AY95"/>
  <c r="AU95"/>
  <c r="AK95"/>
  <c r="AJ95"/>
  <c r="M95"/>
  <c r="AF95" s="1"/>
  <c r="G95"/>
  <c r="AY94"/>
  <c r="AZ94" s="1"/>
  <c r="BA94" s="1"/>
  <c r="AX94"/>
  <c r="AU94"/>
  <c r="AK94"/>
  <c r="AT94" s="1"/>
  <c r="AJ94"/>
  <c r="BB94" s="1"/>
  <c r="M94"/>
  <c r="AF94" s="1"/>
  <c r="G94"/>
  <c r="AU93"/>
  <c r="AJ93"/>
  <c r="AY93" s="1"/>
  <c r="AF93"/>
  <c r="M93"/>
  <c r="M106" s="1"/>
  <c r="G93"/>
  <c r="A93"/>
  <c r="A94" s="1"/>
  <c r="A95" s="1"/>
  <c r="A96" s="1"/>
  <c r="A97" s="1"/>
  <c r="A98" s="1"/>
  <c r="A99" s="1"/>
  <c r="A100" s="1"/>
  <c r="A101" s="1"/>
  <c r="A102" s="1"/>
  <c r="A103" s="1"/>
  <c r="A104" s="1"/>
  <c r="A105" s="1"/>
  <c r="AU92"/>
  <c r="AU106" s="1"/>
  <c r="AJ92"/>
  <c r="AF92"/>
  <c r="M92"/>
  <c r="G92"/>
  <c r="BB91"/>
  <c r="AW90"/>
  <c r="AV90"/>
  <c r="AS90"/>
  <c r="AO90"/>
  <c r="AN90"/>
  <c r="AM90"/>
  <c r="AL90"/>
  <c r="AG90"/>
  <c r="AE90"/>
  <c r="AD90"/>
  <c r="AC90"/>
  <c r="Z90"/>
  <c r="W90"/>
  <c r="V90"/>
  <c r="Q90"/>
  <c r="N90"/>
  <c r="K90"/>
  <c r="AX89"/>
  <c r="AU89"/>
  <c r="AK89"/>
  <c r="BB89" s="1"/>
  <c r="AJ89"/>
  <c r="AY89" s="1"/>
  <c r="AF89"/>
  <c r="AU88"/>
  <c r="AJ88"/>
  <c r="AF88"/>
  <c r="A88"/>
  <c r="A89" s="1"/>
  <c r="AU87"/>
  <c r="AT87"/>
  <c r="AK87"/>
  <c r="AJ87"/>
  <c r="AF87"/>
  <c r="AY86"/>
  <c r="AZ86" s="1"/>
  <c r="BA86" s="1"/>
  <c r="AX86"/>
  <c r="AU86"/>
  <c r="AT86"/>
  <c r="AK86"/>
  <c r="AJ86"/>
  <c r="BB86" s="1"/>
  <c r="AF86"/>
  <c r="AU85"/>
  <c r="AJ85"/>
  <c r="AF85"/>
  <c r="G85"/>
  <c r="A85"/>
  <c r="A86" s="1"/>
  <c r="A87" s="1"/>
  <c r="AX84"/>
  <c r="AU84"/>
  <c r="AK84"/>
  <c r="BB84" s="1"/>
  <c r="AJ84"/>
  <c r="AY84" s="1"/>
  <c r="AF84"/>
  <c r="A84"/>
  <c r="AU83"/>
  <c r="AJ83"/>
  <c r="AF83"/>
  <c r="S83"/>
  <c r="M83"/>
  <c r="AY82"/>
  <c r="AU82"/>
  <c r="AJ82"/>
  <c r="AZ81"/>
  <c r="AY81"/>
  <c r="AX81"/>
  <c r="AU81"/>
  <c r="AK81"/>
  <c r="AT81" s="1"/>
  <c r="AJ81"/>
  <c r="G81"/>
  <c r="A81"/>
  <c r="A83" s="1"/>
  <c r="AX80"/>
  <c r="AU80"/>
  <c r="AK80"/>
  <c r="BB80" s="1"/>
  <c r="AJ80"/>
  <c r="AY80" s="1"/>
  <c r="AX79"/>
  <c r="AU79"/>
  <c r="AT79"/>
  <c r="AK79"/>
  <c r="AJ79"/>
  <c r="BB79" s="1"/>
  <c r="G79"/>
  <c r="AZ78"/>
  <c r="AY78"/>
  <c r="AX78"/>
  <c r="AU78"/>
  <c r="AK78"/>
  <c r="AT78" s="1"/>
  <c r="AJ78"/>
  <c r="AU77"/>
  <c r="AJ77"/>
  <c r="AY76"/>
  <c r="AU76"/>
  <c r="AT76"/>
  <c r="AK76"/>
  <c r="AJ76"/>
  <c r="AX75"/>
  <c r="AU75"/>
  <c r="AR75"/>
  <c r="AR90" s="1"/>
  <c r="AK75"/>
  <c r="BB75" s="1"/>
  <c r="AJ75"/>
  <c r="AH75"/>
  <c r="Y75"/>
  <c r="S75"/>
  <c r="G75"/>
  <c r="AX74"/>
  <c r="AU74"/>
  <c r="AJ74"/>
  <c r="AK74" s="1"/>
  <c r="AT74" s="1"/>
  <c r="AQ73"/>
  <c r="AF73"/>
  <c r="G73"/>
  <c r="AU72"/>
  <c r="AJ72"/>
  <c r="AK72" s="1"/>
  <c r="AT72" s="1"/>
  <c r="AF72"/>
  <c r="G72"/>
  <c r="AZ71"/>
  <c r="BA71" s="1"/>
  <c r="AY71"/>
  <c r="AX71"/>
  <c r="AU71"/>
  <c r="AK71"/>
  <c r="AT71" s="1"/>
  <c r="AJ71"/>
  <c r="AJ70"/>
  <c r="AF70"/>
  <c r="AQ70" s="1"/>
  <c r="AU70" s="1"/>
  <c r="Y70"/>
  <c r="G70"/>
  <c r="AX69"/>
  <c r="AU69"/>
  <c r="AJ69"/>
  <c r="AY69" s="1"/>
  <c r="Y69"/>
  <c r="AF69" s="1"/>
  <c r="G69"/>
  <c r="AY68"/>
  <c r="AU68"/>
  <c r="AK68"/>
  <c r="AT68" s="1"/>
  <c r="AJ68"/>
  <c r="Y68"/>
  <c r="AF68" s="1"/>
  <c r="G68"/>
  <c r="AU67"/>
  <c r="AJ67"/>
  <c r="Y67"/>
  <c r="AF67" s="1"/>
  <c r="G67"/>
  <c r="AX66"/>
  <c r="AU66"/>
  <c r="AJ66"/>
  <c r="AK66" s="1"/>
  <c r="AF66"/>
  <c r="Y66"/>
  <c r="AZ65"/>
  <c r="BA65" s="1"/>
  <c r="AY65"/>
  <c r="AX65"/>
  <c r="AU65"/>
  <c r="BB65" s="1"/>
  <c r="AK65"/>
  <c r="AJ65"/>
  <c r="AF65"/>
  <c r="G65"/>
  <c r="AU64"/>
  <c r="AJ64"/>
  <c r="AF64"/>
  <c r="G64"/>
  <c r="AX63"/>
  <c r="AU63"/>
  <c r="AK63"/>
  <c r="AJ63"/>
  <c r="AT63" s="1"/>
  <c r="Y63"/>
  <c r="S63"/>
  <c r="P63"/>
  <c r="M63"/>
  <c r="AF63" s="1"/>
  <c r="G63"/>
  <c r="Y62"/>
  <c r="S62"/>
  <c r="P62"/>
  <c r="M62"/>
  <c r="AF62" s="1"/>
  <c r="AP62" s="1"/>
  <c r="G62"/>
  <c r="AU61"/>
  <c r="AJ61"/>
  <c r="AY61" s="1"/>
  <c r="AH61"/>
  <c r="AF61"/>
  <c r="Y61"/>
  <c r="S61"/>
  <c r="P61"/>
  <c r="M61"/>
  <c r="G61"/>
  <c r="AY60"/>
  <c r="AX60"/>
  <c r="AZ60" s="1"/>
  <c r="BA60" s="1"/>
  <c r="AU60"/>
  <c r="AK60"/>
  <c r="AJ60"/>
  <c r="AT60" s="1"/>
  <c r="AF60"/>
  <c r="Y60"/>
  <c r="S60"/>
  <c r="P60"/>
  <c r="M60"/>
  <c r="G60"/>
  <c r="AY59"/>
  <c r="AX59"/>
  <c r="AZ59" s="1"/>
  <c r="BA59" s="1"/>
  <c r="AU59"/>
  <c r="AK59"/>
  <c r="AJ59"/>
  <c r="AT59" s="1"/>
  <c r="AF59"/>
  <c r="Y59"/>
  <c r="S59"/>
  <c r="P59"/>
  <c r="M59"/>
  <c r="G59"/>
  <c r="Y58"/>
  <c r="S58"/>
  <c r="P58"/>
  <c r="M58"/>
  <c r="AF58" s="1"/>
  <c r="AQ58" s="1"/>
  <c r="G58"/>
  <c r="Y57"/>
  <c r="S57"/>
  <c r="P57"/>
  <c r="M57"/>
  <c r="AF57" s="1"/>
  <c r="AQ57" s="1"/>
  <c r="G57"/>
  <c r="Y56"/>
  <c r="S56"/>
  <c r="AF56" s="1"/>
  <c r="AQ56" s="1"/>
  <c r="P56"/>
  <c r="M56"/>
  <c r="G56"/>
  <c r="AY55"/>
  <c r="AX55"/>
  <c r="AZ55" s="1"/>
  <c r="BA55" s="1"/>
  <c r="AU55"/>
  <c r="AT55"/>
  <c r="AK55"/>
  <c r="AJ55"/>
  <c r="BB55" s="1"/>
  <c r="Y55"/>
  <c r="S55"/>
  <c r="AF55" s="1"/>
  <c r="P55"/>
  <c r="M55"/>
  <c r="G55"/>
  <c r="AY54"/>
  <c r="AX54"/>
  <c r="AZ54" s="1"/>
  <c r="BA54" s="1"/>
  <c r="AU54"/>
  <c r="AT54"/>
  <c r="AK54"/>
  <c r="AJ54"/>
  <c r="BB54" s="1"/>
  <c r="Y54"/>
  <c r="S54"/>
  <c r="AF54" s="1"/>
  <c r="P54"/>
  <c r="M54"/>
  <c r="G54"/>
  <c r="AY53"/>
  <c r="AX53"/>
  <c r="AZ53" s="1"/>
  <c r="BA53" s="1"/>
  <c r="AU53"/>
  <c r="AT53"/>
  <c r="AK53"/>
  <c r="AJ53"/>
  <c r="BB53" s="1"/>
  <c r="Y53"/>
  <c r="S53"/>
  <c r="AF53" s="1"/>
  <c r="P53"/>
  <c r="M53"/>
  <c r="AX52"/>
  <c r="AU52"/>
  <c r="AK52"/>
  <c r="AJ52"/>
  <c r="AT52" s="1"/>
  <c r="Y52"/>
  <c r="S52"/>
  <c r="P52"/>
  <c r="M52"/>
  <c r="AF52" s="1"/>
  <c r="G52"/>
  <c r="AX51"/>
  <c r="AU51"/>
  <c r="AK51"/>
  <c r="AJ51"/>
  <c r="AT51" s="1"/>
  <c r="Y51"/>
  <c r="S51"/>
  <c r="P51"/>
  <c r="M51"/>
  <c r="G51"/>
  <c r="AX50"/>
  <c r="AU50"/>
  <c r="AK50"/>
  <c r="AJ50"/>
  <c r="AT50" s="1"/>
  <c r="Y50"/>
  <c r="S50"/>
  <c r="P50"/>
  <c r="M50"/>
  <c r="AF50" s="1"/>
  <c r="G50"/>
  <c r="AX49"/>
  <c r="AU49"/>
  <c r="AK49"/>
  <c r="AJ49"/>
  <c r="AT49" s="1"/>
  <c r="AH49"/>
  <c r="AH90" s="1"/>
  <c r="AB49"/>
  <c r="Y49"/>
  <c r="S49"/>
  <c r="P49"/>
  <c r="M49"/>
  <c r="AY48"/>
  <c r="AX48"/>
  <c r="AU48"/>
  <c r="AT48"/>
  <c r="AK48"/>
  <c r="AJ48"/>
  <c r="BB48" s="1"/>
  <c r="Y48"/>
  <c r="S48"/>
  <c r="AF48" s="1"/>
  <c r="P48"/>
  <c r="M48"/>
  <c r="G48"/>
  <c r="A48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3" s="1"/>
  <c r="A74" s="1"/>
  <c r="AY47"/>
  <c r="AX47"/>
  <c r="AU47"/>
  <c r="AT47"/>
  <c r="AK47"/>
  <c r="AJ47"/>
  <c r="Y47"/>
  <c r="Y90" s="1"/>
  <c r="S47"/>
  <c r="P47"/>
  <c r="M47"/>
  <c r="G47"/>
  <c r="BB46"/>
  <c r="BB45"/>
  <c r="BB44"/>
  <c r="AS43"/>
  <c r="AM43"/>
  <c r="AC43"/>
  <c r="Z43"/>
  <c r="N43"/>
  <c r="BA42"/>
  <c r="AZ42"/>
  <c r="AY42"/>
  <c r="AX42"/>
  <c r="AW42"/>
  <c r="AW43" s="1"/>
  <c r="AV42"/>
  <c r="AS42"/>
  <c r="AR42"/>
  <c r="AQ42"/>
  <c r="AP42"/>
  <c r="AO42"/>
  <c r="AO43" s="1"/>
  <c r="AN42"/>
  <c r="AM42"/>
  <c r="AL42"/>
  <c r="AJ42"/>
  <c r="AI42"/>
  <c r="AH42"/>
  <c r="AG42"/>
  <c r="AF42"/>
  <c r="AE42"/>
  <c r="AD42"/>
  <c r="AC42"/>
  <c r="AB42"/>
  <c r="AA42"/>
  <c r="Z42"/>
  <c r="Y42"/>
  <c r="X42"/>
  <c r="W42"/>
  <c r="V42"/>
  <c r="T42"/>
  <c r="S42"/>
  <c r="R42"/>
  <c r="Q42"/>
  <c r="P42"/>
  <c r="O42"/>
  <c r="N42"/>
  <c r="M42"/>
  <c r="L42"/>
  <c r="K42"/>
  <c r="AZ41"/>
  <c r="AU41"/>
  <c r="AU42" s="1"/>
  <c r="AJ41"/>
  <c r="G41"/>
  <c r="BB40"/>
  <c r="AW39"/>
  <c r="AV39"/>
  <c r="AV43" s="1"/>
  <c r="AS39"/>
  <c r="AR39"/>
  <c r="AR43" s="1"/>
  <c r="AQ39"/>
  <c r="AQ43" s="1"/>
  <c r="AO39"/>
  <c r="AN39"/>
  <c r="AN43" s="1"/>
  <c r="AM39"/>
  <c r="AL39"/>
  <c r="AL43" s="1"/>
  <c r="AI39"/>
  <c r="AI43" s="1"/>
  <c r="AD39"/>
  <c r="AD43" s="1"/>
  <c r="AC39"/>
  <c r="AB39"/>
  <c r="AB43" s="1"/>
  <c r="AA39"/>
  <c r="AA43" s="1"/>
  <c r="Z39"/>
  <c r="X39"/>
  <c r="W39"/>
  <c r="W43" s="1"/>
  <c r="V39"/>
  <c r="V43" s="1"/>
  <c r="T39"/>
  <c r="T43" s="1"/>
  <c r="R39"/>
  <c r="Q39"/>
  <c r="Q43" s="1"/>
  <c r="O39"/>
  <c r="N39"/>
  <c r="L39"/>
  <c r="K39"/>
  <c r="K43" s="1"/>
  <c r="AU38"/>
  <c r="AJ38"/>
  <c r="AU37"/>
  <c r="AJ37"/>
  <c r="AY37" s="1"/>
  <c r="G37"/>
  <c r="BB36"/>
  <c r="AU36"/>
  <c r="AJ36"/>
  <c r="AK36" s="1"/>
  <c r="G36"/>
  <c r="E36"/>
  <c r="AU35"/>
  <c r="AJ35"/>
  <c r="G35"/>
  <c r="AU34"/>
  <c r="AJ34"/>
  <c r="G34"/>
  <c r="AU33"/>
  <c r="AG33"/>
  <c r="G33"/>
  <c r="A33"/>
  <c r="A76" s="1"/>
  <c r="A77" s="1"/>
  <c r="A78" s="1"/>
  <c r="A79" s="1"/>
  <c r="A80" s="1"/>
  <c r="AY32"/>
  <c r="AZ32" s="1"/>
  <c r="BA32" s="1"/>
  <c r="AU32"/>
  <c r="AT32"/>
  <c r="AK32"/>
  <c r="BB32" s="1"/>
  <c r="AJ32"/>
  <c r="AX32" s="1"/>
  <c r="AF32"/>
  <c r="AU31"/>
  <c r="AH31"/>
  <c r="AJ31" s="1"/>
  <c r="AF31"/>
  <c r="AU30"/>
  <c r="AT30"/>
  <c r="AK30"/>
  <c r="AJ30"/>
  <c r="BB30" s="1"/>
  <c r="AH30"/>
  <c r="AF30"/>
  <c r="AE30"/>
  <c r="AE39" s="1"/>
  <c r="AE43" s="1"/>
  <c r="AY29"/>
  <c r="AU29"/>
  <c r="AJ29"/>
  <c r="AX29" s="1"/>
  <c r="AZ29" s="1"/>
  <c r="AF29"/>
  <c r="M29"/>
  <c r="AY28"/>
  <c r="AX28"/>
  <c r="AZ28" s="1"/>
  <c r="BA28" s="1"/>
  <c r="AU28"/>
  <c r="AT28"/>
  <c r="AK28"/>
  <c r="AJ28"/>
  <c r="BB28" s="1"/>
  <c r="AF28"/>
  <c r="M28"/>
  <c r="G28"/>
  <c r="AQ27"/>
  <c r="AU27" s="1"/>
  <c r="AK27"/>
  <c r="BB27" s="1"/>
  <c r="AJ27"/>
  <c r="AY27" s="1"/>
  <c r="AH27"/>
  <c r="Y27"/>
  <c r="AY26"/>
  <c r="AX26"/>
  <c r="AU26"/>
  <c r="AK26"/>
  <c r="AJ26"/>
  <c r="AT26" s="1"/>
  <c r="Y26"/>
  <c r="M26"/>
  <c r="AU25"/>
  <c r="AK25"/>
  <c r="AJ25"/>
  <c r="AH25"/>
  <c r="Y25"/>
  <c r="S25"/>
  <c r="P25"/>
  <c r="M25"/>
  <c r="AF25" s="1"/>
  <c r="G25"/>
  <c r="AU24"/>
  <c r="AT24"/>
  <c r="AK24"/>
  <c r="AJ24"/>
  <c r="BB24" s="1"/>
  <c r="AH24"/>
  <c r="AF24"/>
  <c r="G24"/>
  <c r="AU23"/>
  <c r="AK23"/>
  <c r="AH23"/>
  <c r="AJ23" s="1"/>
  <c r="AF23"/>
  <c r="Y23"/>
  <c r="S23"/>
  <c r="P23"/>
  <c r="M23"/>
  <c r="G23"/>
  <c r="AU22"/>
  <c r="AK22"/>
  <c r="AH22"/>
  <c r="AJ22" s="1"/>
  <c r="AF22"/>
  <c r="Y22"/>
  <c r="S22"/>
  <c r="P22"/>
  <c r="M22"/>
  <c r="G22"/>
  <c r="BB21"/>
  <c r="AU21"/>
  <c r="AK21"/>
  <c r="AJ21"/>
  <c r="AH21"/>
  <c r="Y21"/>
  <c r="S21"/>
  <c r="P21"/>
  <c r="M21"/>
  <c r="AF21" s="1"/>
  <c r="G21"/>
  <c r="AU20"/>
  <c r="AT20"/>
  <c r="AK20"/>
  <c r="AJ20"/>
  <c r="BB20" s="1"/>
  <c r="Y20"/>
  <c r="S20"/>
  <c r="P20"/>
  <c r="M20"/>
  <c r="AF20" s="1"/>
  <c r="AU19"/>
  <c r="AJ19"/>
  <c r="AH19"/>
  <c r="Y19"/>
  <c r="S19"/>
  <c r="P19"/>
  <c r="M19"/>
  <c r="AF19" s="1"/>
  <c r="G19"/>
  <c r="AU18"/>
  <c r="AJ18"/>
  <c r="AH18"/>
  <c r="AY17"/>
  <c r="AX17"/>
  <c r="AU17"/>
  <c r="AK17"/>
  <c r="AJ17"/>
  <c r="AT17" s="1"/>
  <c r="Y17"/>
  <c r="S17"/>
  <c r="P17"/>
  <c r="M17"/>
  <c r="G17"/>
  <c r="AY16"/>
  <c r="AX16"/>
  <c r="AU16"/>
  <c r="AH16"/>
  <c r="AJ16" s="1"/>
  <c r="Y16"/>
  <c r="S16"/>
  <c r="P16"/>
  <c r="M16"/>
  <c r="G16"/>
  <c r="Y15"/>
  <c r="AF15" s="1"/>
  <c r="AP15" s="1"/>
  <c r="U15"/>
  <c r="S15"/>
  <c r="P15"/>
  <c r="M15"/>
  <c r="G15"/>
  <c r="AU14"/>
  <c r="AK14"/>
  <c r="AJ14"/>
  <c r="AF14"/>
  <c r="Y14"/>
  <c r="S14"/>
  <c r="P14"/>
  <c r="M14"/>
  <c r="G14"/>
  <c r="BB13"/>
  <c r="AU13"/>
  <c r="AK13"/>
  <c r="AJ13"/>
  <c r="AF13"/>
  <c r="Y13"/>
  <c r="S13"/>
  <c r="P13"/>
  <c r="M13"/>
  <c r="G13"/>
  <c r="AU12"/>
  <c r="AK12"/>
  <c r="AJ12"/>
  <c r="AF12"/>
  <c r="Y12"/>
  <c r="S12"/>
  <c r="P12"/>
  <c r="M12"/>
  <c r="G12"/>
  <c r="BB11"/>
  <c r="AU11"/>
  <c r="AK11"/>
  <c r="AJ11"/>
  <c r="AF11"/>
  <c r="AY10"/>
  <c r="AX10"/>
  <c r="AZ10" s="1"/>
  <c r="BA10" s="1"/>
  <c r="AU10"/>
  <c r="AT10"/>
  <c r="AJ10"/>
  <c r="AK10" s="1"/>
  <c r="Y10"/>
  <c r="S10"/>
  <c r="P10"/>
  <c r="M10"/>
  <c r="A10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Y9"/>
  <c r="AX9"/>
  <c r="AZ9" s="1"/>
  <c r="BA9" s="1"/>
  <c r="AU9"/>
  <c r="AT9"/>
  <c r="AK9"/>
  <c r="AJ9"/>
  <c r="BB9" s="1"/>
  <c r="Y9"/>
  <c r="S9"/>
  <c r="P9"/>
  <c r="M9"/>
  <c r="AF9" s="1"/>
  <c r="G9"/>
  <c r="AU8"/>
  <c r="AH8"/>
  <c r="AJ8" s="1"/>
  <c r="Y8"/>
  <c r="S8"/>
  <c r="P8"/>
  <c r="M8"/>
  <c r="AF8" s="1"/>
  <c r="G8"/>
  <c r="AY7"/>
  <c r="AX7"/>
  <c r="AZ7" s="1"/>
  <c r="AU7"/>
  <c r="AJ7"/>
  <c r="AK7" s="1"/>
  <c r="AT7" s="1"/>
  <c r="Y7"/>
  <c r="S7"/>
  <c r="P7"/>
  <c r="M7"/>
  <c r="AF7" s="1"/>
  <c r="AY6"/>
  <c r="AX6"/>
  <c r="AZ6" s="1"/>
  <c r="BA6" s="1"/>
  <c r="AU6"/>
  <c r="AK6"/>
  <c r="AT6" s="1"/>
  <c r="AJ6"/>
  <c r="Y6"/>
  <c r="S6"/>
  <c r="P6"/>
  <c r="M6"/>
  <c r="AF6" s="1"/>
  <c r="G6"/>
  <c r="A6"/>
  <c r="A7" s="1"/>
  <c r="A8" s="1"/>
  <c r="A9" s="1"/>
  <c r="AY5"/>
  <c r="AX5"/>
  <c r="AU5"/>
  <c r="AK5"/>
  <c r="AJ5"/>
  <c r="Y5"/>
  <c r="S5"/>
  <c r="P5"/>
  <c r="M5"/>
  <c r="G5"/>
  <c r="AV3"/>
  <c r="AW3" s="1"/>
  <c r="AX3" s="1"/>
  <c r="AY3" s="1"/>
  <c r="AZ3" s="1"/>
  <c r="BA3" s="1"/>
  <c r="BB3" s="1"/>
  <c r="AD3"/>
  <c r="AE3" s="1"/>
  <c r="AF3" s="1"/>
  <c r="AG3" s="1"/>
  <c r="AH3" s="1"/>
  <c r="AI3" s="1"/>
  <c r="AJ3" s="1"/>
  <c r="AK3" s="1"/>
  <c r="AL3" s="1"/>
  <c r="AM3" s="1"/>
  <c r="AN3" s="1"/>
  <c r="AO3" s="1"/>
  <c r="AP3" s="1"/>
  <c r="AQ3" s="1"/>
  <c r="AR3" s="1"/>
  <c r="AS3" s="1"/>
  <c r="AT3" s="1"/>
  <c r="AU3" s="1"/>
  <c r="I3"/>
  <c r="K3" s="1"/>
  <c r="L3" s="1"/>
  <c r="M3" s="1"/>
  <c r="N3" s="1"/>
  <c r="O3" s="1"/>
  <c r="P3" s="1"/>
  <c r="Q3" s="1"/>
  <c r="R3" s="1"/>
  <c r="S3" s="1"/>
  <c r="V3" s="1"/>
  <c r="W3" s="1"/>
  <c r="X3" s="1"/>
  <c r="Y3" s="1"/>
  <c r="Z3" s="1"/>
  <c r="AC3" s="1"/>
  <c r="D3"/>
  <c r="E3" s="1"/>
  <c r="F3" s="1"/>
  <c r="G3" s="1"/>
  <c r="H3" s="1"/>
  <c r="AC214" i="4"/>
  <c r="AB209"/>
  <c r="AB214" s="1"/>
  <c r="AC205"/>
  <c r="BC186"/>
  <c r="AO185"/>
  <c r="K185"/>
  <c r="AX184"/>
  <c r="AX185" s="1"/>
  <c r="AW184"/>
  <c r="AW185" s="1"/>
  <c r="AT184"/>
  <c r="AT185" s="1"/>
  <c r="AS184"/>
  <c r="AS185" s="1"/>
  <c r="AR184"/>
  <c r="AR185" s="1"/>
  <c r="AO184"/>
  <c r="AN184"/>
  <c r="AN185" s="1"/>
  <c r="AM184"/>
  <c r="AM185" s="1"/>
  <c r="AL184"/>
  <c r="AL185" s="1"/>
  <c r="AG184"/>
  <c r="AG185" s="1"/>
  <c r="AE184"/>
  <c r="AE185" s="1"/>
  <c r="AD184"/>
  <c r="AD185" s="1"/>
  <c r="AC184"/>
  <c r="AC185" s="1"/>
  <c r="Z184"/>
  <c r="Z185" s="1"/>
  <c r="W184"/>
  <c r="W185" s="1"/>
  <c r="V184"/>
  <c r="V185" s="1"/>
  <c r="Q184"/>
  <c r="Q185" s="1"/>
  <c r="N184"/>
  <c r="N185" s="1"/>
  <c r="L184"/>
  <c r="L185" s="1"/>
  <c r="K184"/>
  <c r="AV183"/>
  <c r="AH183"/>
  <c r="AH184" s="1"/>
  <c r="AH185" s="1"/>
  <c r="M183"/>
  <c r="AF183" s="1"/>
  <c r="G183"/>
  <c r="AV182"/>
  <c r="AK182"/>
  <c r="AJ182"/>
  <c r="Y182"/>
  <c r="S182"/>
  <c r="P182"/>
  <c r="M182"/>
  <c r="G182"/>
  <c r="AV181"/>
  <c r="Y181"/>
  <c r="S181"/>
  <c r="P181"/>
  <c r="M181"/>
  <c r="G181"/>
  <c r="AV180"/>
  <c r="Y180"/>
  <c r="S180"/>
  <c r="P180"/>
  <c r="P184" s="1"/>
  <c r="P185" s="1"/>
  <c r="M180"/>
  <c r="G180"/>
  <c r="BC179"/>
  <c r="BC178"/>
  <c r="BC177"/>
  <c r="AO176"/>
  <c r="V176"/>
  <c r="AX175"/>
  <c r="AW175"/>
  <c r="AT175"/>
  <c r="AS175"/>
  <c r="AR175"/>
  <c r="AO175"/>
  <c r="AN175"/>
  <c r="AM175"/>
  <c r="AL175"/>
  <c r="AG175"/>
  <c r="AE175"/>
  <c r="AE176" s="1"/>
  <c r="AD175"/>
  <c r="AC175"/>
  <c r="Z175"/>
  <c r="Y175"/>
  <c r="Y176" s="1"/>
  <c r="W175"/>
  <c r="V175"/>
  <c r="S175"/>
  <c r="Q175"/>
  <c r="Q176" s="1"/>
  <c r="P175"/>
  <c r="N175"/>
  <c r="K175"/>
  <c r="AV174"/>
  <c r="AH174"/>
  <c r="AH175" s="1"/>
  <c r="M174"/>
  <c r="G174"/>
  <c r="AV173"/>
  <c r="AI173"/>
  <c r="AJ173" s="1"/>
  <c r="M173"/>
  <c r="AF173" s="1"/>
  <c r="G173"/>
  <c r="AZ172"/>
  <c r="AV172"/>
  <c r="AJ172"/>
  <c r="AY172" s="1"/>
  <c r="AF172"/>
  <c r="G172"/>
  <c r="AV171"/>
  <c r="AJ171"/>
  <c r="AK171" s="1"/>
  <c r="AF171"/>
  <c r="AY170"/>
  <c r="AV170"/>
  <c r="AU170"/>
  <c r="AK170"/>
  <c r="AJ170"/>
  <c r="AZ170" s="1"/>
  <c r="M170"/>
  <c r="AF170" s="1"/>
  <c r="AV169"/>
  <c r="AJ169"/>
  <c r="AY169" s="1"/>
  <c r="M169"/>
  <c r="AF169" s="1"/>
  <c r="G169"/>
  <c r="AV168"/>
  <c r="M168"/>
  <c r="G168"/>
  <c r="BC167"/>
  <c r="AX166"/>
  <c r="AW166"/>
  <c r="AT166"/>
  <c r="AS166"/>
  <c r="AR166"/>
  <c r="AO166"/>
  <c r="AN166"/>
  <c r="AM166"/>
  <c r="AL166"/>
  <c r="AG166"/>
  <c r="AG176" s="1"/>
  <c r="AE166"/>
  <c r="AD166"/>
  <c r="AC166"/>
  <c r="AB166"/>
  <c r="Z166"/>
  <c r="Y166"/>
  <c r="W166"/>
  <c r="W176" s="1"/>
  <c r="V166"/>
  <c r="S166"/>
  <c r="Q166"/>
  <c r="P166"/>
  <c r="N166"/>
  <c r="K166"/>
  <c r="K176" s="1"/>
  <c r="AY165"/>
  <c r="AV165"/>
  <c r="AH165"/>
  <c r="AJ165" s="1"/>
  <c r="M165"/>
  <c r="G165"/>
  <c r="AV164"/>
  <c r="AH164"/>
  <c r="AJ164" s="1"/>
  <c r="M164"/>
  <c r="AF164" s="1"/>
  <c r="G164"/>
  <c r="AV163"/>
  <c r="AH163"/>
  <c r="M163"/>
  <c r="AF163" s="1"/>
  <c r="BC162"/>
  <c r="BC161"/>
  <c r="BC160"/>
  <c r="BB159"/>
  <c r="AS159"/>
  <c r="AI159"/>
  <c r="N159"/>
  <c r="BB158"/>
  <c r="AX158"/>
  <c r="AX159" s="1"/>
  <c r="AW158"/>
  <c r="AW159" s="1"/>
  <c r="AT158"/>
  <c r="AT159" s="1"/>
  <c r="AS158"/>
  <c r="AR158"/>
  <c r="AR159" s="1"/>
  <c r="AP158"/>
  <c r="AP159" s="1"/>
  <c r="AO158"/>
  <c r="AO159" s="1"/>
  <c r="AN158"/>
  <c r="AN159" s="1"/>
  <c r="AM158"/>
  <c r="AM159" s="1"/>
  <c r="AL158"/>
  <c r="AL159" s="1"/>
  <c r="AI158"/>
  <c r="AH158"/>
  <c r="AH159" s="1"/>
  <c r="AG158"/>
  <c r="AG159" s="1"/>
  <c r="AE158"/>
  <c r="AE159" s="1"/>
  <c r="AD158"/>
  <c r="AD159" s="1"/>
  <c r="AC158"/>
  <c r="AC159" s="1"/>
  <c r="Z158"/>
  <c r="Z159" s="1"/>
  <c r="Y158"/>
  <c r="Y159" s="1"/>
  <c r="W158"/>
  <c r="W159" s="1"/>
  <c r="V158"/>
  <c r="V159" s="1"/>
  <c r="S158"/>
  <c r="S159" s="1"/>
  <c r="Q158"/>
  <c r="Q159" s="1"/>
  <c r="P158"/>
  <c r="P159" s="1"/>
  <c r="N158"/>
  <c r="M158"/>
  <c r="M159" s="1"/>
  <c r="K158"/>
  <c r="K159" s="1"/>
  <c r="AV157"/>
  <c r="AJ157"/>
  <c r="AZ157" s="1"/>
  <c r="AF157"/>
  <c r="AF158" s="1"/>
  <c r="AF159" s="1"/>
  <c r="AV156"/>
  <c r="AJ156"/>
  <c r="AK156" s="1"/>
  <c r="AF156"/>
  <c r="BC155"/>
  <c r="BC154"/>
  <c r="BC153"/>
  <c r="AW151"/>
  <c r="AT151"/>
  <c r="AS151"/>
  <c r="AR151"/>
  <c r="AO151"/>
  <c r="AN151"/>
  <c r="AM151"/>
  <c r="AL151"/>
  <c r="AH151"/>
  <c r="AG151"/>
  <c r="AE151"/>
  <c r="AD151"/>
  <c r="Z151"/>
  <c r="Y151"/>
  <c r="W151"/>
  <c r="V151"/>
  <c r="S151"/>
  <c r="Q151"/>
  <c r="P151"/>
  <c r="N151"/>
  <c r="K151"/>
  <c r="M150"/>
  <c r="AF150" s="1"/>
  <c r="G150"/>
  <c r="BC149"/>
  <c r="AX148"/>
  <c r="AW148"/>
  <c r="AT148"/>
  <c r="AS148"/>
  <c r="AR148"/>
  <c r="AO148"/>
  <c r="AN148"/>
  <c r="AM148"/>
  <c r="AL148"/>
  <c r="AG148"/>
  <c r="AE148"/>
  <c r="AD148"/>
  <c r="AC148"/>
  <c r="Z148"/>
  <c r="Y148"/>
  <c r="W148"/>
  <c r="V148"/>
  <c r="S148"/>
  <c r="Q148"/>
  <c r="P148"/>
  <c r="N148"/>
  <c r="K148"/>
  <c r="AV147"/>
  <c r="AJ147"/>
  <c r="AK147" s="1"/>
  <c r="G147"/>
  <c r="AV146"/>
  <c r="AH146"/>
  <c r="AJ146" s="1"/>
  <c r="G146"/>
  <c r="AV145"/>
  <c r="AI145"/>
  <c r="AJ145" s="1"/>
  <c r="AF145"/>
  <c r="M145"/>
  <c r="G145"/>
  <c r="M144"/>
  <c r="AF144" s="1"/>
  <c r="AP144" s="1"/>
  <c r="AV144" s="1"/>
  <c r="G144"/>
  <c r="AV143"/>
  <c r="AI143"/>
  <c r="AJ143" s="1"/>
  <c r="M143"/>
  <c r="AF143" s="1"/>
  <c r="G143"/>
  <c r="A143"/>
  <c r="A144" s="1"/>
  <c r="A145" s="1"/>
  <c r="A146" s="1"/>
  <c r="A147" s="1"/>
  <c r="AH142"/>
  <c r="AB142"/>
  <c r="M142"/>
  <c r="BC141"/>
  <c r="BO140"/>
  <c r="BN140"/>
  <c r="BM140"/>
  <c r="BL140"/>
  <c r="BK140"/>
  <c r="BJ140"/>
  <c r="BI140"/>
  <c r="BH140"/>
  <c r="BG140"/>
  <c r="BF140"/>
  <c r="BE140"/>
  <c r="BD140"/>
  <c r="BB140"/>
  <c r="AW140"/>
  <c r="AT140"/>
  <c r="AS140"/>
  <c r="AR140"/>
  <c r="AO140"/>
  <c r="AN140"/>
  <c r="AM140"/>
  <c r="AL140"/>
  <c r="AG140"/>
  <c r="AE140"/>
  <c r="AD140"/>
  <c r="AC140"/>
  <c r="Z140"/>
  <c r="Y140"/>
  <c r="X140"/>
  <c r="W140"/>
  <c r="V140"/>
  <c r="S140"/>
  <c r="R140"/>
  <c r="Q140"/>
  <c r="P140"/>
  <c r="O140"/>
  <c r="N140"/>
  <c r="L140"/>
  <c r="K140"/>
  <c r="AH139"/>
  <c r="M139"/>
  <c r="AF139" s="1"/>
  <c r="G139"/>
  <c r="BC138"/>
  <c r="AX137"/>
  <c r="AW137"/>
  <c r="AS137"/>
  <c r="AR137"/>
  <c r="AO137"/>
  <c r="AN137"/>
  <c r="AM137"/>
  <c r="AL137"/>
  <c r="AG137"/>
  <c r="AE137"/>
  <c r="AD137"/>
  <c r="AC137"/>
  <c r="Z137"/>
  <c r="Y137"/>
  <c r="W137"/>
  <c r="V137"/>
  <c r="S137"/>
  <c r="Q137"/>
  <c r="P137"/>
  <c r="N137"/>
  <c r="K137"/>
  <c r="AV136"/>
  <c r="AH136"/>
  <c r="M136"/>
  <c r="M135"/>
  <c r="AF135" s="1"/>
  <c r="AP135" s="1"/>
  <c r="G135"/>
  <c r="AT134"/>
  <c r="AH134"/>
  <c r="AB134"/>
  <c r="M134"/>
  <c r="G134"/>
  <c r="BC133"/>
  <c r="BB132"/>
  <c r="BA132"/>
  <c r="AZ132"/>
  <c r="AY132"/>
  <c r="AW132"/>
  <c r="AV132"/>
  <c r="AU132"/>
  <c r="AT132"/>
  <c r="AN132"/>
  <c r="AM132"/>
  <c r="AL132"/>
  <c r="AK132"/>
  <c r="AJ132"/>
  <c r="AI132"/>
  <c r="AG132"/>
  <c r="AF132"/>
  <c r="AE132"/>
  <c r="AD132"/>
  <c r="Z132"/>
  <c r="Y132"/>
  <c r="W132"/>
  <c r="V132"/>
  <c r="S132"/>
  <c r="Q132"/>
  <c r="P132"/>
  <c r="N132"/>
  <c r="M132"/>
  <c r="K132"/>
  <c r="BC131"/>
  <c r="BC130"/>
  <c r="AX129"/>
  <c r="AW129"/>
  <c r="AT129"/>
  <c r="AS129"/>
  <c r="AR129"/>
  <c r="AO129"/>
  <c r="AN129"/>
  <c r="AM129"/>
  <c r="AL129"/>
  <c r="AG129"/>
  <c r="AE129"/>
  <c r="AD129"/>
  <c r="AC129"/>
  <c r="Z129"/>
  <c r="W129"/>
  <c r="V129"/>
  <c r="Q129"/>
  <c r="N129"/>
  <c r="K129"/>
  <c r="AV128"/>
  <c r="AH128"/>
  <c r="AH129" s="1"/>
  <c r="G128"/>
  <c r="AV127"/>
  <c r="AJ127"/>
  <c r="AK127" s="1"/>
  <c r="Y127"/>
  <c r="S127"/>
  <c r="P127"/>
  <c r="M127"/>
  <c r="G127"/>
  <c r="Y126"/>
  <c r="S126"/>
  <c r="P126"/>
  <c r="M126"/>
  <c r="M129" s="1"/>
  <c r="G126"/>
  <c r="BC125"/>
  <c r="AX124"/>
  <c r="AW124"/>
  <c r="AT124"/>
  <c r="AS124"/>
  <c r="AR124"/>
  <c r="AO124"/>
  <c r="AN124"/>
  <c r="AM124"/>
  <c r="AL124"/>
  <c r="AG124"/>
  <c r="AE124"/>
  <c r="AD124"/>
  <c r="AC124"/>
  <c r="Z124"/>
  <c r="Y124"/>
  <c r="W124"/>
  <c r="V124"/>
  <c r="S124"/>
  <c r="Q124"/>
  <c r="P124"/>
  <c r="N124"/>
  <c r="K124"/>
  <c r="AV123"/>
  <c r="AJ123"/>
  <c r="AZ123" s="1"/>
  <c r="AH123"/>
  <c r="G123"/>
  <c r="AV122"/>
  <c r="AJ122"/>
  <c r="AK122" s="1"/>
  <c r="G122"/>
  <c r="AV121"/>
  <c r="AH121"/>
  <c r="AJ121" s="1"/>
  <c r="AY121" s="1"/>
  <c r="G121"/>
  <c r="AV120"/>
  <c r="AH120"/>
  <c r="AJ120" s="1"/>
  <c r="G120"/>
  <c r="AV119"/>
  <c r="AH119"/>
  <c r="AJ119" s="1"/>
  <c r="G119"/>
  <c r="AV118"/>
  <c r="AH118"/>
  <c r="AJ118" s="1"/>
  <c r="G118"/>
  <c r="AV117"/>
  <c r="AH117"/>
  <c r="AJ117" s="1"/>
  <c r="AY117" s="1"/>
  <c r="G117"/>
  <c r="M116"/>
  <c r="AF116" s="1"/>
  <c r="AP116" s="1"/>
  <c r="AV116" s="1"/>
  <c r="G116"/>
  <c r="AH115"/>
  <c r="AB115"/>
  <c r="M115"/>
  <c r="AF115" s="1"/>
  <c r="AP115" s="1"/>
  <c r="AV115" s="1"/>
  <c r="G115"/>
  <c r="AH114"/>
  <c r="AB114"/>
  <c r="M114"/>
  <c r="AF114" s="1"/>
  <c r="AP114" s="1"/>
  <c r="G114"/>
  <c r="AV113"/>
  <c r="AI113"/>
  <c r="AJ113" s="1"/>
  <c r="M113"/>
  <c r="AF113" s="1"/>
  <c r="G113"/>
  <c r="AF112"/>
  <c r="AP112" s="1"/>
  <c r="M112"/>
  <c r="G112"/>
  <c r="AH111"/>
  <c r="AB111"/>
  <c r="M111"/>
  <c r="AF111" s="1"/>
  <c r="AP111" s="1"/>
  <c r="AV111" s="1"/>
  <c r="G111"/>
  <c r="A111"/>
  <c r="A112" s="1"/>
  <c r="A113" s="1"/>
  <c r="A114" s="1"/>
  <c r="A115" s="1"/>
  <c r="A116" s="1"/>
  <c r="A117" s="1"/>
  <c r="A118" s="1"/>
  <c r="A119" s="1"/>
  <c r="A120" s="1"/>
  <c r="A121" s="1"/>
  <c r="A122" s="1"/>
  <c r="A123" s="1"/>
  <c r="AF110"/>
  <c r="M110"/>
  <c r="G110"/>
  <c r="BC109"/>
  <c r="AX108"/>
  <c r="AW108"/>
  <c r="AT108"/>
  <c r="AS108"/>
  <c r="AO108"/>
  <c r="AN108"/>
  <c r="AM108"/>
  <c r="AL108"/>
  <c r="AE108"/>
  <c r="AD108"/>
  <c r="AC108"/>
  <c r="Z108"/>
  <c r="W108"/>
  <c r="V108"/>
  <c r="Q108"/>
  <c r="N108"/>
  <c r="K108"/>
  <c r="AV107"/>
  <c r="AJ107"/>
  <c r="AV106"/>
  <c r="AJ106"/>
  <c r="AY106" s="1"/>
  <c r="AZ105"/>
  <c r="AV105"/>
  <c r="AJ105"/>
  <c r="AV104"/>
  <c r="AJ104"/>
  <c r="AV103"/>
  <c r="AK103"/>
  <c r="BC103" s="1"/>
  <c r="AJ103"/>
  <c r="G103"/>
  <c r="AV102"/>
  <c r="AJ102"/>
  <c r="AY102" s="1"/>
  <c r="AV101"/>
  <c r="AH101"/>
  <c r="AJ101" s="1"/>
  <c r="AZ101" s="1"/>
  <c r="AF101"/>
  <c r="S101"/>
  <c r="M101"/>
  <c r="AV100"/>
  <c r="AJ100"/>
  <c r="AY100" s="1"/>
  <c r="G100"/>
  <c r="AV99"/>
  <c r="AJ99"/>
  <c r="AV98"/>
  <c r="AK98"/>
  <c r="AU98" s="1"/>
  <c r="AJ98"/>
  <c r="G98"/>
  <c r="AV97"/>
  <c r="AH97"/>
  <c r="AJ97" s="1"/>
  <c r="AV96"/>
  <c r="AJ96"/>
  <c r="AH96"/>
  <c r="AV95"/>
  <c r="AJ95"/>
  <c r="AY95" s="1"/>
  <c r="AV94"/>
  <c r="AJ94"/>
  <c r="AY94" s="1"/>
  <c r="AG94"/>
  <c r="AV93"/>
  <c r="AJ93"/>
  <c r="AH93"/>
  <c r="AG93"/>
  <c r="G93"/>
  <c r="AV92"/>
  <c r="AJ92"/>
  <c r="AY92" s="1"/>
  <c r="AV91"/>
  <c r="AH91"/>
  <c r="AJ91" s="1"/>
  <c r="AZ91" s="1"/>
  <c r="AG91"/>
  <c r="G91"/>
  <c r="AV90"/>
  <c r="AH90"/>
  <c r="AJ90" s="1"/>
  <c r="AG90"/>
  <c r="G90"/>
  <c r="AV89"/>
  <c r="AH89"/>
  <c r="AJ89" s="1"/>
  <c r="AG89"/>
  <c r="G89"/>
  <c r="AV88"/>
  <c r="AH88"/>
  <c r="AJ88" s="1"/>
  <c r="AG88"/>
  <c r="G88"/>
  <c r="AV87"/>
  <c r="AH87"/>
  <c r="AJ87" s="1"/>
  <c r="AK87" s="1"/>
  <c r="AU87" s="1"/>
  <c r="AG87"/>
  <c r="AV86"/>
  <c r="AJ86"/>
  <c r="AK86" s="1"/>
  <c r="AU86" s="1"/>
  <c r="AF86"/>
  <c r="G86"/>
  <c r="M85"/>
  <c r="AF85" s="1"/>
  <c r="AP85" s="1"/>
  <c r="G85"/>
  <c r="AV84"/>
  <c r="AI84"/>
  <c r="AJ84" s="1"/>
  <c r="Y84"/>
  <c r="S84"/>
  <c r="P84"/>
  <c r="M84"/>
  <c r="G84"/>
  <c r="AH83"/>
  <c r="Y83"/>
  <c r="S83"/>
  <c r="P83"/>
  <c r="M83"/>
  <c r="G83"/>
  <c r="Y82"/>
  <c r="S82"/>
  <c r="P82"/>
  <c r="M82"/>
  <c r="G82"/>
  <c r="AJ81"/>
  <c r="Y81"/>
  <c r="S81"/>
  <c r="P81"/>
  <c r="M81"/>
  <c r="AF81" s="1"/>
  <c r="AP81" s="1"/>
  <c r="AV81" s="1"/>
  <c r="G81"/>
  <c r="Y80"/>
  <c r="S80"/>
  <c r="P80"/>
  <c r="M80"/>
  <c r="G80"/>
  <c r="AV79"/>
  <c r="AJ79"/>
  <c r="AK79" s="1"/>
  <c r="AU79" s="1"/>
  <c r="Y79"/>
  <c r="S79"/>
  <c r="P79"/>
  <c r="M79"/>
  <c r="AF79" s="1"/>
  <c r="G79"/>
  <c r="AV78"/>
  <c r="AJ78"/>
  <c r="AK78" s="1"/>
  <c r="AU78" s="1"/>
  <c r="Y78"/>
  <c r="S78"/>
  <c r="P78"/>
  <c r="M78"/>
  <c r="G78"/>
  <c r="AH77"/>
  <c r="Y77"/>
  <c r="S77"/>
  <c r="P77"/>
  <c r="M77"/>
  <c r="G77"/>
  <c r="Y76"/>
  <c r="S76"/>
  <c r="P76"/>
  <c r="M76"/>
  <c r="G76"/>
  <c r="AH75"/>
  <c r="Y75"/>
  <c r="S75"/>
  <c r="P75"/>
  <c r="M75"/>
  <c r="G75"/>
  <c r="Y74"/>
  <c r="S74"/>
  <c r="P74"/>
  <c r="M74"/>
  <c r="Y73"/>
  <c r="S73"/>
  <c r="P73"/>
  <c r="M73"/>
  <c r="G73"/>
  <c r="AH72"/>
  <c r="Y72"/>
  <c r="S72"/>
  <c r="AF72" s="1"/>
  <c r="AP72" s="1"/>
  <c r="P72"/>
  <c r="M72"/>
  <c r="G72"/>
  <c r="AV71"/>
  <c r="AI71"/>
  <c r="AJ71" s="1"/>
  <c r="Y71"/>
  <c r="S71"/>
  <c r="P71"/>
  <c r="M71"/>
  <c r="G71"/>
  <c r="AH70"/>
  <c r="AB70"/>
  <c r="Y70"/>
  <c r="S70"/>
  <c r="P70"/>
  <c r="M70"/>
  <c r="Y69"/>
  <c r="S69"/>
  <c r="P69"/>
  <c r="M69"/>
  <c r="G69"/>
  <c r="A69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53" s="1"/>
  <c r="A95" s="1"/>
  <c r="A96" s="1"/>
  <c r="A97" s="1"/>
  <c r="A98" s="1"/>
  <c r="A99" s="1"/>
  <c r="A54" s="1"/>
  <c r="A100" s="1"/>
  <c r="A101" s="1"/>
  <c r="A57" s="1"/>
  <c r="A102" s="1"/>
  <c r="A103" s="1"/>
  <c r="A104" s="1"/>
  <c r="A105" s="1"/>
  <c r="A55" s="1"/>
  <c r="A106" s="1"/>
  <c r="A107" s="1"/>
  <c r="AH68"/>
  <c r="Y68"/>
  <c r="S68"/>
  <c r="P68"/>
  <c r="M68"/>
  <c r="G68"/>
  <c r="BC67"/>
  <c r="BC66"/>
  <c r="BC65"/>
  <c r="AX63"/>
  <c r="AW63"/>
  <c r="AT63"/>
  <c r="AS63"/>
  <c r="AR63"/>
  <c r="AQ63"/>
  <c r="AP63"/>
  <c r="AO63"/>
  <c r="AN63"/>
  <c r="AM63"/>
  <c r="AL63"/>
  <c r="AI63"/>
  <c r="AH63"/>
  <c r="AG63"/>
  <c r="AE63"/>
  <c r="AD63"/>
  <c r="AC63"/>
  <c r="AB63"/>
  <c r="AA63"/>
  <c r="Z63"/>
  <c r="Y63"/>
  <c r="X63"/>
  <c r="X64" s="1"/>
  <c r="W63"/>
  <c r="V63"/>
  <c r="U63"/>
  <c r="T63"/>
  <c r="S63"/>
  <c r="Q63"/>
  <c r="P63"/>
  <c r="N63"/>
  <c r="K63"/>
  <c r="AV62"/>
  <c r="AJ62"/>
  <c r="G62"/>
  <c r="AV61"/>
  <c r="AJ61"/>
  <c r="AK61" s="1"/>
  <c r="AU61" s="1"/>
  <c r="G61"/>
  <c r="AV60"/>
  <c r="AJ60"/>
  <c r="AY60" s="1"/>
  <c r="M60"/>
  <c r="M63" s="1"/>
  <c r="G60"/>
  <c r="BC59"/>
  <c r="AX58"/>
  <c r="AW58"/>
  <c r="AS58"/>
  <c r="AO58"/>
  <c r="AN58"/>
  <c r="AM58"/>
  <c r="AL58"/>
  <c r="AG58"/>
  <c r="AE58"/>
  <c r="AE64" s="1"/>
  <c r="AC58"/>
  <c r="AB58"/>
  <c r="AA58"/>
  <c r="Z58"/>
  <c r="Z64" s="1"/>
  <c r="W58"/>
  <c r="V58"/>
  <c r="U58"/>
  <c r="T58"/>
  <c r="Q58"/>
  <c r="Q64" s="1"/>
  <c r="N58"/>
  <c r="N64" s="1"/>
  <c r="K58"/>
  <c r="K64" s="1"/>
  <c r="AV57"/>
  <c r="AJ57"/>
  <c r="AK57" s="1"/>
  <c r="AU57" s="1"/>
  <c r="G57"/>
  <c r="E57"/>
  <c r="AV56"/>
  <c r="AJ56"/>
  <c r="AK56" s="1"/>
  <c r="AU56" s="1"/>
  <c r="G56"/>
  <c r="AV55"/>
  <c r="AJ55"/>
  <c r="AK55" s="1"/>
  <c r="BC55" s="1"/>
  <c r="G55"/>
  <c r="AV54"/>
  <c r="AJ54"/>
  <c r="AK54" s="1"/>
  <c r="AU54" s="1"/>
  <c r="G54"/>
  <c r="AV53"/>
  <c r="AJ53"/>
  <c r="AY53" s="1"/>
  <c r="G53"/>
  <c r="AV52"/>
  <c r="AJ52"/>
  <c r="AK52" s="1"/>
  <c r="AF52"/>
  <c r="A52"/>
  <c r="AV51"/>
  <c r="AF51"/>
  <c r="AD51"/>
  <c r="AD58" s="1"/>
  <c r="AD64" s="1"/>
  <c r="AV50"/>
  <c r="AJ50"/>
  <c r="AF50"/>
  <c r="J50"/>
  <c r="G50"/>
  <c r="AR49"/>
  <c r="AV49" s="1"/>
  <c r="AJ49"/>
  <c r="AY49" s="1"/>
  <c r="AF49"/>
  <c r="M48"/>
  <c r="AF48" s="1"/>
  <c r="AR48" s="1"/>
  <c r="AI48" s="1"/>
  <c r="AJ48" s="1"/>
  <c r="AV47"/>
  <c r="AJ47"/>
  <c r="AK47" s="1"/>
  <c r="AU47" s="1"/>
  <c r="AF47"/>
  <c r="AV46"/>
  <c r="AJ46"/>
  <c r="AZ46" s="1"/>
  <c r="AF46"/>
  <c r="G46"/>
  <c r="AT45"/>
  <c r="Y45"/>
  <c r="S45"/>
  <c r="P45"/>
  <c r="M45"/>
  <c r="G45"/>
  <c r="AV44"/>
  <c r="AJ44"/>
  <c r="AK44" s="1"/>
  <c r="AF44"/>
  <c r="G44"/>
  <c r="AV43"/>
  <c r="AI43"/>
  <c r="AJ43" s="1"/>
  <c r="Y43"/>
  <c r="S43"/>
  <c r="P43"/>
  <c r="M43"/>
  <c r="G43"/>
  <c r="AV42"/>
  <c r="AJ42"/>
  <c r="AK42" s="1"/>
  <c r="AU42" s="1"/>
  <c r="Y42"/>
  <c r="S42"/>
  <c r="P42"/>
  <c r="M42"/>
  <c r="AV41"/>
  <c r="AJ41"/>
  <c r="AK41" s="1"/>
  <c r="AU41" s="1"/>
  <c r="AF41"/>
  <c r="G41"/>
  <c r="AV40"/>
  <c r="AK40"/>
  <c r="AJ40"/>
  <c r="AY40" s="1"/>
  <c r="Y40"/>
  <c r="S40"/>
  <c r="P40"/>
  <c r="M40"/>
  <c r="G40"/>
  <c r="A40"/>
  <c r="AV39"/>
  <c r="AJ39"/>
  <c r="AY39" s="1"/>
  <c r="Y39"/>
  <c r="S39"/>
  <c r="P39"/>
  <c r="M39"/>
  <c r="G39"/>
  <c r="AV38"/>
  <c r="AJ38"/>
  <c r="AY38" s="1"/>
  <c r="Y38"/>
  <c r="S38"/>
  <c r="P38"/>
  <c r="M38"/>
  <c r="AV37"/>
  <c r="AJ37"/>
  <c r="AY37" s="1"/>
  <c r="Y37"/>
  <c r="S37"/>
  <c r="P37"/>
  <c r="M37"/>
  <c r="AV36"/>
  <c r="AJ36"/>
  <c r="Y36"/>
  <c r="S36"/>
  <c r="P36"/>
  <c r="M36"/>
  <c r="AV35"/>
  <c r="AJ35"/>
  <c r="AY35" s="1"/>
  <c r="Y35"/>
  <c r="S35"/>
  <c r="P35"/>
  <c r="M35"/>
  <c r="AV34"/>
  <c r="AJ34"/>
  <c r="AY34" s="1"/>
  <c r="Y34"/>
  <c r="S34"/>
  <c r="P34"/>
  <c r="M34"/>
  <c r="G34"/>
  <c r="AV33"/>
  <c r="AJ33"/>
  <c r="AK33" s="1"/>
  <c r="Y33"/>
  <c r="S33"/>
  <c r="P33"/>
  <c r="M33"/>
  <c r="G33"/>
  <c r="Y32"/>
  <c r="AQ32" s="1"/>
  <c r="S32"/>
  <c r="P32"/>
  <c r="M32"/>
  <c r="G32"/>
  <c r="AV31"/>
  <c r="AJ31"/>
  <c r="AK31" s="1"/>
  <c r="Y31"/>
  <c r="S31"/>
  <c r="P31"/>
  <c r="M31"/>
  <c r="G31"/>
  <c r="AV30"/>
  <c r="AJ30"/>
  <c r="AY30" s="1"/>
  <c r="Y30"/>
  <c r="S30"/>
  <c r="P30"/>
  <c r="M30"/>
  <c r="G30"/>
  <c r="AT29"/>
  <c r="Y29"/>
  <c r="S29"/>
  <c r="P29"/>
  <c r="M29"/>
  <c r="G29"/>
  <c r="AV28"/>
  <c r="AI28"/>
  <c r="AJ28" s="1"/>
  <c r="Y28"/>
  <c r="S28"/>
  <c r="P28"/>
  <c r="M28"/>
  <c r="G28"/>
  <c r="Y27"/>
  <c r="S27"/>
  <c r="P27"/>
  <c r="M27"/>
  <c r="G27"/>
  <c r="AV26"/>
  <c r="AJ26"/>
  <c r="AY26" s="1"/>
  <c r="Y26"/>
  <c r="S26"/>
  <c r="P26"/>
  <c r="M26"/>
  <c r="G26"/>
  <c r="Y25"/>
  <c r="S25"/>
  <c r="P25"/>
  <c r="M25"/>
  <c r="G25"/>
  <c r="AV24"/>
  <c r="AJ24"/>
  <c r="AY24" s="1"/>
  <c r="Y24"/>
  <c r="S24"/>
  <c r="P24"/>
  <c r="M24"/>
  <c r="G24"/>
  <c r="Y23"/>
  <c r="S23"/>
  <c r="P23"/>
  <c r="M23"/>
  <c r="G23"/>
  <c r="AV22"/>
  <c r="AJ22"/>
  <c r="AY22" s="1"/>
  <c r="Y22"/>
  <c r="S22"/>
  <c r="P22"/>
  <c r="M22"/>
  <c r="AT21"/>
  <c r="P21"/>
  <c r="M21"/>
  <c r="AV20"/>
  <c r="AJ20"/>
  <c r="AK20" s="1"/>
  <c r="Y20"/>
  <c r="S20"/>
  <c r="P20"/>
  <c r="M20"/>
  <c r="G20"/>
  <c r="AV19"/>
  <c r="AJ19"/>
  <c r="AY19" s="1"/>
  <c r="Y19"/>
  <c r="S19"/>
  <c r="P19"/>
  <c r="M19"/>
  <c r="G19"/>
  <c r="AV18"/>
  <c r="AJ18"/>
  <c r="AZ18" s="1"/>
  <c r="Y18"/>
  <c r="S18"/>
  <c r="P18"/>
  <c r="M18"/>
  <c r="AT17"/>
  <c r="Y17"/>
  <c r="S17"/>
  <c r="P17"/>
  <c r="M17"/>
  <c r="AV16"/>
  <c r="AJ16"/>
  <c r="AY16" s="1"/>
  <c r="Y16"/>
  <c r="S16"/>
  <c r="P16"/>
  <c r="M16"/>
  <c r="Y15"/>
  <c r="S15"/>
  <c r="P15"/>
  <c r="M15"/>
  <c r="G15"/>
  <c r="AV14"/>
  <c r="AJ14"/>
  <c r="AZ14" s="1"/>
  <c r="Y14"/>
  <c r="S14"/>
  <c r="P14"/>
  <c r="M14"/>
  <c r="G14"/>
  <c r="AT13"/>
  <c r="Y13"/>
  <c r="S13"/>
  <c r="P13"/>
  <c r="M13"/>
  <c r="G13"/>
  <c r="AV12"/>
  <c r="AJ12"/>
  <c r="Y12"/>
  <c r="S12"/>
  <c r="P12"/>
  <c r="M12"/>
  <c r="AT11"/>
  <c r="Y11"/>
  <c r="S11"/>
  <c r="P11"/>
  <c r="M11"/>
  <c r="AV10"/>
  <c r="AJ10"/>
  <c r="AZ10" s="1"/>
  <c r="Y10"/>
  <c r="S10"/>
  <c r="P10"/>
  <c r="M10"/>
  <c r="G10"/>
  <c r="AV9"/>
  <c r="AJ9"/>
  <c r="AY9" s="1"/>
  <c r="Y9"/>
  <c r="S9"/>
  <c r="P9"/>
  <c r="M9"/>
  <c r="G9"/>
  <c r="AT8"/>
  <c r="Y8"/>
  <c r="S8"/>
  <c r="P8"/>
  <c r="M8"/>
  <c r="G8"/>
  <c r="AV7"/>
  <c r="AJ7"/>
  <c r="AZ7" s="1"/>
  <c r="Y7"/>
  <c r="S7"/>
  <c r="P7"/>
  <c r="M7"/>
  <c r="AV6"/>
  <c r="AK6"/>
  <c r="AJ6"/>
  <c r="AZ6" s="1"/>
  <c r="Y6"/>
  <c r="S6"/>
  <c r="P6"/>
  <c r="M6"/>
  <c r="G6"/>
  <c r="Y5"/>
  <c r="S5"/>
  <c r="P5"/>
  <c r="M5"/>
  <c r="G5"/>
  <c r="E3"/>
  <c r="F3" s="1"/>
  <c r="G3" s="1"/>
  <c r="H3" s="1"/>
  <c r="I3" s="1"/>
  <c r="K3" s="1"/>
  <c r="L3" s="1"/>
  <c r="M3" s="1"/>
  <c r="N3" s="1"/>
  <c r="O3" s="1"/>
  <c r="P3" s="1"/>
  <c r="Q3" s="1"/>
  <c r="R3" s="1"/>
  <c r="S3" s="1"/>
  <c r="V3" s="1"/>
  <c r="W3" s="1"/>
  <c r="X3" s="1"/>
  <c r="Y3" s="1"/>
  <c r="Z3" s="1"/>
  <c r="AC3" s="1"/>
  <c r="AD3" s="1"/>
  <c r="AE3" s="1"/>
  <c r="AF3" s="1"/>
  <c r="AG3" s="1"/>
  <c r="AH3" s="1"/>
  <c r="AI3" s="1"/>
  <c r="AJ3" s="1"/>
  <c r="AK3" s="1"/>
  <c r="AL3" s="1"/>
  <c r="AM3" s="1"/>
  <c r="AN3" s="1"/>
  <c r="AO3" s="1"/>
  <c r="AP3" s="1"/>
  <c r="AR3" s="1"/>
  <c r="AS3" s="1"/>
  <c r="AT3" s="1"/>
  <c r="AU3" s="1"/>
  <c r="AV3" s="1"/>
  <c r="AW3" s="1"/>
  <c r="AX3" s="1"/>
  <c r="AY3" s="1"/>
  <c r="AZ3" s="1"/>
  <c r="BA3" s="1"/>
  <c r="BB3" s="1"/>
  <c r="BC3" s="1"/>
  <c r="D3"/>
  <c r="AV72" l="1"/>
  <c r="AI72"/>
  <c r="AF76"/>
  <c r="AP76" s="1"/>
  <c r="AI76" s="1"/>
  <c r="AJ76" s="1"/>
  <c r="Q152"/>
  <c r="AR176"/>
  <c r="AD176"/>
  <c r="AZ31"/>
  <c r="AZ53"/>
  <c r="AZ56"/>
  <c r="AX64"/>
  <c r="AY86"/>
  <c r="AX176"/>
  <c r="Y184"/>
  <c r="Y185" s="1"/>
  <c r="AY46"/>
  <c r="BA46" s="1"/>
  <c r="BB46" s="1"/>
  <c r="Z176"/>
  <c r="AW176"/>
  <c r="S184"/>
  <c r="S185" s="1"/>
  <c r="AK9"/>
  <c r="AU9" s="1"/>
  <c r="AK46"/>
  <c r="AU46" s="1"/>
  <c r="P129"/>
  <c r="AV166"/>
  <c r="M184"/>
  <c r="M185" s="1"/>
  <c r="AF182"/>
  <c r="T64"/>
  <c r="AY157"/>
  <c r="AY158" s="1"/>
  <c r="AY159" s="1"/>
  <c r="BA170"/>
  <c r="BB170" s="1"/>
  <c r="AZ102"/>
  <c r="AY123"/>
  <c r="AJ183"/>
  <c r="AK183" s="1"/>
  <c r="AZ41"/>
  <c r="AK157"/>
  <c r="AU157" s="1"/>
  <c r="AG64"/>
  <c r="BA102"/>
  <c r="AY41"/>
  <c r="AY54"/>
  <c r="AH148"/>
  <c r="AH152" s="1"/>
  <c r="N176"/>
  <c r="AZ22"/>
  <c r="AY47"/>
  <c r="AJ51"/>
  <c r="AZ51" s="1"/>
  <c r="S129"/>
  <c r="AY156"/>
  <c r="BA172"/>
  <c r="AY7"/>
  <c r="BA7" s="1"/>
  <c r="AF19"/>
  <c r="AA64"/>
  <c r="AK7"/>
  <c r="AU7" s="1"/>
  <c r="AY14"/>
  <c r="BA14" s="1"/>
  <c r="AF36"/>
  <c r="AY42"/>
  <c r="BA42" s="1"/>
  <c r="BB42" s="1"/>
  <c r="AK26"/>
  <c r="BC26" s="1"/>
  <c r="AY6"/>
  <c r="BA24"/>
  <c r="AF12"/>
  <c r="AF34"/>
  <c r="AF20"/>
  <c r="AF38"/>
  <c r="AZ37"/>
  <c r="BA37" s="1"/>
  <c r="AF16"/>
  <c r="AZ19"/>
  <c r="BA19" s="1"/>
  <c r="AF24"/>
  <c r="AF8"/>
  <c r="AP8" s="1"/>
  <c r="AF21"/>
  <c r="AP21" s="1"/>
  <c r="AV21" s="1"/>
  <c r="AF25"/>
  <c r="AP25" s="1"/>
  <c r="AY31"/>
  <c r="AF43"/>
  <c r="AZ24"/>
  <c r="BA53"/>
  <c r="AZ42"/>
  <c r="BA22"/>
  <c r="AY97"/>
  <c r="AZ97"/>
  <c r="AZ28"/>
  <c r="AY28"/>
  <c r="AK28"/>
  <c r="AU28" s="1"/>
  <c r="AK146"/>
  <c r="AU146" s="1"/>
  <c r="AY146"/>
  <c r="BA146" s="1"/>
  <c r="BB146" s="1"/>
  <c r="AK84"/>
  <c r="BC84" s="1"/>
  <c r="BC44"/>
  <c r="AU44"/>
  <c r="AH108"/>
  <c r="BC132"/>
  <c r="AK14"/>
  <c r="AU14" s="1"/>
  <c r="AU20"/>
  <c r="AU31"/>
  <c r="AF33"/>
  <c r="AZ35"/>
  <c r="BA35" s="1"/>
  <c r="AZ39"/>
  <c r="BA39" s="1"/>
  <c r="BB39" s="1"/>
  <c r="BC52"/>
  <c r="AY56"/>
  <c r="AO64"/>
  <c r="AO187" s="1"/>
  <c r="AF68"/>
  <c r="AZ92"/>
  <c r="BA92" s="1"/>
  <c r="AK95"/>
  <c r="AU95" s="1"/>
  <c r="M124"/>
  <c r="AF126"/>
  <c r="BC171"/>
  <c r="AT58"/>
  <c r="AT64" s="1"/>
  <c r="AZ9"/>
  <c r="BA9" s="1"/>
  <c r="BB9" s="1"/>
  <c r="AF18"/>
  <c r="AK19"/>
  <c r="AU19" s="1"/>
  <c r="AZ26"/>
  <c r="BA26" s="1"/>
  <c r="BB26" s="1"/>
  <c r="AZ40"/>
  <c r="BA40" s="1"/>
  <c r="BB40" s="1"/>
  <c r="AF45"/>
  <c r="AP45" s="1"/>
  <c r="AI45" s="1"/>
  <c r="AJ45" s="1"/>
  <c r="AN64"/>
  <c r="AN187" s="1"/>
  <c r="AZ60"/>
  <c r="BA60" s="1"/>
  <c r="Y129"/>
  <c r="Y152" s="1"/>
  <c r="M166"/>
  <c r="AZ169"/>
  <c r="BA169" s="1"/>
  <c r="BB169" s="1"/>
  <c r="AS176"/>
  <c r="AF80"/>
  <c r="AP80" s="1"/>
  <c r="AO152"/>
  <c r="S58"/>
  <c r="S64" s="1"/>
  <c r="AF7"/>
  <c r="AY10"/>
  <c r="BA10" s="1"/>
  <c r="BB10" s="1"/>
  <c r="AF14"/>
  <c r="AK22"/>
  <c r="AF37"/>
  <c r="AM64"/>
  <c r="Y108"/>
  <c r="AF73"/>
  <c r="AP73" s="1"/>
  <c r="AV73" s="1"/>
  <c r="AZ94"/>
  <c r="BA94" s="1"/>
  <c r="AZ100"/>
  <c r="BA100" s="1"/>
  <c r="AK106"/>
  <c r="BC106" s="1"/>
  <c r="AM152"/>
  <c r="AF181"/>
  <c r="AP181" s="1"/>
  <c r="AI181" s="1"/>
  <c r="AJ181" s="1"/>
  <c r="AK181" s="1"/>
  <c r="BC182"/>
  <c r="AU39"/>
  <c r="AF32"/>
  <c r="AP32" s="1"/>
  <c r="AI32" s="1"/>
  <c r="AF40"/>
  <c r="AK35"/>
  <c r="AU35" s="1"/>
  <c r="AK39"/>
  <c r="BC39" s="1"/>
  <c r="AV63"/>
  <c r="AB64"/>
  <c r="AF69"/>
  <c r="AP69" s="1"/>
  <c r="AV69" s="1"/>
  <c r="AF82"/>
  <c r="AP82" s="1"/>
  <c r="AI82" s="1"/>
  <c r="AJ82" s="1"/>
  <c r="AZ86"/>
  <c r="BA86" s="1"/>
  <c r="BB86" s="1"/>
  <c r="AD152"/>
  <c r="AD187" s="1"/>
  <c r="K152"/>
  <c r="K187" s="1"/>
  <c r="K190" s="1"/>
  <c r="K193" s="1"/>
  <c r="AN176"/>
  <c r="AV184"/>
  <c r="AV185" s="1"/>
  <c r="AZ183"/>
  <c r="AK10"/>
  <c r="AU10" s="1"/>
  <c r="AF15"/>
  <c r="AP15" s="1"/>
  <c r="AI15" s="1"/>
  <c r="AJ15" s="1"/>
  <c r="AF28"/>
  <c r="AZ33"/>
  <c r="AU40"/>
  <c r="AF60"/>
  <c r="AF63" s="1"/>
  <c r="AF71"/>
  <c r="AF75"/>
  <c r="AP75" s="1"/>
  <c r="AI75" s="1"/>
  <c r="AJ75" s="1"/>
  <c r="AY105"/>
  <c r="BA105" s="1"/>
  <c r="AE152"/>
  <c r="AE187" s="1"/>
  <c r="AX152"/>
  <c r="P176"/>
  <c r="AY183"/>
  <c r="BC127"/>
  <c r="N152"/>
  <c r="BC147"/>
  <c r="AU33"/>
  <c r="AF39"/>
  <c r="AK53"/>
  <c r="AU53" s="1"/>
  <c r="AF84"/>
  <c r="AK105"/>
  <c r="AU105" s="1"/>
  <c r="AC152"/>
  <c r="AV175"/>
  <c r="AU183"/>
  <c r="AF180"/>
  <c r="AP180" s="1"/>
  <c r="AF6"/>
  <c r="AF10"/>
  <c r="AK24"/>
  <c r="AU24" s="1"/>
  <c r="AF27"/>
  <c r="AP27" s="1"/>
  <c r="AI27" s="1"/>
  <c r="AJ27" s="1"/>
  <c r="AK37"/>
  <c r="AU37" s="1"/>
  <c r="BC41"/>
  <c r="W64"/>
  <c r="AW64"/>
  <c r="AW187" s="1"/>
  <c r="AZ106"/>
  <c r="BA106" s="1"/>
  <c r="V152"/>
  <c r="AJ158"/>
  <c r="AJ159" s="1"/>
  <c r="AC176"/>
  <c r="AF23"/>
  <c r="AP23" s="1"/>
  <c r="AI23" s="1"/>
  <c r="AJ23" s="1"/>
  <c r="V64"/>
  <c r="V187" s="1"/>
  <c r="BC61"/>
  <c r="AF78"/>
  <c r="BC98"/>
  <c r="AL152"/>
  <c r="AH137"/>
  <c r="AZ12"/>
  <c r="AK12"/>
  <c r="AU12" s="1"/>
  <c r="AK18"/>
  <c r="BC18" s="1"/>
  <c r="AY48"/>
  <c r="AU48"/>
  <c r="AK48"/>
  <c r="AZ48"/>
  <c r="AI85"/>
  <c r="AJ85" s="1"/>
  <c r="AV85"/>
  <c r="AZ113"/>
  <c r="AY113"/>
  <c r="AK113"/>
  <c r="BC113" s="1"/>
  <c r="BB66" i="5"/>
  <c r="AT66"/>
  <c r="AQ166"/>
  <c r="M58" i="4"/>
  <c r="M64" s="1"/>
  <c r="BA6"/>
  <c r="BB6" s="1"/>
  <c r="AF11"/>
  <c r="AP11" s="1"/>
  <c r="BC19"/>
  <c r="AF29"/>
  <c r="AP29" s="1"/>
  <c r="AF30"/>
  <c r="AZ36"/>
  <c r="AY36"/>
  <c r="AK36"/>
  <c r="BC36" s="1"/>
  <c r="AV76"/>
  <c r="AH124"/>
  <c r="AK119"/>
  <c r="AU119" s="1"/>
  <c r="AZ119"/>
  <c r="AY119"/>
  <c r="AY19" i="5"/>
  <c r="AX19"/>
  <c r="AZ19" s="1"/>
  <c r="AT19"/>
  <c r="BB19"/>
  <c r="AK19"/>
  <c r="AF9" i="4"/>
  <c r="AY12"/>
  <c r="AF17"/>
  <c r="AP17" s="1"/>
  <c r="AF22"/>
  <c r="AF26"/>
  <c r="AF31"/>
  <c r="AF35"/>
  <c r="AZ71"/>
  <c r="AY71"/>
  <c r="AK71"/>
  <c r="AU71" s="1"/>
  <c r="BC71"/>
  <c r="AZ43"/>
  <c r="AY43"/>
  <c r="AU43"/>
  <c r="AK43"/>
  <c r="BC43" s="1"/>
  <c r="AI80"/>
  <c r="AJ80" s="1"/>
  <c r="AV80"/>
  <c r="AZ89"/>
  <c r="AY89"/>
  <c r="BA89" s="1"/>
  <c r="AK89"/>
  <c r="BC89" s="1"/>
  <c r="AV114"/>
  <c r="AI114"/>
  <c r="AJ114" s="1"/>
  <c r="Y58"/>
  <c r="Y64" s="1"/>
  <c r="AZ16"/>
  <c r="BA16" s="1"/>
  <c r="AK16"/>
  <c r="BC16" s="1"/>
  <c r="BB102"/>
  <c r="M108"/>
  <c r="AV112"/>
  <c r="AI112"/>
  <c r="AJ112" s="1"/>
  <c r="AY143"/>
  <c r="AK143"/>
  <c r="AU143" s="1"/>
  <c r="AZ143"/>
  <c r="AU6"/>
  <c r="AF13"/>
  <c r="AP13" s="1"/>
  <c r="AV25"/>
  <c r="AI25"/>
  <c r="AJ25" s="1"/>
  <c r="AK88"/>
  <c r="BC88" s="1"/>
  <c r="AZ88"/>
  <c r="AY88"/>
  <c r="AS152"/>
  <c r="AY18"/>
  <c r="BA18" s="1"/>
  <c r="AU18"/>
  <c r="AQ58"/>
  <c r="AQ64" s="1"/>
  <c r="AH32"/>
  <c r="AH58" s="1"/>
  <c r="AH64" s="1"/>
  <c r="AK90"/>
  <c r="AU90" s="1"/>
  <c r="AZ90"/>
  <c r="AY90"/>
  <c r="AF5"/>
  <c r="BC7"/>
  <c r="BC10"/>
  <c r="AY20"/>
  <c r="AZ30"/>
  <c r="BA30" s="1"/>
  <c r="AY33"/>
  <c r="AZ34"/>
  <c r="BA34" s="1"/>
  <c r="AZ38"/>
  <c r="BA38" s="1"/>
  <c r="AZ44"/>
  <c r="AY44"/>
  <c r="AU52"/>
  <c r="BC57"/>
  <c r="AC64"/>
  <c r="AS64"/>
  <c r="AP68"/>
  <c r="BC87"/>
  <c r="AY101"/>
  <c r="BA101" s="1"/>
  <c r="AU101"/>
  <c r="AK101"/>
  <c r="BC101" s="1"/>
  <c r="AZ104"/>
  <c r="AY104"/>
  <c r="BA104" s="1"/>
  <c r="AK104"/>
  <c r="BC104" s="1"/>
  <c r="AI111"/>
  <c r="AJ111" s="1"/>
  <c r="M148"/>
  <c r="BC9"/>
  <c r="AZ20"/>
  <c r="BC35"/>
  <c r="AZ50"/>
  <c r="AY50"/>
  <c r="AK50"/>
  <c r="AU50" s="1"/>
  <c r="U64"/>
  <c r="P108"/>
  <c r="AJ72"/>
  <c r="AZ93"/>
  <c r="AY93"/>
  <c r="AK93"/>
  <c r="AU93" s="1"/>
  <c r="AZ107"/>
  <c r="AY107"/>
  <c r="AZ118"/>
  <c r="AY118"/>
  <c r="AK118"/>
  <c r="AU118" s="1"/>
  <c r="AK121"/>
  <c r="AU121" s="1"/>
  <c r="AZ121"/>
  <c r="AF134"/>
  <c r="M137"/>
  <c r="AW152"/>
  <c r="BB14" i="5"/>
  <c r="AP39"/>
  <c r="AP43" s="1"/>
  <c r="AU15"/>
  <c r="AH15"/>
  <c r="AY22"/>
  <c r="AX22"/>
  <c r="AT22"/>
  <c r="BB22"/>
  <c r="BC6" i="4"/>
  <c r="BC31"/>
  <c r="BC40"/>
  <c r="BC42"/>
  <c r="AV48"/>
  <c r="BC48" s="1"/>
  <c r="AR58"/>
  <c r="AR64" s="1"/>
  <c r="AZ55"/>
  <c r="AY55"/>
  <c r="AU55"/>
  <c r="S108"/>
  <c r="S152" s="1"/>
  <c r="AZ84"/>
  <c r="AY84"/>
  <c r="AZ96"/>
  <c r="AY96"/>
  <c r="AK96"/>
  <c r="BC96" s="1"/>
  <c r="AZ103"/>
  <c r="AY103"/>
  <c r="AK107"/>
  <c r="AU107" s="1"/>
  <c r="AF151"/>
  <c r="AP150"/>
  <c r="AY8" i="5"/>
  <c r="AX8"/>
  <c r="AK8"/>
  <c r="BB8" s="1"/>
  <c r="BC78" i="4"/>
  <c r="AZ81"/>
  <c r="AY81"/>
  <c r="BC95"/>
  <c r="AZ99"/>
  <c r="AY99"/>
  <c r="AK99"/>
  <c r="BC99" s="1"/>
  <c r="AK117"/>
  <c r="BC117" s="1"/>
  <c r="AZ117"/>
  <c r="BA117" s="1"/>
  <c r="BA121"/>
  <c r="BB121" s="1"/>
  <c r="AZ145"/>
  <c r="AY145"/>
  <c r="AK145"/>
  <c r="AU145" s="1"/>
  <c r="W152"/>
  <c r="AK158"/>
  <c r="AK159" s="1"/>
  <c r="BC159" s="1"/>
  <c r="AU156"/>
  <c r="AU158" s="1"/>
  <c r="AU159" s="1"/>
  <c r="BC20"/>
  <c r="AK30"/>
  <c r="AU30" s="1"/>
  <c r="BC33"/>
  <c r="AK34"/>
  <c r="AU34" s="1"/>
  <c r="AK38"/>
  <c r="AU38" s="1"/>
  <c r="AL64"/>
  <c r="AZ62"/>
  <c r="AY62"/>
  <c r="AF70"/>
  <c r="AP70" s="1"/>
  <c r="AK81"/>
  <c r="BC81" s="1"/>
  <c r="AF83"/>
  <c r="AP83" s="1"/>
  <c r="AU103"/>
  <c r="AP110"/>
  <c r="AF124"/>
  <c r="AI115"/>
  <c r="AJ115" s="1"/>
  <c r="AI116"/>
  <c r="AJ116" s="1"/>
  <c r="AU117"/>
  <c r="AT137"/>
  <c r="AT152" s="1"/>
  <c r="AN152"/>
  <c r="AV158"/>
  <c r="AV159" s="1"/>
  <c r="Q187"/>
  <c r="P58"/>
  <c r="P64" s="1"/>
  <c r="BC46"/>
  <c r="AK62"/>
  <c r="AU62" s="1"/>
  <c r="AJ63"/>
  <c r="AF77"/>
  <c r="AR77" s="1"/>
  <c r="BC79"/>
  <c r="AY91"/>
  <c r="BA91" s="1"/>
  <c r="AK91"/>
  <c r="BC91" s="1"/>
  <c r="AZ98"/>
  <c r="AY98"/>
  <c r="BC118"/>
  <c r="AZ120"/>
  <c r="AY120"/>
  <c r="AK120"/>
  <c r="BC120" s="1"/>
  <c r="BC122"/>
  <c r="BA123"/>
  <c r="AF140"/>
  <c r="AP139"/>
  <c r="AI144"/>
  <c r="AJ144" s="1"/>
  <c r="Z152"/>
  <c r="Z187" s="1"/>
  <c r="BB12" i="5"/>
  <c r="AF42" i="4"/>
  <c r="AZ52"/>
  <c r="AY52"/>
  <c r="AF74"/>
  <c r="AP74" s="1"/>
  <c r="AG108"/>
  <c r="AG152" s="1"/>
  <c r="AG187" s="1"/>
  <c r="AV135"/>
  <c r="AI135"/>
  <c r="AJ135" s="1"/>
  <c r="AH140"/>
  <c r="AT5" i="5"/>
  <c r="AZ47" i="4"/>
  <c r="BA47" s="1"/>
  <c r="BB47" s="1"/>
  <c r="AZ49"/>
  <c r="BA49" s="1"/>
  <c r="AZ54"/>
  <c r="BC56"/>
  <c r="AY57"/>
  <c r="AY61"/>
  <c r="AY63" s="1"/>
  <c r="AY78"/>
  <c r="AY79"/>
  <c r="BC86"/>
  <c r="AY87"/>
  <c r="AU122"/>
  <c r="AU127"/>
  <c r="AF142"/>
  <c r="AZ146"/>
  <c r="AU147"/>
  <c r="AZ156"/>
  <c r="AZ158" s="1"/>
  <c r="AZ159" s="1"/>
  <c r="AP163"/>
  <c r="AF166"/>
  <c r="S176"/>
  <c r="AT176"/>
  <c r="BA7" i="5"/>
  <c r="AF10"/>
  <c r="AZ17"/>
  <c r="BA17" s="1"/>
  <c r="AX38"/>
  <c r="AY38"/>
  <c r="AK38"/>
  <c r="AT38" s="1"/>
  <c r="AZ57" i="4"/>
  <c r="AZ61"/>
  <c r="AZ78"/>
  <c r="AZ79"/>
  <c r="AZ87"/>
  <c r="AZ95"/>
  <c r="BA95" s="1"/>
  <c r="AJ128"/>
  <c r="AH166"/>
  <c r="AH176" s="1"/>
  <c r="AK165"/>
  <c r="BC165" s="1"/>
  <c r="AZ173"/>
  <c r="AY173"/>
  <c r="AU39" i="5"/>
  <c r="AU43" s="1"/>
  <c r="AF16"/>
  <c r="AF17"/>
  <c r="AY122" i="4"/>
  <c r="AY127"/>
  <c r="AY147"/>
  <c r="BC156"/>
  <c r="AZ171"/>
  <c r="AY171"/>
  <c r="AU171"/>
  <c r="AK173"/>
  <c r="BC173" s="1"/>
  <c r="AL176"/>
  <c r="AF5" i="5"/>
  <c r="AF39" s="1"/>
  <c r="AF43" s="1"/>
  <c r="M39"/>
  <c r="M43" s="1"/>
  <c r="BB6"/>
  <c r="AY11"/>
  <c r="AX11"/>
  <c r="AZ11" s="1"/>
  <c r="BA11" s="1"/>
  <c r="AT11"/>
  <c r="AY13"/>
  <c r="AX13"/>
  <c r="AT13"/>
  <c r="BC47" i="4"/>
  <c r="AK49"/>
  <c r="AU49" s="1"/>
  <c r="AK51"/>
  <c r="BC51" s="1"/>
  <c r="BC54"/>
  <c r="AK60"/>
  <c r="AK92"/>
  <c r="AU92" s="1"/>
  <c r="AK94"/>
  <c r="AU94" s="1"/>
  <c r="AK97"/>
  <c r="BC97" s="1"/>
  <c r="AK100"/>
  <c r="BC100" s="1"/>
  <c r="AK102"/>
  <c r="BC102" s="1"/>
  <c r="AZ122"/>
  <c r="AK123"/>
  <c r="BC123" s="1"/>
  <c r="AZ127"/>
  <c r="BC146"/>
  <c r="AZ147"/>
  <c r="M151"/>
  <c r="BC157"/>
  <c r="AZ164"/>
  <c r="AY164"/>
  <c r="BC170"/>
  <c r="AM176"/>
  <c r="AY18" i="5"/>
  <c r="AX18"/>
  <c r="AY23"/>
  <c r="AX23"/>
  <c r="AZ23" s="1"/>
  <c r="BA23" s="1"/>
  <c r="AT23"/>
  <c r="BB23"/>
  <c r="AX34"/>
  <c r="BB34"/>
  <c r="AY34"/>
  <c r="AK34"/>
  <c r="AT34" s="1"/>
  <c r="M140" i="4"/>
  <c r="AK164"/>
  <c r="AU164" s="1"/>
  <c r="AZ165"/>
  <c r="BA165" s="1"/>
  <c r="M175"/>
  <c r="M176" s="1"/>
  <c r="AZ182"/>
  <c r="AY182"/>
  <c r="AU182"/>
  <c r="AT16" i="5"/>
  <c r="AK16"/>
  <c r="BB16" s="1"/>
  <c r="AK18"/>
  <c r="AY21"/>
  <c r="AX21"/>
  <c r="AT21"/>
  <c r="BB25"/>
  <c r="AY31"/>
  <c r="AX31"/>
  <c r="AK31"/>
  <c r="AT31" s="1"/>
  <c r="AZ26"/>
  <c r="BA26" s="1"/>
  <c r="AJ136" i="4"/>
  <c r="AI180"/>
  <c r="AS187"/>
  <c r="AY12" i="5"/>
  <c r="AX12"/>
  <c r="AZ12" s="1"/>
  <c r="BA12" s="1"/>
  <c r="AT12"/>
  <c r="AY14"/>
  <c r="AX14"/>
  <c r="AZ14" s="1"/>
  <c r="BA14" s="1"/>
  <c r="AT14"/>
  <c r="AZ16"/>
  <c r="AX35"/>
  <c r="AT35"/>
  <c r="BB35"/>
  <c r="AY35"/>
  <c r="AK35"/>
  <c r="P39"/>
  <c r="P43" s="1"/>
  <c r="AT25"/>
  <c r="AF49"/>
  <c r="AI56"/>
  <c r="AQ90"/>
  <c r="AU56"/>
  <c r="AU90" s="1"/>
  <c r="AU133" s="1"/>
  <c r="AI58"/>
  <c r="AJ58" s="1"/>
  <c r="AU58"/>
  <c r="AK124"/>
  <c r="AT124" s="1"/>
  <c r="AY124"/>
  <c r="AX124"/>
  <c r="BB124"/>
  <c r="BC172" i="4"/>
  <c r="S39" i="5"/>
  <c r="S43" s="1"/>
  <c r="AX20"/>
  <c r="AZ20" s="1"/>
  <c r="BA20" s="1"/>
  <c r="AX24"/>
  <c r="AT27"/>
  <c r="AK29"/>
  <c r="BA29" s="1"/>
  <c r="AX30"/>
  <c r="AT36"/>
  <c r="AK37"/>
  <c r="BB37" s="1"/>
  <c r="AZ49"/>
  <c r="BA49" s="1"/>
  <c r="M133"/>
  <c r="M166" s="1"/>
  <c r="AN166"/>
  <c r="AF168" i="4"/>
  <c r="AK169"/>
  <c r="BC169" s="1"/>
  <c r="AK172"/>
  <c r="AU172" s="1"/>
  <c r="AJ174"/>
  <c r="Y39" i="5"/>
  <c r="Y43" s="1"/>
  <c r="AZ5"/>
  <c r="BB17"/>
  <c r="AY20"/>
  <c r="AY24"/>
  <c r="AX25"/>
  <c r="BB26"/>
  <c r="AY30"/>
  <c r="AT37"/>
  <c r="BB92"/>
  <c r="BC183" i="4"/>
  <c r="BB7" i="5"/>
  <c r="BB10"/>
  <c r="AY25"/>
  <c r="AX27"/>
  <c r="AZ27" s="1"/>
  <c r="BA27" s="1"/>
  <c r="AX36"/>
  <c r="P90"/>
  <c r="P133" s="1"/>
  <c r="P166" s="1"/>
  <c r="AI57"/>
  <c r="AJ57" s="1"/>
  <c r="AU57"/>
  <c r="BB64"/>
  <c r="BB5"/>
  <c r="AY36"/>
  <c r="AX37"/>
  <c r="AZ37" s="1"/>
  <c r="BA37" s="1"/>
  <c r="S90"/>
  <c r="AF47"/>
  <c r="AF51"/>
  <c r="AP90"/>
  <c r="AU62"/>
  <c r="AI62"/>
  <c r="AJ62" s="1"/>
  <c r="AC166"/>
  <c r="AG39"/>
  <c r="AG43" s="1"/>
  <c r="AG166" s="1"/>
  <c r="AJ33"/>
  <c r="AZ48"/>
  <c r="BA48" s="1"/>
  <c r="AZ69"/>
  <c r="BA69" s="1"/>
  <c r="AY83"/>
  <c r="AK83"/>
  <c r="AT83" s="1"/>
  <c r="AT85"/>
  <c r="AY100"/>
  <c r="AX100"/>
  <c r="AZ100" s="1"/>
  <c r="BA100" s="1"/>
  <c r="AY105"/>
  <c r="AK105"/>
  <c r="BB105" s="1"/>
  <c r="AK120"/>
  <c r="AK121" s="1"/>
  <c r="AJ121"/>
  <c r="AY120"/>
  <c r="AY121" s="1"/>
  <c r="AX120"/>
  <c r="AX163"/>
  <c r="AX164" s="1"/>
  <c r="AZ159"/>
  <c r="Q166"/>
  <c r="AO166"/>
  <c r="AZ47"/>
  <c r="AY49"/>
  <c r="AY50"/>
  <c r="AZ50" s="1"/>
  <c r="BA50" s="1"/>
  <c r="AY51"/>
  <c r="AZ51" s="1"/>
  <c r="BA51" s="1"/>
  <c r="AY52"/>
  <c r="AZ52" s="1"/>
  <c r="BA52" s="1"/>
  <c r="BB59"/>
  <c r="BB60"/>
  <c r="AY63"/>
  <c r="AZ63" s="1"/>
  <c r="BA63" s="1"/>
  <c r="AK64"/>
  <c r="AF75"/>
  <c r="AX82"/>
  <c r="AZ82" s="1"/>
  <c r="AK85"/>
  <c r="BB87"/>
  <c r="AY88"/>
  <c r="AT88"/>
  <c r="AK88"/>
  <c r="BB88" s="1"/>
  <c r="AT97"/>
  <c r="AK97"/>
  <c r="BB97" s="1"/>
  <c r="AY97"/>
  <c r="AT99"/>
  <c r="AK100"/>
  <c r="AT100" s="1"/>
  <c r="BB104"/>
  <c r="AY104"/>
  <c r="AX104"/>
  <c r="AT104"/>
  <c r="AW133"/>
  <c r="BB125"/>
  <c r="AT125"/>
  <c r="W133"/>
  <c r="W166" s="1"/>
  <c r="AY145"/>
  <c r="AZ145" s="1"/>
  <c r="BA145" s="1"/>
  <c r="AT145"/>
  <c r="BB145"/>
  <c r="AK145"/>
  <c r="M154"/>
  <c r="M155" s="1"/>
  <c r="AF149"/>
  <c r="AF154" s="1"/>
  <c r="AF155" s="1"/>
  <c r="AY150"/>
  <c r="AX150"/>
  <c r="AZ150" s="1"/>
  <c r="BA150" s="1"/>
  <c r="AK150"/>
  <c r="BB150" s="1"/>
  <c r="AJ154"/>
  <c r="AT150"/>
  <c r="AS166"/>
  <c r="BB61"/>
  <c r="AT64"/>
  <c r="AZ66"/>
  <c r="BA66" s="1"/>
  <c r="AK67"/>
  <c r="BB67"/>
  <c r="AY77"/>
  <c r="AK77"/>
  <c r="AT77" s="1"/>
  <c r="AZ80"/>
  <c r="BA80" s="1"/>
  <c r="AX83"/>
  <c r="AZ83" s="1"/>
  <c r="BA83" s="1"/>
  <c r="AZ84"/>
  <c r="BA84" s="1"/>
  <c r="AZ89"/>
  <c r="BA89" s="1"/>
  <c r="AZ96"/>
  <c r="BA96" s="1"/>
  <c r="AX105"/>
  <c r="AZ105" s="1"/>
  <c r="K133"/>
  <c r="Y133"/>
  <c r="AK154"/>
  <c r="AT149"/>
  <c r="AY161"/>
  <c r="AX161"/>
  <c r="AZ161" s="1"/>
  <c r="BA161" s="1"/>
  <c r="AK161"/>
  <c r="BB161" s="1"/>
  <c r="AT161"/>
  <c r="AK41"/>
  <c r="BB47"/>
  <c r="AK61"/>
  <c r="AT65"/>
  <c r="AY66"/>
  <c r="AT67"/>
  <c r="BB76"/>
  <c r="AX85"/>
  <c r="AX88"/>
  <c r="AX97"/>
  <c r="AZ97" s="1"/>
  <c r="BA97" s="1"/>
  <c r="AJ118"/>
  <c r="AK115"/>
  <c r="AY115"/>
  <c r="AX115"/>
  <c r="AT115"/>
  <c r="BB49"/>
  <c r="BB50"/>
  <c r="BB51"/>
  <c r="BB52"/>
  <c r="AT61"/>
  <c r="BB63"/>
  <c r="AX64"/>
  <c r="AZ64" s="1"/>
  <c r="BA64" s="1"/>
  <c r="BB68"/>
  <c r="BB71"/>
  <c r="AT75"/>
  <c r="AY75"/>
  <c r="AZ75" s="1"/>
  <c r="BA75" s="1"/>
  <c r="AX77"/>
  <c r="AZ77" s="1"/>
  <c r="BA77" s="1"/>
  <c r="AY85"/>
  <c r="AF106"/>
  <c r="AX108"/>
  <c r="AT108"/>
  <c r="AK108"/>
  <c r="AJ110"/>
  <c r="BB108"/>
  <c r="Z133"/>
  <c r="Z166" s="1"/>
  <c r="AR118"/>
  <c r="AR133" s="1"/>
  <c r="AR166" s="1"/>
  <c r="AU115"/>
  <c r="AU118" s="1"/>
  <c r="AU123"/>
  <c r="AU129" s="1"/>
  <c r="AI123"/>
  <c r="AQ129"/>
  <c r="AZ125"/>
  <c r="BA125" s="1"/>
  <c r="AV166"/>
  <c r="AY64"/>
  <c r="AX67"/>
  <c r="AZ67" s="1"/>
  <c r="BA67" s="1"/>
  <c r="AU73"/>
  <c r="AI73"/>
  <c r="AJ73" s="1"/>
  <c r="BA78"/>
  <c r="BA81"/>
  <c r="BB85"/>
  <c r="AJ106"/>
  <c r="AK92"/>
  <c r="AY92"/>
  <c r="AH106"/>
  <c r="AJ102"/>
  <c r="AK109"/>
  <c r="BB109" s="1"/>
  <c r="AY109"/>
  <c r="AY110" s="1"/>
  <c r="AX109"/>
  <c r="AP133"/>
  <c r="AE133"/>
  <c r="M90"/>
  <c r="AX61"/>
  <c r="AZ61" s="1"/>
  <c r="BA61" s="1"/>
  <c r="AY67"/>
  <c r="AK69"/>
  <c r="BB69" s="1"/>
  <c r="BB77"/>
  <c r="AT82"/>
  <c r="AY127"/>
  <c r="AX127"/>
  <c r="BB139"/>
  <c r="AJ140"/>
  <c r="BB140" s="1"/>
  <c r="AY70"/>
  <c r="AX70"/>
  <c r="BB70"/>
  <c r="AK70"/>
  <c r="AT70" s="1"/>
  <c r="BB78"/>
  <c r="AT80"/>
  <c r="BB81"/>
  <c r="AK82"/>
  <c r="BB82" s="1"/>
  <c r="AT84"/>
  <c r="AT89"/>
  <c r="AX92"/>
  <c r="AX95"/>
  <c r="AZ95" s="1"/>
  <c r="BA95" s="1"/>
  <c r="BB95"/>
  <c r="AT96"/>
  <c r="AT101"/>
  <c r="AK101"/>
  <c r="BB101"/>
  <c r="AX101"/>
  <c r="AZ101" s="1"/>
  <c r="BA101" s="1"/>
  <c r="AK127"/>
  <c r="BB127" s="1"/>
  <c r="AJ131"/>
  <c r="AI132"/>
  <c r="AT146"/>
  <c r="BB146"/>
  <c r="AX146"/>
  <c r="N166"/>
  <c r="AX72"/>
  <c r="AZ72" s="1"/>
  <c r="BA72" s="1"/>
  <c r="AX87"/>
  <c r="BB93"/>
  <c r="AY117"/>
  <c r="AZ117" s="1"/>
  <c r="BA117" s="1"/>
  <c r="AY126"/>
  <c r="AZ126" s="1"/>
  <c r="BA126" s="1"/>
  <c r="AT126"/>
  <c r="AK126"/>
  <c r="BB126"/>
  <c r="AQ133"/>
  <c r="AO155"/>
  <c r="AW166"/>
  <c r="AX68"/>
  <c r="AZ68" s="1"/>
  <c r="BA68" s="1"/>
  <c r="AY72"/>
  <c r="AY74"/>
  <c r="AZ74" s="1"/>
  <c r="BA74" s="1"/>
  <c r="AX76"/>
  <c r="AZ76" s="1"/>
  <c r="BA76" s="1"/>
  <c r="AY79"/>
  <c r="AZ79" s="1"/>
  <c r="BA79" s="1"/>
  <c r="AY87"/>
  <c r="AK93"/>
  <c r="AT93" s="1"/>
  <c r="AK98"/>
  <c r="AT98" s="1"/>
  <c r="AY99"/>
  <c r="AZ99" s="1"/>
  <c r="BA99" s="1"/>
  <c r="AF108"/>
  <c r="AF110" s="1"/>
  <c r="AF118"/>
  <c r="AK117"/>
  <c r="AT117" s="1"/>
  <c r="AH133"/>
  <c r="AD133"/>
  <c r="AT139"/>
  <c r="AT140" s="1"/>
  <c r="AY153"/>
  <c r="AX153"/>
  <c r="AZ153" s="1"/>
  <c r="BA153" s="1"/>
  <c r="AK153"/>
  <c r="AG155"/>
  <c r="AP155"/>
  <c r="AP166" s="1"/>
  <c r="K166"/>
  <c r="BB72"/>
  <c r="BB74"/>
  <c r="AX93"/>
  <c r="AZ93" s="1"/>
  <c r="AX98"/>
  <c r="AZ98" s="1"/>
  <c r="BB117"/>
  <c r="S133"/>
  <c r="S166" s="1"/>
  <c r="AL133"/>
  <c r="AV133"/>
  <c r="AT159"/>
  <c r="AT163" s="1"/>
  <c r="AT164" s="1"/>
  <c r="BB159"/>
  <c r="AU110"/>
  <c r="AX128"/>
  <c r="AZ128" s="1"/>
  <c r="BA128" s="1"/>
  <c r="AT128"/>
  <c r="V133"/>
  <c r="AM133"/>
  <c r="AZ144"/>
  <c r="AT151"/>
  <c r="AK151"/>
  <c r="BB151" s="1"/>
  <c r="AY151"/>
  <c r="AX151"/>
  <c r="AZ151" s="1"/>
  <c r="BA151" s="1"/>
  <c r="AK159"/>
  <c r="AK163" s="1"/>
  <c r="V166"/>
  <c r="BB103"/>
  <c r="Q133"/>
  <c r="BB138"/>
  <c r="AU154"/>
  <c r="AU155" s="1"/>
  <c r="Q155"/>
  <c r="AE155"/>
  <c r="AE166" s="1"/>
  <c r="AM155"/>
  <c r="AM166" s="1"/>
  <c r="BB160"/>
  <c r="AK103"/>
  <c r="BA103" s="1"/>
  <c r="BB116"/>
  <c r="BB137"/>
  <c r="AD166"/>
  <c r="AL166"/>
  <c r="AT103"/>
  <c r="AJ147"/>
  <c r="AT144"/>
  <c r="AK144"/>
  <c r="Y163"/>
  <c r="Y164" s="1"/>
  <c r="Y166" s="1"/>
  <c r="AY138"/>
  <c r="AY139" s="1"/>
  <c r="AY140" s="1"/>
  <c r="AY144"/>
  <c r="AY147" s="1"/>
  <c r="AX137"/>
  <c r="AY149"/>
  <c r="AZ149" s="1"/>
  <c r="AX152"/>
  <c r="AZ152" s="1"/>
  <c r="BA152" s="1"/>
  <c r="BB149"/>
  <c r="BA127" i="4" l="1"/>
  <c r="BB127" s="1"/>
  <c r="BB105"/>
  <c r="BA157"/>
  <c r="BC105"/>
  <c r="AU106"/>
  <c r="BB34"/>
  <c r="AI73"/>
  <c r="AJ73" s="1"/>
  <c r="AK73" s="1"/>
  <c r="AU73" s="1"/>
  <c r="AV176"/>
  <c r="AX187"/>
  <c r="Y187"/>
  <c r="BB117"/>
  <c r="BC121"/>
  <c r="P152"/>
  <c r="AY51"/>
  <c r="BA51" s="1"/>
  <c r="BA79"/>
  <c r="BB79" s="1"/>
  <c r="AU165"/>
  <c r="BB104"/>
  <c r="AV75"/>
  <c r="BA31"/>
  <c r="BB31" s="1"/>
  <c r="AZ181"/>
  <c r="AU88"/>
  <c r="N187"/>
  <c r="BB7"/>
  <c r="BA54"/>
  <c r="BB54" s="1"/>
  <c r="AY181"/>
  <c r="AP184"/>
  <c r="AP185" s="1"/>
  <c r="BA56"/>
  <c r="BB56" s="1"/>
  <c r="BA41"/>
  <c r="BB41" s="1"/>
  <c r="BA107"/>
  <c r="BB107" s="1"/>
  <c r="BA97"/>
  <c r="BB97" s="1"/>
  <c r="AU26"/>
  <c r="BC28"/>
  <c r="AV32"/>
  <c r="BC34"/>
  <c r="BC24"/>
  <c r="AV27"/>
  <c r="BB49"/>
  <c r="BA28"/>
  <c r="BB28" s="1"/>
  <c r="BC50"/>
  <c r="AU51"/>
  <c r="S187"/>
  <c r="BC12"/>
  <c r="BA43"/>
  <c r="BB43" s="1"/>
  <c r="AM187"/>
  <c r="BB16"/>
  <c r="BB22"/>
  <c r="BC22"/>
  <c r="AU16"/>
  <c r="AJ32"/>
  <c r="AY32" s="1"/>
  <c r="BC53"/>
  <c r="W187"/>
  <c r="BB35"/>
  <c r="AL187"/>
  <c r="AI21"/>
  <c r="AJ21" s="1"/>
  <c r="AY21" s="1"/>
  <c r="BB38"/>
  <c r="AU36"/>
  <c r="AC187"/>
  <c r="BB19"/>
  <c r="BA62"/>
  <c r="BB62" s="1"/>
  <c r="AK45"/>
  <c r="AU45" s="1"/>
  <c r="AU169"/>
  <c r="AU91"/>
  <c r="BA50"/>
  <c r="BB50" s="1"/>
  <c r="AU104"/>
  <c r="AP126"/>
  <c r="AF129"/>
  <c r="AU181"/>
  <c r="BC181"/>
  <c r="BA119"/>
  <c r="BB14"/>
  <c r="AT187"/>
  <c r="AU84"/>
  <c r="AY45"/>
  <c r="BC143"/>
  <c r="AI69"/>
  <c r="AJ69" s="1"/>
  <c r="BB89"/>
  <c r="BA171"/>
  <c r="BB171" s="1"/>
  <c r="BA44"/>
  <c r="BB44" s="1"/>
  <c r="AZ45"/>
  <c r="BA61"/>
  <c r="BB61" s="1"/>
  <c r="BB95"/>
  <c r="AF184"/>
  <c r="AF185" s="1"/>
  <c r="BC14"/>
  <c r="AU89"/>
  <c r="AV45"/>
  <c r="BB37"/>
  <c r="BA173"/>
  <c r="BB173" s="1"/>
  <c r="BA52"/>
  <c r="BB52" s="1"/>
  <c r="BB24"/>
  <c r="BB165"/>
  <c r="BB123"/>
  <c r="BB106"/>
  <c r="AK63"/>
  <c r="BC63" s="1"/>
  <c r="BA98"/>
  <c r="BB98" s="1"/>
  <c r="BC38"/>
  <c r="AV82"/>
  <c r="AV15"/>
  <c r="AU22"/>
  <c r="AU102"/>
  <c r="P187"/>
  <c r="BA147"/>
  <c r="BB147" s="1"/>
  <c r="AH187"/>
  <c r="BA156"/>
  <c r="BA158" s="1"/>
  <c r="BA159" s="1"/>
  <c r="BC107"/>
  <c r="AU123"/>
  <c r="AU97"/>
  <c r="BA33"/>
  <c r="BB33" s="1"/>
  <c r="BA90"/>
  <c r="BB90" s="1"/>
  <c r="AV23"/>
  <c r="BA183"/>
  <c r="BB183" s="1"/>
  <c r="BC37"/>
  <c r="BA181"/>
  <c r="BB181" s="1"/>
  <c r="BA99"/>
  <c r="BB99" s="1"/>
  <c r="AU173"/>
  <c r="BA57"/>
  <c r="BB57" s="1"/>
  <c r="AU99"/>
  <c r="BA36"/>
  <c r="BB36" s="1"/>
  <c r="BA113"/>
  <c r="BB113" s="1"/>
  <c r="BB53"/>
  <c r="AZ154" i="5"/>
  <c r="BA149"/>
  <c r="BA154" s="1"/>
  <c r="AU166"/>
  <c r="AT109"/>
  <c r="BB106"/>
  <c r="AJ123"/>
  <c r="AI129"/>
  <c r="BA47"/>
  <c r="AI184" i="4"/>
  <c r="AI185" s="1"/>
  <c r="AJ180"/>
  <c r="BB100"/>
  <c r="AK69"/>
  <c r="BC69" s="1"/>
  <c r="AZ69"/>
  <c r="AY69"/>
  <c r="AZ80"/>
  <c r="AY80"/>
  <c r="BC80"/>
  <c r="AK80"/>
  <c r="AU80" s="1"/>
  <c r="BA93" i="5"/>
  <c r="AZ138"/>
  <c r="BB100"/>
  <c r="AT118"/>
  <c r="AZ85"/>
  <c r="BA85" s="1"/>
  <c r="AK42"/>
  <c r="AT41"/>
  <c r="AT42" s="1"/>
  <c r="BB121"/>
  <c r="AZ24"/>
  <c r="BA24" s="1"/>
  <c r="AZ124"/>
  <c r="BA124" s="1"/>
  <c r="AJ56"/>
  <c r="AI90"/>
  <c r="BC136" i="4"/>
  <c r="AZ136"/>
  <c r="AY136"/>
  <c r="AK136"/>
  <c r="AU136" s="1"/>
  <c r="AZ31" i="5"/>
  <c r="BA31" s="1"/>
  <c r="AZ13"/>
  <c r="BA13" s="1"/>
  <c r="BC94" i="4"/>
  <c r="BB92"/>
  <c r="BB60"/>
  <c r="BA103"/>
  <c r="BB103" s="1"/>
  <c r="BA84"/>
  <c r="BB84" s="1"/>
  <c r="BA118"/>
  <c r="BB118" s="1"/>
  <c r="BA93"/>
  <c r="BB93" s="1"/>
  <c r="BA20"/>
  <c r="BB20" s="1"/>
  <c r="BC90"/>
  <c r="AY115"/>
  <c r="BA115" s="1"/>
  <c r="BB115" s="1"/>
  <c r="AU115"/>
  <c r="BC115"/>
  <c r="AK115"/>
  <c r="AZ115"/>
  <c r="BC119"/>
  <c r="AV11"/>
  <c r="AI11"/>
  <c r="AJ11" s="1"/>
  <c r="AU113"/>
  <c r="AP142"/>
  <c r="AF148"/>
  <c r="AP134"/>
  <c r="AF137"/>
  <c r="AI133" i="5"/>
  <c r="AI166" s="1"/>
  <c r="AK102"/>
  <c r="AY102"/>
  <c r="AY106" s="1"/>
  <c r="AX102"/>
  <c r="BB102"/>
  <c r="AT102"/>
  <c r="AY118"/>
  <c r="BC60" i="4"/>
  <c r="AV68"/>
  <c r="AI68"/>
  <c r="AP108"/>
  <c r="AZ75"/>
  <c r="AY75"/>
  <c r="AU75"/>
  <c r="AK75"/>
  <c r="AZ73"/>
  <c r="AY73"/>
  <c r="AU111"/>
  <c r="AK111"/>
  <c r="BC111" s="1"/>
  <c r="AZ111"/>
  <c r="AY111"/>
  <c r="AK147" i="5"/>
  <c r="AK155" s="1"/>
  <c r="BB144"/>
  <c r="AK131"/>
  <c r="AK132" s="1"/>
  <c r="AJ132"/>
  <c r="AY131"/>
  <c r="AY132" s="1"/>
  <c r="AX131"/>
  <c r="AZ127"/>
  <c r="BA127" s="1"/>
  <c r="AT73"/>
  <c r="AY73"/>
  <c r="AX73"/>
  <c r="AK73"/>
  <c r="BB73" s="1"/>
  <c r="BB83"/>
  <c r="AK118"/>
  <c r="BA159"/>
  <c r="BA163" s="1"/>
  <c r="BA164" s="1"/>
  <c r="AZ163"/>
  <c r="AZ164" s="1"/>
  <c r="AT105"/>
  <c r="BB57"/>
  <c r="AK57"/>
  <c r="AT57" s="1"/>
  <c r="AY57"/>
  <c r="AX57"/>
  <c r="AT29"/>
  <c r="AK174" i="4"/>
  <c r="AU174" s="1"/>
  <c r="AZ174"/>
  <c r="AY174"/>
  <c r="BB41" i="5"/>
  <c r="BB42" s="1"/>
  <c r="BB43" s="1"/>
  <c r="AZ35"/>
  <c r="BA35" s="1"/>
  <c r="BB172" i="4"/>
  <c r="AU120"/>
  <c r="BC93"/>
  <c r="AZ116"/>
  <c r="AY116"/>
  <c r="AK116"/>
  <c r="BC116" s="1"/>
  <c r="AV150"/>
  <c r="AV151" s="1"/>
  <c r="AI150"/>
  <c r="AU60"/>
  <c r="AU63" s="1"/>
  <c r="AU72"/>
  <c r="AK72"/>
  <c r="BC72" s="1"/>
  <c r="AZ72"/>
  <c r="AY72"/>
  <c r="BC49"/>
  <c r="AF108"/>
  <c r="AU82"/>
  <c r="BC82"/>
  <c r="AK82"/>
  <c r="AZ82"/>
  <c r="AY82"/>
  <c r="AV8"/>
  <c r="AI8"/>
  <c r="AJ8" s="1"/>
  <c r="BA12"/>
  <c r="BB12" s="1"/>
  <c r="BA19" i="5"/>
  <c r="AY15" i="4"/>
  <c r="AK15"/>
  <c r="AZ15"/>
  <c r="BB33" i="5"/>
  <c r="AY33"/>
  <c r="AX33"/>
  <c r="AK33"/>
  <c r="AT33" s="1"/>
  <c r="BA5"/>
  <c r="BC92" i="4"/>
  <c r="AZ128"/>
  <c r="AY128"/>
  <c r="AK128"/>
  <c r="AU128" s="1"/>
  <c r="AI77"/>
  <c r="AJ77" s="1"/>
  <c r="AV77"/>
  <c r="AR108"/>
  <c r="AR152" s="1"/>
  <c r="AR187" s="1"/>
  <c r="AZ147" i="5"/>
  <c r="BA144"/>
  <c r="BA147" s="1"/>
  <c r="AF90"/>
  <c r="AF133" s="1"/>
  <c r="AF166" s="1"/>
  <c r="BC30" i="4"/>
  <c r="AI17"/>
  <c r="AJ17" s="1"/>
  <c r="AV17"/>
  <c r="BA48"/>
  <c r="BB48" s="1"/>
  <c r="AY154" i="5"/>
  <c r="AY155" s="1"/>
  <c r="AT147"/>
  <c r="AX106"/>
  <c r="AZ92"/>
  <c r="BB115"/>
  <c r="BB120"/>
  <c r="BA82"/>
  <c r="BB29"/>
  <c r="BA16"/>
  <c r="BC158" i="4"/>
  <c r="AZ21" i="5"/>
  <c r="BA21" s="1"/>
  <c r="BA182" i="4"/>
  <c r="BB182" s="1"/>
  <c r="AZ18" i="5"/>
  <c r="BA18" s="1"/>
  <c r="BA164" i="4"/>
  <c r="BB164" s="1"/>
  <c r="BA122"/>
  <c r="BB122" s="1"/>
  <c r="BB38" i="5"/>
  <c r="BA87" i="4"/>
  <c r="BB87" s="1"/>
  <c r="BC145"/>
  <c r="BA120"/>
  <c r="BB120" s="1"/>
  <c r="AI70"/>
  <c r="AJ70" s="1"/>
  <c r="AV70"/>
  <c r="AU81"/>
  <c r="AT8" i="5"/>
  <c r="AU96" i="4"/>
  <c r="AU100"/>
  <c r="AP5"/>
  <c r="AF58"/>
  <c r="AF64" s="1"/>
  <c r="BC62"/>
  <c r="AK25"/>
  <c r="BC25" s="1"/>
  <c r="AY25"/>
  <c r="AZ25"/>
  <c r="BA143"/>
  <c r="BB143" s="1"/>
  <c r="BA71"/>
  <c r="BB71" s="1"/>
  <c r="BC76"/>
  <c r="AK76"/>
  <c r="AU76" s="1"/>
  <c r="AZ76"/>
  <c r="AY76"/>
  <c r="AI83"/>
  <c r="AJ83" s="1"/>
  <c r="AV83"/>
  <c r="AX139" i="5"/>
  <c r="AX140" s="1"/>
  <c r="AZ137"/>
  <c r="AZ139" s="1"/>
  <c r="AZ140" s="1"/>
  <c r="AK164"/>
  <c r="BB163"/>
  <c r="BB153"/>
  <c r="AT153"/>
  <c r="AT154" s="1"/>
  <c r="AT155" s="1"/>
  <c r="BB98"/>
  <c r="AZ70"/>
  <c r="BA70" s="1"/>
  <c r="AT127"/>
  <c r="AK106"/>
  <c r="AT69"/>
  <c r="AK110"/>
  <c r="BB110" s="1"/>
  <c r="BB118"/>
  <c r="BA105"/>
  <c r="AT120"/>
  <c r="AT121" s="1"/>
  <c r="AK62"/>
  <c r="AT62" s="1"/>
  <c r="AY62"/>
  <c r="AX62"/>
  <c r="AZ25"/>
  <c r="BA25" s="1"/>
  <c r="AZ30"/>
  <c r="BA30" s="1"/>
  <c r="AY58"/>
  <c r="AX58"/>
  <c r="AK58"/>
  <c r="AT58" s="1"/>
  <c r="BB31"/>
  <c r="AZ38"/>
  <c r="BA38" s="1"/>
  <c r="AP166" i="4"/>
  <c r="AI163"/>
  <c r="AK135"/>
  <c r="AU135" s="1"/>
  <c r="AZ135"/>
  <c r="AY135"/>
  <c r="AZ144"/>
  <c r="AY144"/>
  <c r="BC144"/>
  <c r="AK144"/>
  <c r="AU144" s="1"/>
  <c r="BA145"/>
  <c r="BB145" s="1"/>
  <c r="BA81"/>
  <c r="BB81" s="1"/>
  <c r="AZ8" i="5"/>
  <c r="BA8" s="1"/>
  <c r="BA96" i="4"/>
  <c r="BB96" s="1"/>
  <c r="BA55"/>
  <c r="BB55" s="1"/>
  <c r="AZ22" i="5"/>
  <c r="BA22" s="1"/>
  <c r="BB94" i="4"/>
  <c r="BB30"/>
  <c r="BA88"/>
  <c r="BB88" s="1"/>
  <c r="AY112"/>
  <c r="BA112" s="1"/>
  <c r="BB112" s="1"/>
  <c r="AU112"/>
  <c r="BC112"/>
  <c r="AK112"/>
  <c r="AZ112"/>
  <c r="AZ114"/>
  <c r="AY114"/>
  <c r="BA114" s="1"/>
  <c r="BB114" s="1"/>
  <c r="AU114"/>
  <c r="AK114"/>
  <c r="BC114" s="1"/>
  <c r="AK85"/>
  <c r="AU85" s="1"/>
  <c r="AZ85"/>
  <c r="AY85"/>
  <c r="AZ115" i="5"/>
  <c r="AX118"/>
  <c r="AI74" i="4"/>
  <c r="AJ74" s="1"/>
  <c r="AV74"/>
  <c r="AT110" i="5"/>
  <c r="AZ120"/>
  <c r="AZ121" s="1"/>
  <c r="AX121"/>
  <c r="AF175" i="4"/>
  <c r="AF176" s="1"/>
  <c r="AP168"/>
  <c r="AT18" i="5"/>
  <c r="BB18"/>
  <c r="AP140" i="4"/>
  <c r="AV139"/>
  <c r="AV140" s="1"/>
  <c r="AI139"/>
  <c r="AV110"/>
  <c r="AV124" s="1"/>
  <c r="AP124"/>
  <c r="AI110"/>
  <c r="BB119"/>
  <c r="AI29"/>
  <c r="AJ29" s="1"/>
  <c r="AV29"/>
  <c r="AK27"/>
  <c r="AU27" s="1"/>
  <c r="AZ27"/>
  <c r="AY27"/>
  <c r="AK23"/>
  <c r="AU23" s="1"/>
  <c r="AZ23"/>
  <c r="AY23"/>
  <c r="AX154" i="5"/>
  <c r="AX155" s="1"/>
  <c r="BA98"/>
  <c r="AZ87"/>
  <c r="BA87" s="1"/>
  <c r="AZ146"/>
  <c r="BA146" s="1"/>
  <c r="AX147"/>
  <c r="AZ109"/>
  <c r="BA109" s="1"/>
  <c r="AT92"/>
  <c r="AT106" s="1"/>
  <c r="AX110"/>
  <c r="AZ108"/>
  <c r="AZ88"/>
  <c r="BA88" s="1"/>
  <c r="BB154"/>
  <c r="AJ155"/>
  <c r="AZ104"/>
  <c r="BA104" s="1"/>
  <c r="AZ36"/>
  <c r="BA36" s="1"/>
  <c r="AZ34"/>
  <c r="BA34" s="1"/>
  <c r="M152" i="4"/>
  <c r="M187" s="1"/>
  <c r="BA78"/>
  <c r="BB78" s="1"/>
  <c r="BB91"/>
  <c r="AZ63"/>
  <c r="BB51"/>
  <c r="AJ15" i="5"/>
  <c r="AH39"/>
  <c r="AH43" s="1"/>
  <c r="AH166" s="1"/>
  <c r="BB101" i="4"/>
  <c r="BB18"/>
  <c r="AV13"/>
  <c r="AI13"/>
  <c r="AJ13" s="1"/>
  <c r="BA73" l="1"/>
  <c r="BB73" s="1"/>
  <c r="BA136"/>
  <c r="BA128"/>
  <c r="BB128" s="1"/>
  <c r="BC128"/>
  <c r="BC75"/>
  <c r="BC73"/>
  <c r="BA63"/>
  <c r="BC45"/>
  <c r="AK32"/>
  <c r="BC32" s="1"/>
  <c r="AZ32"/>
  <c r="BA32" s="1"/>
  <c r="BB32" s="1"/>
  <c r="BA45"/>
  <c r="BB45" s="1"/>
  <c r="BC15"/>
  <c r="BA27"/>
  <c r="BB27" s="1"/>
  <c r="AU15"/>
  <c r="AK21"/>
  <c r="AU21" s="1"/>
  <c r="AZ21"/>
  <c r="BA21" s="1"/>
  <c r="AU25"/>
  <c r="BC174"/>
  <c r="BA25"/>
  <c r="BB25" s="1"/>
  <c r="AU69"/>
  <c r="BA111"/>
  <c r="BB111" s="1"/>
  <c r="AU137"/>
  <c r="BA69"/>
  <c r="AP129"/>
  <c r="AI126"/>
  <c r="AV126"/>
  <c r="AV129" s="1"/>
  <c r="BA15"/>
  <c r="BB15" s="1"/>
  <c r="BA144"/>
  <c r="BB144" s="1"/>
  <c r="AU116"/>
  <c r="AF152"/>
  <c r="AF187" s="1"/>
  <c r="BB63"/>
  <c r="AK29"/>
  <c r="AU29" s="1"/>
  <c r="AZ29"/>
  <c r="AY29"/>
  <c r="BC85"/>
  <c r="BA76"/>
  <c r="BB76" s="1"/>
  <c r="BA116"/>
  <c r="BB116" s="1"/>
  <c r="AK133" i="5"/>
  <c r="BA75" i="4"/>
  <c r="BB75" s="1"/>
  <c r="AT56" i="5"/>
  <c r="AT90" s="1"/>
  <c r="AK56"/>
  <c r="AK90" s="1"/>
  <c r="AY56"/>
  <c r="AY90" s="1"/>
  <c r="AX56"/>
  <c r="AJ90"/>
  <c r="AK123"/>
  <c r="AK129" s="1"/>
  <c r="AX123"/>
  <c r="AJ129"/>
  <c r="BB129" s="1"/>
  <c r="AY123"/>
  <c r="AY129" s="1"/>
  <c r="AY133" s="1"/>
  <c r="AY166" s="1"/>
  <c r="BB123"/>
  <c r="AK83" i="4"/>
  <c r="AU83" s="1"/>
  <c r="AZ83"/>
  <c r="AY83"/>
  <c r="AI166"/>
  <c r="AJ163"/>
  <c r="AY13"/>
  <c r="AK13"/>
  <c r="AU13" s="1"/>
  <c r="AZ13"/>
  <c r="BB155" i="5"/>
  <c r="BA23" i="4"/>
  <c r="BB23" s="1"/>
  <c r="BC27"/>
  <c r="AI168"/>
  <c r="AP175"/>
  <c r="AP176" s="1"/>
  <c r="BA135"/>
  <c r="BB135" s="1"/>
  <c r="AZ62" i="5"/>
  <c r="BA62" s="1"/>
  <c r="BB147"/>
  <c r="AP58" i="4"/>
  <c r="AP64" s="1"/>
  <c r="AP65" s="1"/>
  <c r="AI5"/>
  <c r="AV5"/>
  <c r="AV58" s="1"/>
  <c r="AV64" s="1"/>
  <c r="AZ102" i="5"/>
  <c r="BA102" s="1"/>
  <c r="AY11" i="4"/>
  <c r="AK11"/>
  <c r="BC11" s="1"/>
  <c r="AZ11"/>
  <c r="BA80"/>
  <c r="BB80" s="1"/>
  <c r="AI124"/>
  <c r="AJ110"/>
  <c r="AP137"/>
  <c r="AI134"/>
  <c r="AV134"/>
  <c r="AV137" s="1"/>
  <c r="AZ17"/>
  <c r="AY17"/>
  <c r="AU17"/>
  <c r="BC17"/>
  <c r="AK17"/>
  <c r="AK77"/>
  <c r="AU77" s="1"/>
  <c r="AZ77"/>
  <c r="AY77"/>
  <c r="AK8"/>
  <c r="AU8" s="1"/>
  <c r="AY8"/>
  <c r="AZ8"/>
  <c r="AI151"/>
  <c r="AJ150"/>
  <c r="AT131" i="5"/>
  <c r="AT132" s="1"/>
  <c r="AJ68" i="4"/>
  <c r="AI108"/>
  <c r="AP148"/>
  <c r="AI142"/>
  <c r="AV142"/>
  <c r="AV148" s="1"/>
  <c r="AZ180"/>
  <c r="AZ184" s="1"/>
  <c r="AZ185" s="1"/>
  <c r="AY180"/>
  <c r="AK180"/>
  <c r="AK184" s="1"/>
  <c r="AK185" s="1"/>
  <c r="BC180"/>
  <c r="AJ184"/>
  <c r="AT15" i="5"/>
  <c r="AT39" s="1"/>
  <c r="AT43" s="1"/>
  <c r="BB15"/>
  <c r="AK15"/>
  <c r="AK39" s="1"/>
  <c r="AK43" s="1"/>
  <c r="AK166" s="1"/>
  <c r="AY15"/>
  <c r="AY39" s="1"/>
  <c r="AY43" s="1"/>
  <c r="AX15"/>
  <c r="AJ39"/>
  <c r="AJ43" s="1"/>
  <c r="AZ106"/>
  <c r="BA92"/>
  <c r="BA106" s="1"/>
  <c r="AZ131"/>
  <c r="AX132"/>
  <c r="AV108" i="4"/>
  <c r="BB136"/>
  <c r="BB69"/>
  <c r="AZ70"/>
  <c r="AY70"/>
  <c r="AK70"/>
  <c r="BC70" s="1"/>
  <c r="AI140"/>
  <c r="AJ139"/>
  <c r="AK74"/>
  <c r="BC74" s="1"/>
  <c r="AZ74"/>
  <c r="AY74"/>
  <c r="BB58" i="5"/>
  <c r="BA108"/>
  <c r="BA110" s="1"/>
  <c r="AZ110"/>
  <c r="BC23" i="4"/>
  <c r="BA85"/>
  <c r="BB85" s="1"/>
  <c r="BC135"/>
  <c r="BB62" i="5"/>
  <c r="BA82" i="4"/>
  <c r="BB82" s="1"/>
  <c r="BA72"/>
  <c r="BB72" s="1"/>
  <c r="AZ118" i="5"/>
  <c r="BA115"/>
  <c r="BA118" s="1"/>
  <c r="AZ58"/>
  <c r="BA58" s="1"/>
  <c r="BB164"/>
  <c r="AZ33"/>
  <c r="BA33" s="1"/>
  <c r="AZ57"/>
  <c r="BA57" s="1"/>
  <c r="BB131"/>
  <c r="BA155"/>
  <c r="BA174" i="4"/>
  <c r="BB174" s="1"/>
  <c r="AZ73" i="5"/>
  <c r="BA73" s="1"/>
  <c r="BB132"/>
  <c r="AZ155"/>
  <c r="BB21" i="4" l="1"/>
  <c r="BC21"/>
  <c r="AV152"/>
  <c r="AV187" s="1"/>
  <c r="BA74"/>
  <c r="BB74" s="1"/>
  <c r="AU74"/>
  <c r="BA83"/>
  <c r="AU32"/>
  <c r="BA17"/>
  <c r="BB17" s="1"/>
  <c r="AI129"/>
  <c r="AJ126"/>
  <c r="BA77"/>
  <c r="BB77" s="1"/>
  <c r="BC29"/>
  <c r="BA8"/>
  <c r="BB8" s="1"/>
  <c r="AJ142"/>
  <c r="AI148"/>
  <c r="AJ124"/>
  <c r="AY110"/>
  <c r="AK110"/>
  <c r="AK124" s="1"/>
  <c r="AZ110"/>
  <c r="AZ124" s="1"/>
  <c r="AJ133" i="5"/>
  <c r="AP152" i="4"/>
  <c r="BC77"/>
  <c r="AU11"/>
  <c r="BC13"/>
  <c r="BC83"/>
  <c r="AT123" i="5"/>
  <c r="AT129" s="1"/>
  <c r="BB90"/>
  <c r="AJ185" i="4"/>
  <c r="BC184"/>
  <c r="AI137"/>
  <c r="AJ134"/>
  <c r="BA13"/>
  <c r="BB13" s="1"/>
  <c r="AZ56" i="5"/>
  <c r="AX90"/>
  <c r="AX129"/>
  <c r="AX133" s="1"/>
  <c r="AX166" s="1"/>
  <c r="AZ123"/>
  <c r="AY139" i="4"/>
  <c r="AK139"/>
  <c r="AK140" s="1"/>
  <c r="AJ140"/>
  <c r="AZ139"/>
  <c r="AZ140" s="1"/>
  <c r="AU70"/>
  <c r="AZ15" i="5"/>
  <c r="AX39"/>
  <c r="AX43" s="1"/>
  <c r="AY68" i="4"/>
  <c r="AK68"/>
  <c r="AK108" s="1"/>
  <c r="AJ108"/>
  <c r="AZ68"/>
  <c r="AZ108" s="1"/>
  <c r="BC8"/>
  <c r="AI58"/>
  <c r="AI64" s="1"/>
  <c r="AJ5"/>
  <c r="BA131" i="5"/>
  <c r="BA132" s="1"/>
  <c r="AZ132"/>
  <c r="AU180" i="4"/>
  <c r="AU184" s="1"/>
  <c r="AU185" s="1"/>
  <c r="AT133" i="5"/>
  <c r="AT166" s="1"/>
  <c r="BA11" i="4"/>
  <c r="BB11" s="1"/>
  <c r="BB56" i="5"/>
  <c r="BA29" i="4"/>
  <c r="BB29" s="1"/>
  <c r="BA70"/>
  <c r="BB70" s="1"/>
  <c r="AY184"/>
  <c r="AY185" s="1"/>
  <c r="BA180"/>
  <c r="AP187"/>
  <c r="BB83"/>
  <c r="AZ150"/>
  <c r="AZ151" s="1"/>
  <c r="AY150"/>
  <c r="AJ151"/>
  <c r="AK150"/>
  <c r="AK151" s="1"/>
  <c r="AJ168"/>
  <c r="AI175"/>
  <c r="AI176" s="1"/>
  <c r="AJ166"/>
  <c r="AK163"/>
  <c r="AK166" s="1"/>
  <c r="AZ163"/>
  <c r="AZ166" s="1"/>
  <c r="AY163"/>
  <c r="AU68" l="1"/>
  <c r="AK126"/>
  <c r="AJ129"/>
  <c r="AY126"/>
  <c r="AZ126"/>
  <c r="AZ129" s="1"/>
  <c r="AU163"/>
  <c r="AU166" s="1"/>
  <c r="BC110"/>
  <c r="AI152"/>
  <c r="BC166"/>
  <c r="BC163"/>
  <c r="AK142"/>
  <c r="AK148" s="1"/>
  <c r="AZ142"/>
  <c r="AZ148" s="1"/>
  <c r="AJ148"/>
  <c r="AY142"/>
  <c r="AY151"/>
  <c r="BA150"/>
  <c r="AI187"/>
  <c r="BA56" i="5"/>
  <c r="BA90" s="1"/>
  <c r="AZ90"/>
  <c r="AJ175" i="4"/>
  <c r="AZ168"/>
  <c r="AZ175" s="1"/>
  <c r="AZ176" s="1"/>
  <c r="AY168"/>
  <c r="AK168"/>
  <c r="AK175" s="1"/>
  <c r="AK176" s="1"/>
  <c r="BA133" i="5"/>
  <c r="BA166" s="1"/>
  <c r="BA15"/>
  <c r="BA39" s="1"/>
  <c r="BA43" s="1"/>
  <c r="AZ39"/>
  <c r="AZ43" s="1"/>
  <c r="BC151" i="4"/>
  <c r="AY166"/>
  <c r="BA163"/>
  <c r="AY108"/>
  <c r="BA68"/>
  <c r="BC140"/>
  <c r="AK134"/>
  <c r="AK137" s="1"/>
  <c r="AZ134"/>
  <c r="AZ137" s="1"/>
  <c r="AY134"/>
  <c r="AJ137"/>
  <c r="AJ58"/>
  <c r="AZ5"/>
  <c r="AZ58" s="1"/>
  <c r="AZ64" s="1"/>
  <c r="AY5"/>
  <c r="AK5"/>
  <c r="AK58" s="1"/>
  <c r="AK64" s="1"/>
  <c r="BC139"/>
  <c r="BB133" i="5"/>
  <c r="AJ166"/>
  <c r="BB166" s="1"/>
  <c r="BC150" i="4"/>
  <c r="AU139"/>
  <c r="AU140" s="1"/>
  <c r="BC185"/>
  <c r="AU110"/>
  <c r="AU124" s="1"/>
  <c r="AU150"/>
  <c r="AU151" s="1"/>
  <c r="BA184"/>
  <c r="BA185" s="1"/>
  <c r="BB180"/>
  <c r="BB184" s="1"/>
  <c r="BB185" s="1"/>
  <c r="BC68"/>
  <c r="AY140"/>
  <c r="BA139"/>
  <c r="BA140" s="1"/>
  <c r="AZ129" i="5"/>
  <c r="AZ133" s="1"/>
  <c r="AZ166" s="1"/>
  <c r="BA123"/>
  <c r="BA129" s="1"/>
  <c r="AY124" i="4"/>
  <c r="BA110"/>
  <c r="BC108"/>
  <c r="AU108"/>
  <c r="BC124"/>
  <c r="AZ152" l="1"/>
  <c r="AZ187" s="1"/>
  <c r="AU168"/>
  <c r="AU175" s="1"/>
  <c r="AU176" s="1"/>
  <c r="BC129"/>
  <c r="BA126"/>
  <c r="AY129"/>
  <c r="AK129"/>
  <c r="AK152" s="1"/>
  <c r="AK187" s="1"/>
  <c r="BC126"/>
  <c r="AU126"/>
  <c r="AU129" s="1"/>
  <c r="BC168"/>
  <c r="AY148"/>
  <c r="BA142"/>
  <c r="BC134"/>
  <c r="BA166"/>
  <c r="BB163"/>
  <c r="BB166" s="1"/>
  <c r="AJ176"/>
  <c r="BC175"/>
  <c r="BC148"/>
  <c r="AU5"/>
  <c r="AU58" s="1"/>
  <c r="AU64" s="1"/>
  <c r="BB68"/>
  <c r="BB108" s="1"/>
  <c r="BA108"/>
  <c r="BC142"/>
  <c r="AY58"/>
  <c r="AY64" s="1"/>
  <c r="BA5"/>
  <c r="BC137"/>
  <c r="AU142"/>
  <c r="AU148" s="1"/>
  <c r="AU152" s="1"/>
  <c r="BA124"/>
  <c r="BB110"/>
  <c r="BB124" s="1"/>
  <c r="AJ64"/>
  <c r="BC64" s="1"/>
  <c r="BC58"/>
  <c r="BC5"/>
  <c r="AY137"/>
  <c r="BA134"/>
  <c r="AJ152"/>
  <c r="BA151"/>
  <c r="BB150"/>
  <c r="BB151" s="1"/>
  <c r="BA168"/>
  <c r="AY175"/>
  <c r="AY176" s="1"/>
  <c r="AY152"/>
  <c r="AU187" l="1"/>
  <c r="BC152"/>
  <c r="BB126"/>
  <c r="BB129" s="1"/>
  <c r="BA129"/>
  <c r="BB134"/>
  <c r="BB137" s="1"/>
  <c r="BA137"/>
  <c r="BA58"/>
  <c r="BA64" s="1"/>
  <c r="BB5"/>
  <c r="BB58" s="1"/>
  <c r="BB64" s="1"/>
  <c r="AY187"/>
  <c r="BA175"/>
  <c r="BA176" s="1"/>
  <c r="BB168"/>
  <c r="BB175" s="1"/>
  <c r="BB176" s="1"/>
  <c r="BC176"/>
  <c r="AJ187"/>
  <c r="BB142"/>
  <c r="BB148" s="1"/>
  <c r="BB152" s="1"/>
  <c r="BA148"/>
  <c r="BA152" s="1"/>
  <c r="BB187" l="1"/>
  <c r="BA187"/>
</calcChain>
</file>

<file path=xl/sharedStrings.xml><?xml version="1.0" encoding="utf-8"?>
<sst xmlns="http://schemas.openxmlformats.org/spreadsheetml/2006/main" count="1272" uniqueCount="299">
  <si>
    <t>№</t>
  </si>
  <si>
    <t>ТОВ</t>
  </si>
  <si>
    <t>Посада</t>
  </si>
  <si>
    <t>Оклад</t>
  </si>
  <si>
    <t>Кількість ставки</t>
  </si>
  <si>
    <t>Ставка</t>
  </si>
  <si>
    <t>розмір ЄСВ</t>
  </si>
  <si>
    <t>Вид зайнятості</t>
  </si>
  <si>
    <t>зарплата</t>
  </si>
  <si>
    <t>Візити лікарів</t>
  </si>
  <si>
    <t>Внесення в МІС</t>
  </si>
  <si>
    <t>Консультації вузьких спеціалістів</t>
  </si>
  <si>
    <t>Паліатив (ЕКГ)</t>
  </si>
  <si>
    <t>Виїзди середнього медичного персоналу</t>
  </si>
  <si>
    <t>Всього нараховано по розшифровці чистими</t>
  </si>
  <si>
    <t>Оклад нарахований офіційно Прайден</t>
  </si>
  <si>
    <t>Оклад нарахований офіційно Дрогобицька</t>
  </si>
  <si>
    <t>Розшифровка офіційно Дрогобицька</t>
  </si>
  <si>
    <t xml:space="preserve">Розшифровка + оклад нарах. офіційно </t>
  </si>
  <si>
    <t>Утримання 23%</t>
  </si>
  <si>
    <t>Залишок до оплати (на руки) (кол. 28-29-30-31-32)</t>
  </si>
  <si>
    <t>отримано на руки</t>
  </si>
  <si>
    <t>готівка ( карта ) Дрогобицька</t>
  </si>
  <si>
    <t>готівка ( карта ) Прайден</t>
  </si>
  <si>
    <t>Сума утримань по програмі (кол. 28 * 23%)</t>
  </si>
  <si>
    <t xml:space="preserve">22 % ЄСВ нарахування </t>
  </si>
  <si>
    <t xml:space="preserve">Утримання + нарахування (5%+18%+22% (8,41 інв)) </t>
  </si>
  <si>
    <t>Контрольні формули</t>
  </si>
  <si>
    <t>Кількість</t>
  </si>
  <si>
    <t>Тариф</t>
  </si>
  <si>
    <t>Сума</t>
  </si>
  <si>
    <t>ВІННИЦЬКИЙ ФІЛІАЛ</t>
  </si>
  <si>
    <t>Вінниця</t>
  </si>
  <si>
    <t>1</t>
  </si>
  <si>
    <t>Кивирига Андрій Васильович</t>
  </si>
  <si>
    <t>Прайден Мед</t>
  </si>
  <si>
    <t>лікар хірург</t>
  </si>
  <si>
    <t>основне</t>
  </si>
  <si>
    <t>головний лікар</t>
  </si>
  <si>
    <t>внутрішнє сумісництво</t>
  </si>
  <si>
    <t>Сім.пол. дрог. р-ну</t>
  </si>
  <si>
    <t>зовнішнє сумісництво</t>
  </si>
  <si>
    <t>2</t>
  </si>
  <si>
    <t>Українець Володимир Михайлович</t>
  </si>
  <si>
    <t>лікар-хірург</t>
  </si>
  <si>
    <t>Козлова Людмила Володимирівна</t>
  </si>
  <si>
    <t>психолог</t>
  </si>
  <si>
    <t>Смеречинська Альона Володимирівна</t>
  </si>
  <si>
    <t>лікар-терапевт</t>
  </si>
  <si>
    <t>Сохацька Алла Василівна</t>
  </si>
  <si>
    <t>Клімішена Світлана Володимирівна</t>
  </si>
  <si>
    <t>Мовчан Ігор Антонович</t>
  </si>
  <si>
    <t>лікар невропатолог</t>
  </si>
  <si>
    <t>Головчанська-Пушкар Світлана Євгенівна</t>
  </si>
  <si>
    <t>Аронов Борис Михайлович</t>
  </si>
  <si>
    <t>лікар-анестезіолог</t>
  </si>
  <si>
    <t>Біговщиць Софія Володимирівна</t>
  </si>
  <si>
    <t>Куцак Людмила Петрівна</t>
  </si>
  <si>
    <t>лікар-невролог</t>
  </si>
  <si>
    <t>Москаленко Олена Іванівна</t>
  </si>
  <si>
    <t>Бабій Катерина Миколаївна</t>
  </si>
  <si>
    <t>Ігнатенко Марія Валеріївна</t>
  </si>
  <si>
    <t>Нестерюк Катерина Василівна</t>
  </si>
  <si>
    <t xml:space="preserve">Сестра медична </t>
  </si>
  <si>
    <t>Горобець Єлизавета Степанівна</t>
  </si>
  <si>
    <t>Лоєвська Наталя Віталіївна</t>
  </si>
  <si>
    <t>Лівшун Тетяна Василівна</t>
  </si>
  <si>
    <t>Олійник Інна Віталіївна</t>
  </si>
  <si>
    <t>Карплюк Альона Володимирівна</t>
  </si>
  <si>
    <t>Коломієць Стефанія Станіславівна</t>
  </si>
  <si>
    <t>фельдшер</t>
  </si>
  <si>
    <t>Віржевська Катерина Василівна</t>
  </si>
  <si>
    <t>Менеджер з питань регіонального розвитку</t>
  </si>
  <si>
    <t>Смеречинський Анатолій Сергійович</t>
  </si>
  <si>
    <t>Водій</t>
  </si>
  <si>
    <t>Куйбіда Наталя Сергіївна</t>
  </si>
  <si>
    <t>реєстратор медичний</t>
  </si>
  <si>
    <t>Всього по Вінниці</t>
  </si>
  <si>
    <t>Хмільник</t>
  </si>
  <si>
    <t>Приймук Вікторія Валентинівна</t>
  </si>
  <si>
    <t>сімейний лікар</t>
  </si>
  <si>
    <t>сестра медична сімейна</t>
  </si>
  <si>
    <t>Всього по Хмільнику</t>
  </si>
  <si>
    <t>Всього по Вінницькій області</t>
  </si>
  <si>
    <t>ХМЕЛЬНИЦЬКИЙ ФІЛІАЛ</t>
  </si>
  <si>
    <t>Хмельницький</t>
  </si>
  <si>
    <t>Боднар Діана Степанівна</t>
  </si>
  <si>
    <t>лікар терапевт</t>
  </si>
  <si>
    <t>Букіль Ольга Мирославівна</t>
  </si>
  <si>
    <t>лікар з медицини невідкладних станів</t>
  </si>
  <si>
    <t>Заграй Ярослав Ігорович</t>
  </si>
  <si>
    <t>лікар ФРМ</t>
  </si>
  <si>
    <t>Мартинова Олена Андріївна</t>
  </si>
  <si>
    <t>лікар-отолоаринголог</t>
  </si>
  <si>
    <t>Матушевська Валерія Вячеславівна</t>
  </si>
  <si>
    <t>Польова Ольга Сергіївна</t>
  </si>
  <si>
    <t>Барабанов Євген Семенович</t>
  </si>
  <si>
    <t>Богданов Владислав Миколайович</t>
  </si>
  <si>
    <t>Стрельбіцька Ольга Олнгівна</t>
  </si>
  <si>
    <t>Дорогий Володимир Миколайович</t>
  </si>
  <si>
    <t>Коцюба Ганна Леонідівна</t>
  </si>
  <si>
    <t>лікар-кардіолог</t>
  </si>
  <si>
    <t>Тітко Мирослава Михайлівна</t>
  </si>
  <si>
    <t>Щепанська Людмила Аркадіївна</t>
  </si>
  <si>
    <t>Войчишина Олеся Євгенівна</t>
  </si>
  <si>
    <t>сестра медична</t>
  </si>
  <si>
    <t>Саблук Валентина Володимирівна</t>
  </si>
  <si>
    <t>Маленька Ганна Анатоліївна</t>
  </si>
  <si>
    <t>Батовська Оксана Анатоліївна</t>
  </si>
  <si>
    <t>Турин Людмила Віталіївна</t>
  </si>
  <si>
    <t>водій</t>
  </si>
  <si>
    <t>Кіка Юрій Вікторович</t>
  </si>
  <si>
    <t>Говорун Олександр Валентинович</t>
  </si>
  <si>
    <t>Іванов Павло Іванович</t>
  </si>
  <si>
    <t>директор</t>
  </si>
  <si>
    <t>Заступник директора</t>
  </si>
  <si>
    <t>Щепанський Казимир Денисович</t>
  </si>
  <si>
    <t>Мединська Альона Леонідівна</t>
  </si>
  <si>
    <t>Карбовська Ольга Андріївна</t>
  </si>
  <si>
    <t>Бухгалтер</t>
  </si>
  <si>
    <t>Середюк Оксана Михайлівна</t>
  </si>
  <si>
    <t>Попадюк Юлія Юріївна</t>
  </si>
  <si>
    <t>основна медсестра</t>
  </si>
  <si>
    <t xml:space="preserve">Ворона Юлія </t>
  </si>
  <si>
    <t>Юрист</t>
  </si>
  <si>
    <t>Костенецька Ольга Ігорівна</t>
  </si>
  <si>
    <t>Інспектор з кадпрів</t>
  </si>
  <si>
    <t>Прибиральниця</t>
  </si>
  <si>
    <t>Сіс адмін</t>
  </si>
  <si>
    <t>Всього по Хмельницькому</t>
  </si>
  <si>
    <t>Волочиськ</t>
  </si>
  <si>
    <t>Савичева Алла Андріївна</t>
  </si>
  <si>
    <t>педіатр</t>
  </si>
  <si>
    <t>Соколова Іванна Ярославівна</t>
  </si>
  <si>
    <t>Мокрій Світлана Романівна</t>
  </si>
  <si>
    <t>Щесняк Мар'яна Василівна</t>
  </si>
  <si>
    <t>Степанишин Олександр Андрійович</t>
  </si>
  <si>
    <t>Ящишина Олександра Олександрівна</t>
  </si>
  <si>
    <t>Пелюх Інна Олександрівна</t>
  </si>
  <si>
    <t>Дацко Мар'яна Олегівна</t>
  </si>
  <si>
    <t>Марін Ольга миколаївна</t>
  </si>
  <si>
    <t>Сидорчук Анжеліка Петрівна</t>
  </si>
  <si>
    <t>Барабаш Оксана Володимирівна</t>
  </si>
  <si>
    <t>Глущак Валентина Володимирівна</t>
  </si>
  <si>
    <t>Ніжнік Марта Андріївна</t>
  </si>
  <si>
    <t>Всього по Волочиську</t>
  </si>
  <si>
    <t>Наркевичі</t>
  </si>
  <si>
    <t>Гудима Олена Анатоліївна</t>
  </si>
  <si>
    <t>3</t>
  </si>
  <si>
    <t>Ангелюк Наталія Михайлівна</t>
  </si>
  <si>
    <t>4</t>
  </si>
  <si>
    <t>Гаєвський Сергій</t>
  </si>
  <si>
    <t>Всього по Наркевичах</t>
  </si>
  <si>
    <t>Ярмолинці</t>
  </si>
  <si>
    <t>Всього по Ярмолинцях</t>
  </si>
  <si>
    <t>Старокостянтинів</t>
  </si>
  <si>
    <t>Начичко Микола Миколайович</t>
  </si>
  <si>
    <t>Шкодин Наталія Василівна</t>
  </si>
  <si>
    <t>Кричківська Світлана Олександрівна</t>
  </si>
  <si>
    <t>Всього по Старокостянтинову</t>
  </si>
  <si>
    <t>Білогір'я</t>
  </si>
  <si>
    <t>Яремчук Віталій Іванович</t>
  </si>
  <si>
    <t>лікар-акушер-гінеколог</t>
  </si>
  <si>
    <t>Всього по Білогір'ю</t>
  </si>
  <si>
    <t>Кам'янець-Подільський</t>
  </si>
  <si>
    <t>Опанасенко Анастасія Валеріївна</t>
  </si>
  <si>
    <t>Пшеничний Богдан Миколайович</t>
  </si>
  <si>
    <t>Булатович Ігор Анатолійович</t>
  </si>
  <si>
    <t>Панкратов Руслан Валерійович</t>
  </si>
  <si>
    <t>Заяць Світлана Анатоліївна</t>
  </si>
  <si>
    <t>Зінзюк Олександра Віталіївна</t>
  </si>
  <si>
    <t>Всього по Кам'янцю-Подільському</t>
  </si>
  <si>
    <t>Межибіж</t>
  </si>
  <si>
    <t>Топольніцький Олексій Миколайович</t>
  </si>
  <si>
    <t>Всього по Межибіжу</t>
  </si>
  <si>
    <t>Всього по Хмельницькому філіалу</t>
  </si>
  <si>
    <t>ВОЛИНСЬКИЙ ФІЛІАЛ</t>
  </si>
  <si>
    <t>Луцьк</t>
  </si>
  <si>
    <t>Всього по Луцьку</t>
  </si>
  <si>
    <t>Всього по Волинському філіалу</t>
  </si>
  <si>
    <t>ТЕРНОПІЛЬСЬКИЙ ФІЛІАЛ</t>
  </si>
  <si>
    <t>Тернопіль</t>
  </si>
  <si>
    <t>Березуцька Оксана Миколаївна</t>
  </si>
  <si>
    <t>Бобрик Уляна Михайлііна</t>
  </si>
  <si>
    <t>Всього по Тернополю</t>
  </si>
  <si>
    <t>Чортків</t>
  </si>
  <si>
    <t xml:space="preserve"> Григорчук Ганна Мусіївна</t>
  </si>
  <si>
    <t>Пиюн Галина Мар'янівна</t>
  </si>
  <si>
    <t>Камінська Катерина Ярославівна</t>
  </si>
  <si>
    <t>Всього по Чорткову</t>
  </si>
  <si>
    <t>Всього по Тернопільському філіалу</t>
  </si>
  <si>
    <t>ІВАНО-ФРАНКІВСЬКИЙ ФІЛІАЛ</t>
  </si>
  <si>
    <t>Коломия</t>
  </si>
  <si>
    <t>Сахарова Ганна Романівна</t>
  </si>
  <si>
    <t>Назарук Ірина Миронівна</t>
  </si>
  <si>
    <t>Бойчук Ганна Петрівна</t>
  </si>
  <si>
    <t>Всього по Коломиї</t>
  </si>
  <si>
    <t>Всього по Івано-Франківському філіалу</t>
  </si>
  <si>
    <t>Разом по закладу</t>
  </si>
  <si>
    <t>Донарах премія для донарахування по ставках</t>
  </si>
  <si>
    <t xml:space="preserve">Чергова виплата </t>
  </si>
  <si>
    <t>лікарняні</t>
  </si>
  <si>
    <t>8</t>
  </si>
  <si>
    <t>20</t>
  </si>
  <si>
    <t>21</t>
  </si>
  <si>
    <t>27</t>
  </si>
  <si>
    <t>Романенко Олександр Віталійович</t>
  </si>
  <si>
    <t>Романова Ольга Володимирівна</t>
  </si>
  <si>
    <t>Дранчук Олег Мирославович</t>
  </si>
  <si>
    <t>лікар-інфекціоніст</t>
  </si>
  <si>
    <t>аудіо</t>
  </si>
  <si>
    <t>лікарняне</t>
  </si>
  <si>
    <t xml:space="preserve">Звільнення </t>
  </si>
  <si>
    <t xml:space="preserve">Премія лікарям </t>
  </si>
  <si>
    <t>звільнено в 02,04</t>
  </si>
  <si>
    <t>Приймук Віка Валентинівна</t>
  </si>
  <si>
    <t>Ляхович Віталій Олександрович</t>
  </si>
  <si>
    <t>Адміністратор системи</t>
  </si>
  <si>
    <t>Семенчук Інна Миколаївна</t>
  </si>
  <si>
    <t xml:space="preserve">Кисельова Людмила Михайлівна </t>
  </si>
  <si>
    <t>лікар-нефролог</t>
  </si>
  <si>
    <t>виконанвчий директор</t>
  </si>
  <si>
    <t xml:space="preserve">Калапко-Мацієвська Олена Миколаївна </t>
  </si>
  <si>
    <t>менеджер-управитель</t>
  </si>
  <si>
    <t xml:space="preserve">Яновська Ірина Олександрівна </t>
  </si>
  <si>
    <t>адміністратор системи</t>
  </si>
  <si>
    <t>Починок Орест Мар'янович</t>
  </si>
  <si>
    <t>5</t>
  </si>
  <si>
    <t xml:space="preserve">Ісаханова Галина Орестівна </t>
  </si>
  <si>
    <t>6</t>
  </si>
  <si>
    <t>ісаханова</t>
  </si>
  <si>
    <t>говорун</t>
  </si>
  <si>
    <t>починок</t>
  </si>
  <si>
    <t>саблук</t>
  </si>
  <si>
    <t>зп</t>
  </si>
  <si>
    <t>інші візити</t>
  </si>
  <si>
    <t>Надбавка за роз хар</t>
  </si>
  <si>
    <t>Надбавка за амортизацію</t>
  </si>
  <si>
    <r>
      <rPr>
        <b/>
        <sz val="11"/>
        <color rgb="FFFF0000"/>
        <rFont val="Times New Roman"/>
      </rPr>
      <t>Чиста</t>
    </r>
    <r>
      <rPr>
        <b/>
        <sz val="11"/>
        <color theme="1"/>
        <rFont val="Times New Roman"/>
      </rPr>
      <t xml:space="preserve"> надбавка за розїзний характер </t>
    </r>
  </si>
  <si>
    <t>компенсація відпустки / відпустка</t>
  </si>
  <si>
    <t>Аванс за квітень  17,04</t>
  </si>
  <si>
    <t xml:space="preserve">Премія  для ставочників </t>
  </si>
  <si>
    <t>надбавка за роз характер праці</t>
  </si>
  <si>
    <t>звільнена 30,04</t>
  </si>
  <si>
    <t>звільнена 15,04</t>
  </si>
  <si>
    <t>звільнена 02,04</t>
  </si>
  <si>
    <t>Рябошапко Олександра Василівна</t>
  </si>
  <si>
    <t>Коломієць Наталія Володимирівна</t>
  </si>
  <si>
    <t>Лікар - акушер-гінеколог</t>
  </si>
  <si>
    <t>Килимчук Лілія Сергіївна</t>
  </si>
  <si>
    <t>звільнена 13,04</t>
  </si>
  <si>
    <t>Приймак Світлана Андріївна</t>
  </si>
  <si>
    <t>Шляхтун Максим Сергійович</t>
  </si>
  <si>
    <t>1 / 2</t>
  </si>
  <si>
    <t>медичний директор</t>
  </si>
  <si>
    <t>аниш</t>
  </si>
  <si>
    <t>Матушевський Богдан Олександрович</t>
  </si>
  <si>
    <t>Лікар-невропатолог</t>
  </si>
  <si>
    <t xml:space="preserve">Андрійчук Аліна Олександрівна </t>
  </si>
  <si>
    <t>Крещенко Дарія Миколаївна</t>
  </si>
  <si>
    <t>Лікар-гастроентеролог</t>
  </si>
  <si>
    <t>Психолог</t>
  </si>
  <si>
    <t>Менеджер-управитель</t>
  </si>
  <si>
    <t>Гарбарук Марія Василівна</t>
  </si>
  <si>
    <t>Парасимчук Ярослав Романович</t>
  </si>
  <si>
    <t>Копистенський Михайло Ярославович</t>
  </si>
  <si>
    <t xml:space="preserve">Рибачок Ірина Сергіївна </t>
  </si>
  <si>
    <r>
      <rPr>
        <b/>
        <sz val="11"/>
        <color rgb="FFFF0000"/>
        <rFont val="Times New Roman"/>
      </rPr>
      <t>Чиста</t>
    </r>
    <r>
      <rPr>
        <b/>
        <sz val="11"/>
        <color theme="1"/>
        <rFont val="Times New Roman"/>
      </rPr>
      <t xml:space="preserve"> надбавка за розїзний характер </t>
    </r>
  </si>
  <si>
    <t>Оклад нарахований офіційно Санаріс грпп</t>
  </si>
  <si>
    <t>Розшифровка нарахована</t>
  </si>
  <si>
    <t>Аванс за травень  15,05-18,05</t>
  </si>
  <si>
    <t>Премія  іншим</t>
  </si>
  <si>
    <t>надбавки</t>
  </si>
  <si>
    <t>виплатити 1500</t>
  </si>
  <si>
    <t>Талай Марина Володимирівна</t>
  </si>
  <si>
    <t>кардіолог</t>
  </si>
  <si>
    <t>Коханова Ольга Сергіївна</t>
  </si>
  <si>
    <t>Уманець Ольга Василівна</t>
  </si>
  <si>
    <t>30500+надбавки</t>
  </si>
  <si>
    <t>28500+надбавки</t>
  </si>
  <si>
    <t>29</t>
  </si>
  <si>
    <t>30</t>
  </si>
  <si>
    <t>31</t>
  </si>
  <si>
    <t>32</t>
  </si>
  <si>
    <t>кадровик</t>
  </si>
  <si>
    <t>33</t>
  </si>
  <si>
    <t>Думарецька Крістіна Вікторівна</t>
  </si>
  <si>
    <t>Санаріс Груп</t>
  </si>
  <si>
    <t>змінусувати 1500  пересчитати точно</t>
  </si>
  <si>
    <t>1 /  2</t>
  </si>
  <si>
    <t>прийнято 05.05  25</t>
  </si>
  <si>
    <t>Максимчук Вероніка Андріївна</t>
  </si>
  <si>
    <t>прийнято 01,05</t>
  </si>
  <si>
    <t>Повар Катерина Борисівна</t>
  </si>
  <si>
    <t>Сестра медична</t>
  </si>
  <si>
    <t>прийнято 15.05</t>
  </si>
  <si>
    <t>Ніколаєва Людмила Ігорівна</t>
  </si>
  <si>
    <t>Фельдшер</t>
  </si>
  <si>
    <t xml:space="preserve"> па</t>
  </si>
</sst>
</file>

<file path=xl/styles.xml><?xml version="1.0" encoding="utf-8"?>
<styleSheet xmlns="http://schemas.openxmlformats.org/spreadsheetml/2006/main">
  <numFmts count="1">
    <numFmt numFmtId="164" formatCode="d/m"/>
  </numFmts>
  <fonts count="22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color theme="1"/>
      <name val="Arial"/>
    </font>
    <font>
      <sz val="10"/>
      <name val="Arial"/>
    </font>
    <font>
      <b/>
      <sz val="11"/>
      <color rgb="FFFFFFFF"/>
      <name val="Times New Roman"/>
    </font>
    <font>
      <sz val="11"/>
      <color theme="1"/>
      <name val="Times New Roman"/>
    </font>
    <font>
      <b/>
      <sz val="11"/>
      <color theme="0"/>
      <name val="Times New Roman"/>
    </font>
    <font>
      <sz val="11"/>
      <color theme="0"/>
      <name val="Times New Roman"/>
    </font>
    <font>
      <sz val="11"/>
      <color rgb="FFFF0000"/>
      <name val="Times New Roman"/>
    </font>
    <font>
      <sz val="10"/>
      <color rgb="FFFF000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2"/>
      <color theme="1"/>
      <name val="Times New Roman"/>
    </font>
    <font>
      <sz val="9"/>
      <color theme="1"/>
      <name val="Times New Roman"/>
    </font>
    <font>
      <sz val="11"/>
      <color theme="1"/>
      <name val="Arial"/>
    </font>
    <font>
      <sz val="10"/>
      <color theme="1"/>
      <name val="Times New Roman"/>
    </font>
    <font>
      <b/>
      <sz val="12"/>
      <color rgb="FFFFFFFF"/>
      <name val="Times New Roman"/>
    </font>
    <font>
      <sz val="11"/>
      <color rgb="FF000000"/>
      <name val="Times New Roman"/>
    </font>
    <font>
      <b/>
      <sz val="14"/>
      <color theme="1"/>
      <name val="Times New Roman"/>
    </font>
    <font>
      <sz val="11"/>
      <color rgb="FFFFFFFF"/>
      <name val="Times New Roman"/>
    </font>
    <font>
      <sz val="11"/>
      <color rgb="FF0000FF"/>
      <name val="Times New Roman"/>
    </font>
    <font>
      <b/>
      <sz val="11"/>
      <color rgb="FFFF0000"/>
      <name val="Times New Roman"/>
    </font>
  </fonts>
  <fills count="4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38761D"/>
        <bgColor rgb="FF38761D"/>
      </patternFill>
    </fill>
    <fill>
      <patternFill patternType="solid">
        <fgColor rgb="FF00FFFF"/>
        <bgColor rgb="FF00FFFF"/>
      </patternFill>
    </fill>
    <fill>
      <patternFill patternType="solid">
        <fgColor rgb="FFA64D79"/>
        <bgColor rgb="FFA64D7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A61C00"/>
        <bgColor rgb="FFA61C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theme="9"/>
        <bgColor theme="9"/>
      </patternFill>
    </fill>
    <fill>
      <patternFill patternType="solid">
        <fgColor rgb="FFCCCCCC"/>
        <bgColor rgb="FFCCCCCC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0000FF"/>
        <bgColor rgb="FF0000FF"/>
      </patternFill>
    </fill>
    <fill>
      <patternFill patternType="solid">
        <fgColor rgb="FFB7B7B7"/>
        <bgColor rgb="FFB7B7B7"/>
      </patternFill>
    </fill>
    <fill>
      <patternFill patternType="solid">
        <fgColor rgb="FFC27BA0"/>
        <bgColor rgb="FFC27BA0"/>
      </patternFill>
    </fill>
    <fill>
      <patternFill patternType="solid">
        <fgColor rgb="FF9900FF"/>
        <bgColor rgb="FF9900FF"/>
      </patternFill>
    </fill>
    <fill>
      <patternFill patternType="solid">
        <fgColor rgb="FF6AA84F"/>
        <bgColor rgb="FF6AA84F"/>
      </patternFill>
    </fill>
    <fill>
      <patternFill patternType="solid">
        <fgColor theme="8"/>
        <bgColor theme="8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CCCCC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FF0000"/>
      </patternFill>
    </fill>
    <fill>
      <patternFill patternType="solid">
        <fgColor rgb="FFFFFF00"/>
        <bgColor rgb="FFB7B7B7"/>
      </patternFill>
    </fill>
    <fill>
      <patternFill patternType="solid">
        <fgColor rgb="FFFFFF00"/>
        <bgColor theme="9"/>
      </patternFill>
    </fill>
    <fill>
      <patternFill patternType="solid">
        <fgColor rgb="FFFFFF00"/>
        <bgColor rgb="FFA61C00"/>
      </patternFill>
    </fill>
    <fill>
      <patternFill patternType="solid">
        <fgColor rgb="FFFFFF00"/>
        <bgColor rgb="FF38761D"/>
      </patternFill>
    </fill>
    <fill>
      <patternFill patternType="solid">
        <fgColor rgb="FFFFFF00"/>
        <bgColor rgb="FF4A86E8"/>
      </patternFill>
    </fill>
    <fill>
      <patternFill patternType="solid">
        <fgColor rgb="FFFFFF00"/>
        <bgColor rgb="FFA64D79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E06666"/>
      </top>
      <bottom style="thin">
        <color rgb="FF000000"/>
      </bottom>
      <diagonal/>
    </border>
  </borders>
  <cellStyleXfs count="1">
    <xf numFmtId="0" fontId="0" fillId="0" borderId="0"/>
  </cellStyleXfs>
  <cellXfs count="465">
    <xf numFmtId="0" fontId="0" fillId="0" borderId="0" xfId="0" applyFont="1" applyAlignment="1"/>
    <xf numFmtId="0" fontId="2" fillId="0" borderId="0" xfId="0" applyFont="1"/>
    <xf numFmtId="0" fontId="5" fillId="0" borderId="6" xfId="0" applyFont="1" applyBorder="1" applyAlignment="1">
      <alignment horizontal="center" vertical="center" wrapText="1"/>
    </xf>
    <xf numFmtId="0" fontId="1" fillId="7" borderId="6" xfId="0" applyFont="1" applyFill="1" applyBorder="1" applyAlignment="1">
      <alignment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wrapText="1"/>
    </xf>
    <xf numFmtId="0" fontId="1" fillId="8" borderId="2" xfId="0" applyFont="1" applyFill="1" applyBorder="1" applyAlignment="1">
      <alignment wrapText="1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1" fontId="5" fillId="8" borderId="6" xfId="0" applyNumberFormat="1" applyFont="1" applyFill="1" applyBorder="1" applyAlignment="1">
      <alignment horizontal="center" vertical="center" wrapText="1"/>
    </xf>
    <xf numFmtId="49" fontId="5" fillId="9" borderId="7" xfId="0" applyNumberFormat="1" applyFont="1" applyFill="1" applyBorder="1" applyAlignment="1">
      <alignment wrapText="1"/>
    </xf>
    <xf numFmtId="0" fontId="5" fillId="9" borderId="8" xfId="0" applyFont="1" applyFill="1" applyBorder="1" applyAlignment="1">
      <alignment horizontal="center" vertical="center"/>
    </xf>
    <xf numFmtId="164" fontId="5" fillId="9" borderId="5" xfId="0" applyNumberFormat="1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 wrapText="1"/>
    </xf>
    <xf numFmtId="2" fontId="5" fillId="9" borderId="6" xfId="0" applyNumberFormat="1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2" fontId="6" fillId="2" borderId="6" xfId="0" applyNumberFormat="1" applyFont="1" applyFill="1" applyBorder="1" applyAlignment="1">
      <alignment horizontal="center" vertical="center" wrapText="1"/>
    </xf>
    <xf numFmtId="2" fontId="5" fillId="9" borderId="6" xfId="0" applyNumberFormat="1" applyFont="1" applyFill="1" applyBorder="1" applyAlignment="1">
      <alignment horizontal="center" vertical="center" wrapText="1"/>
    </xf>
    <xf numFmtId="2" fontId="5" fillId="9" borderId="6" xfId="0" applyNumberFormat="1" applyFont="1" applyFill="1" applyBorder="1" applyAlignment="1">
      <alignment horizontal="center" vertical="center" wrapText="1"/>
    </xf>
    <xf numFmtId="2" fontId="7" fillId="10" borderId="6" xfId="0" applyNumberFormat="1" applyFont="1" applyFill="1" applyBorder="1" applyAlignment="1">
      <alignment horizontal="center" vertical="center" wrapText="1"/>
    </xf>
    <xf numFmtId="2" fontId="7" fillId="4" borderId="6" xfId="0" applyNumberFormat="1" applyFont="1" applyFill="1" applyBorder="1" applyAlignment="1">
      <alignment horizontal="center" vertical="center" wrapText="1"/>
    </xf>
    <xf numFmtId="2" fontId="1" fillId="11" borderId="6" xfId="0" applyNumberFormat="1" applyFont="1" applyFill="1" applyBorder="1" applyAlignment="1">
      <alignment horizontal="center" vertical="center" wrapText="1"/>
    </xf>
    <xf numFmtId="2" fontId="1" fillId="12" borderId="6" xfId="0" applyNumberFormat="1" applyFont="1" applyFill="1" applyBorder="1" applyAlignment="1">
      <alignment horizontal="center" vertical="center" wrapText="1"/>
    </xf>
    <xf numFmtId="2" fontId="5" fillId="12" borderId="6" xfId="0" applyNumberFormat="1" applyFont="1" applyFill="1" applyBorder="1" applyAlignment="1">
      <alignment horizontal="center" vertical="center" wrapText="1"/>
    </xf>
    <xf numFmtId="2" fontId="7" fillId="6" borderId="6" xfId="0" applyNumberFormat="1" applyFont="1" applyFill="1" applyBorder="1" applyAlignment="1">
      <alignment horizontal="center" vertical="center" wrapText="1"/>
    </xf>
    <xf numFmtId="2" fontId="8" fillId="12" borderId="6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5" fillId="9" borderId="6" xfId="0" applyFont="1" applyFill="1" applyBorder="1" applyAlignment="1">
      <alignment horizontal="center" vertical="center" wrapText="1"/>
    </xf>
    <xf numFmtId="0" fontId="5" fillId="13" borderId="8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 wrapText="1"/>
    </xf>
    <xf numFmtId="2" fontId="5" fillId="12" borderId="6" xfId="0" applyNumberFormat="1" applyFont="1" applyFill="1" applyBorder="1" applyAlignment="1">
      <alignment horizontal="center" vertical="center"/>
    </xf>
    <xf numFmtId="2" fontId="5" fillId="15" borderId="6" xfId="0" applyNumberFormat="1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 wrapText="1"/>
    </xf>
    <xf numFmtId="2" fontId="5" fillId="16" borderId="6" xfId="0" applyNumberFormat="1" applyFont="1" applyFill="1" applyBorder="1" applyAlignment="1">
      <alignment horizontal="center" vertical="center" wrapText="1"/>
    </xf>
    <xf numFmtId="2" fontId="5" fillId="17" borderId="6" xfId="0" applyNumberFormat="1" applyFont="1" applyFill="1" applyBorder="1" applyAlignment="1">
      <alignment horizontal="center" vertical="center" wrapText="1"/>
    </xf>
    <xf numFmtId="2" fontId="5" fillId="18" borderId="6" xfId="0" applyNumberFormat="1" applyFont="1" applyFill="1" applyBorder="1" applyAlignment="1">
      <alignment horizontal="center" vertical="center" wrapText="1"/>
    </xf>
    <xf numFmtId="2" fontId="5" fillId="13" borderId="6" xfId="0" applyNumberFormat="1" applyFont="1" applyFill="1" applyBorder="1" applyAlignment="1">
      <alignment horizontal="center" vertical="center"/>
    </xf>
    <xf numFmtId="2" fontId="5" fillId="13" borderId="6" xfId="0" applyNumberFormat="1" applyFont="1" applyFill="1" applyBorder="1" applyAlignment="1">
      <alignment horizontal="center" vertical="center"/>
    </xf>
    <xf numFmtId="2" fontId="5" fillId="13" borderId="6" xfId="0" applyNumberFormat="1" applyFont="1" applyFill="1" applyBorder="1" applyAlignment="1">
      <alignment horizontal="center" vertical="center" wrapText="1"/>
    </xf>
    <xf numFmtId="49" fontId="5" fillId="13" borderId="6" xfId="0" applyNumberFormat="1" applyFont="1" applyFill="1" applyBorder="1" applyAlignment="1">
      <alignment horizontal="right" wrapText="1"/>
    </xf>
    <xf numFmtId="164" fontId="5" fillId="14" borderId="5" xfId="0" applyNumberFormat="1" applyFont="1" applyFill="1" applyBorder="1" applyAlignment="1">
      <alignment horizontal="center" vertical="center" wrapText="1"/>
    </xf>
    <xf numFmtId="2" fontId="9" fillId="0" borderId="0" xfId="0" applyNumberFormat="1" applyFont="1"/>
    <xf numFmtId="49" fontId="5" fillId="19" borderId="6" xfId="0" applyNumberFormat="1" applyFont="1" applyFill="1" applyBorder="1" applyAlignment="1">
      <alignment horizontal="right" wrapText="1"/>
    </xf>
    <xf numFmtId="49" fontId="5" fillId="19" borderId="8" xfId="0" applyNumberFormat="1" applyFont="1" applyFill="1" applyBorder="1" applyAlignment="1">
      <alignment wrapText="1"/>
    </xf>
    <xf numFmtId="0" fontId="5" fillId="19" borderId="8" xfId="0" applyFont="1" applyFill="1" applyBorder="1" applyAlignment="1">
      <alignment horizontal="center" vertical="center"/>
    </xf>
    <xf numFmtId="164" fontId="5" fillId="19" borderId="5" xfId="0" applyNumberFormat="1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center" vertical="center" wrapText="1"/>
    </xf>
    <xf numFmtId="2" fontId="5" fillId="19" borderId="6" xfId="0" applyNumberFormat="1" applyFont="1" applyFill="1" applyBorder="1" applyAlignment="1">
      <alignment horizontal="center" vertical="center"/>
    </xf>
    <xf numFmtId="2" fontId="5" fillId="19" borderId="6" xfId="0" applyNumberFormat="1" applyFont="1" applyFill="1" applyBorder="1" applyAlignment="1">
      <alignment horizontal="center" vertical="center" wrapText="1"/>
    </xf>
    <xf numFmtId="2" fontId="5" fillId="19" borderId="6" xfId="0" applyNumberFormat="1" applyFont="1" applyFill="1" applyBorder="1" applyAlignment="1">
      <alignment horizontal="center" vertical="center" wrapText="1"/>
    </xf>
    <xf numFmtId="2" fontId="5" fillId="12" borderId="6" xfId="0" applyNumberFormat="1" applyFont="1" applyFill="1" applyBorder="1" applyAlignment="1">
      <alignment horizontal="center" vertical="center" wrapText="1"/>
    </xf>
    <xf numFmtId="49" fontId="5" fillId="9" borderId="8" xfId="0" applyNumberFormat="1" applyFont="1" applyFill="1" applyBorder="1" applyAlignment="1">
      <alignment wrapText="1"/>
    </xf>
    <xf numFmtId="0" fontId="5" fillId="9" borderId="9" xfId="0" applyFont="1" applyFill="1" applyBorder="1" applyAlignment="1">
      <alignment horizontal="center" vertical="center" wrapText="1"/>
    </xf>
    <xf numFmtId="2" fontId="5" fillId="19" borderId="6" xfId="0" applyNumberFormat="1" applyFont="1" applyFill="1" applyBorder="1" applyAlignment="1">
      <alignment horizontal="center" vertical="center"/>
    </xf>
    <xf numFmtId="49" fontId="5" fillId="19" borderId="10" xfId="0" applyNumberFormat="1" applyFont="1" applyFill="1" applyBorder="1" applyAlignment="1">
      <alignment wrapText="1"/>
    </xf>
    <xf numFmtId="0" fontId="5" fillId="19" borderId="5" xfId="0" applyFont="1" applyFill="1" applyBorder="1" applyAlignment="1">
      <alignment horizontal="center" vertical="center"/>
    </xf>
    <xf numFmtId="2" fontId="1" fillId="13" borderId="6" xfId="0" applyNumberFormat="1" applyFont="1" applyFill="1" applyBorder="1" applyAlignment="1">
      <alignment horizontal="center" vertical="center" wrapText="1"/>
    </xf>
    <xf numFmtId="2" fontId="5" fillId="13" borderId="6" xfId="0" applyNumberFormat="1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2" fontId="1" fillId="13" borderId="6" xfId="0" applyNumberFormat="1" applyFont="1" applyFill="1" applyBorder="1" applyAlignment="1">
      <alignment horizontal="center" vertical="center" wrapText="1"/>
    </xf>
    <xf numFmtId="49" fontId="5" fillId="19" borderId="11" xfId="0" applyNumberFormat="1" applyFont="1" applyFill="1" applyBorder="1" applyAlignment="1">
      <alignment wrapText="1"/>
    </xf>
    <xf numFmtId="0" fontId="5" fillId="19" borderId="9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 wrapText="1"/>
    </xf>
    <xf numFmtId="2" fontId="5" fillId="16" borderId="6" xfId="0" applyNumberFormat="1" applyFont="1" applyFill="1" applyBorder="1" applyAlignment="1">
      <alignment horizontal="center" vertical="center"/>
    </xf>
    <xf numFmtId="49" fontId="5" fillId="19" borderId="10" xfId="0" applyNumberFormat="1" applyFont="1" applyFill="1" applyBorder="1" applyAlignment="1">
      <alignment wrapText="1"/>
    </xf>
    <xf numFmtId="0" fontId="5" fillId="19" borderId="5" xfId="0" applyFont="1" applyFill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20" borderId="6" xfId="0" applyFont="1" applyFill="1" applyBorder="1" applyAlignment="1">
      <alignment horizontal="center" vertical="center" wrapText="1"/>
    </xf>
    <xf numFmtId="2" fontId="5" fillId="15" borderId="6" xfId="0" applyNumberFormat="1" applyFont="1" applyFill="1" applyBorder="1" applyAlignment="1">
      <alignment horizontal="center" vertical="center" wrapText="1"/>
    </xf>
    <xf numFmtId="49" fontId="5" fillId="9" borderId="6" xfId="0" applyNumberFormat="1" applyFont="1" applyFill="1" applyBorder="1" applyAlignment="1">
      <alignment wrapText="1"/>
    </xf>
    <xf numFmtId="0" fontId="5" fillId="9" borderId="5" xfId="0" applyFont="1" applyFill="1" applyBorder="1" applyAlignment="1">
      <alignment horizontal="center" vertical="center"/>
    </xf>
    <xf numFmtId="49" fontId="5" fillId="13" borderId="6" xfId="0" applyNumberFormat="1" applyFont="1" applyFill="1" applyBorder="1" applyAlignment="1">
      <alignment wrapText="1"/>
    </xf>
    <xf numFmtId="0" fontId="5" fillId="19" borderId="6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10" fillId="13" borderId="0" xfId="0" applyFont="1" applyFill="1" applyAlignment="1"/>
    <xf numFmtId="49" fontId="5" fillId="19" borderId="11" xfId="0" applyNumberFormat="1" applyFont="1" applyFill="1" applyBorder="1" applyAlignment="1">
      <alignment wrapText="1"/>
    </xf>
    <xf numFmtId="49" fontId="5" fillId="19" borderId="12" xfId="0" applyNumberFormat="1" applyFont="1" applyFill="1" applyBorder="1" applyAlignment="1">
      <alignment wrapText="1"/>
    </xf>
    <xf numFmtId="0" fontId="10" fillId="0" borderId="6" xfId="0" applyFont="1" applyBorder="1" applyAlignment="1"/>
    <xf numFmtId="0" fontId="1" fillId="21" borderId="6" xfId="0" applyFont="1" applyFill="1" applyBorder="1" applyAlignment="1">
      <alignment horizontal="right" wrapText="1"/>
    </xf>
    <xf numFmtId="0" fontId="1" fillId="21" borderId="6" xfId="0" applyFont="1" applyFill="1" applyBorder="1" applyAlignment="1">
      <alignment wrapText="1"/>
    </xf>
    <xf numFmtId="0" fontId="1" fillId="21" borderId="6" xfId="0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horizontal="center" vertical="center" wrapText="1"/>
    </xf>
    <xf numFmtId="2" fontId="1" fillId="21" borderId="6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" fillId="8" borderId="6" xfId="0" applyFont="1" applyFill="1" applyBorder="1" applyAlignment="1">
      <alignment horizontal="right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2" fontId="1" fillId="21" borderId="6" xfId="0" applyNumberFormat="1" applyFont="1" applyFill="1" applyBorder="1" applyAlignment="1">
      <alignment horizontal="center" vertical="center"/>
    </xf>
    <xf numFmtId="0" fontId="12" fillId="21" borderId="6" xfId="0" applyFont="1" applyFill="1" applyBorder="1" applyAlignment="1">
      <alignment wrapText="1"/>
    </xf>
    <xf numFmtId="0" fontId="12" fillId="21" borderId="6" xfId="0" applyFont="1" applyFill="1" applyBorder="1" applyAlignment="1">
      <alignment horizontal="center" vertical="center"/>
    </xf>
    <xf numFmtId="2" fontId="12" fillId="21" borderId="6" xfId="0" applyNumberFormat="1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right" wrapText="1"/>
    </xf>
    <xf numFmtId="0" fontId="1" fillId="13" borderId="2" xfId="0" applyFont="1" applyFill="1" applyBorder="1" applyAlignment="1">
      <alignment wrapText="1"/>
    </xf>
    <xf numFmtId="0" fontId="5" fillId="13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2" fillId="13" borderId="0" xfId="0" applyFont="1" applyFill="1"/>
    <xf numFmtId="0" fontId="1" fillId="7" borderId="6" xfId="0" applyFont="1" applyFill="1" applyBorder="1" applyAlignment="1">
      <alignment horizontal="right" wrapText="1"/>
    </xf>
    <xf numFmtId="0" fontId="1" fillId="7" borderId="2" xfId="0" applyFont="1" applyFill="1" applyBorder="1" applyAlignment="1">
      <alignment wrapText="1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49" fontId="5" fillId="12" borderId="9" xfId="0" applyNumberFormat="1" applyFont="1" applyFill="1" applyBorder="1" applyAlignment="1"/>
    <xf numFmtId="0" fontId="5" fillId="0" borderId="4" xfId="0" applyFont="1" applyBorder="1" applyAlignment="1">
      <alignment horizontal="center" vertical="center"/>
    </xf>
    <xf numFmtId="0" fontId="5" fillId="12" borderId="9" xfId="0" applyFont="1" applyFill="1" applyBorder="1" applyAlignment="1">
      <alignment horizontal="center"/>
    </xf>
    <xf numFmtId="2" fontId="14" fillId="2" borderId="6" xfId="0" applyNumberFormat="1" applyFont="1" applyFill="1" applyBorder="1" applyAlignment="1">
      <alignment horizontal="center"/>
    </xf>
    <xf numFmtId="49" fontId="13" fillId="0" borderId="6" xfId="0" applyNumberFormat="1" applyFont="1" applyBorder="1" applyAlignment="1">
      <alignment horizontal="right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13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 wrapText="1"/>
    </xf>
    <xf numFmtId="2" fontId="1" fillId="12" borderId="6" xfId="0" applyNumberFormat="1" applyFont="1" applyFill="1" applyBorder="1" applyAlignment="1">
      <alignment horizontal="center" vertical="center" wrapText="1"/>
    </xf>
    <xf numFmtId="49" fontId="5" fillId="12" borderId="9" xfId="0" applyNumberFormat="1" applyFont="1" applyFill="1" applyBorder="1" applyAlignment="1"/>
    <xf numFmtId="0" fontId="5" fillId="0" borderId="9" xfId="0" applyFont="1" applyBorder="1" applyAlignment="1">
      <alignment horizontal="center"/>
    </xf>
    <xf numFmtId="164" fontId="5" fillId="2" borderId="9" xfId="0" applyNumberFormat="1" applyFont="1" applyFill="1" applyBorder="1" applyAlignment="1">
      <alignment horizontal="center" vertical="center"/>
    </xf>
    <xf numFmtId="49" fontId="5" fillId="12" borderId="9" xfId="0" applyNumberFormat="1" applyFont="1" applyFill="1" applyBorder="1" applyAlignment="1"/>
    <xf numFmtId="0" fontId="5" fillId="0" borderId="9" xfId="0" applyFont="1" applyBorder="1" applyAlignment="1">
      <alignment horizontal="center"/>
    </xf>
    <xf numFmtId="0" fontId="5" fillId="12" borderId="9" xfId="0" applyFont="1" applyFill="1" applyBorder="1" applyAlignment="1">
      <alignment horizontal="center"/>
    </xf>
    <xf numFmtId="0" fontId="5" fillId="12" borderId="9" xfId="0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49" fontId="5" fillId="19" borderId="6" xfId="0" applyNumberFormat="1" applyFont="1" applyFill="1" applyBorder="1" applyAlignment="1">
      <alignment wrapText="1"/>
    </xf>
    <xf numFmtId="49" fontId="5" fillId="12" borderId="6" xfId="0" applyNumberFormat="1" applyFont="1" applyFill="1" applyBorder="1" applyAlignment="1">
      <alignment wrapText="1"/>
    </xf>
    <xf numFmtId="2" fontId="5" fillId="12" borderId="6" xfId="0" applyNumberFormat="1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49" fontId="5" fillId="12" borderId="9" xfId="0" applyNumberFormat="1" applyFont="1" applyFill="1" applyBorder="1" applyAlignment="1">
      <alignment horizontal="left"/>
    </xf>
    <xf numFmtId="49" fontId="5" fillId="12" borderId="9" xfId="0" applyNumberFormat="1" applyFont="1" applyFill="1" applyBorder="1" applyAlignment="1">
      <alignment horizontal="center"/>
    </xf>
    <xf numFmtId="49" fontId="5" fillId="12" borderId="9" xfId="0" applyNumberFormat="1" applyFont="1" applyFill="1" applyBorder="1" applyAlignment="1">
      <alignment horizontal="left"/>
    </xf>
    <xf numFmtId="49" fontId="5" fillId="12" borderId="9" xfId="0" applyNumberFormat="1" applyFont="1" applyFill="1" applyBorder="1" applyAlignment="1">
      <alignment horizontal="center"/>
    </xf>
    <xf numFmtId="0" fontId="5" fillId="21" borderId="6" xfId="0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horizontal="right"/>
    </xf>
    <xf numFmtId="164" fontId="5" fillId="12" borderId="6" xfId="0" applyNumberFormat="1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right"/>
    </xf>
    <xf numFmtId="0" fontId="5" fillId="12" borderId="6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" fontId="5" fillId="8" borderId="3" xfId="0" applyNumberFormat="1" applyFont="1" applyFill="1" applyBorder="1" applyAlignment="1">
      <alignment horizontal="center" vertical="center"/>
    </xf>
    <xf numFmtId="1" fontId="5" fillId="8" borderId="4" xfId="0" applyNumberFormat="1" applyFont="1" applyFill="1" applyBorder="1" applyAlignment="1">
      <alignment horizontal="center" vertical="center"/>
    </xf>
    <xf numFmtId="1" fontId="9" fillId="0" borderId="0" xfId="0" applyNumberFormat="1" applyFont="1"/>
    <xf numFmtId="49" fontId="5" fillId="12" borderId="6" xfId="0" applyNumberFormat="1" applyFont="1" applyFill="1" applyBorder="1" applyAlignment="1">
      <alignment horizontal="right" wrapText="1"/>
    </xf>
    <xf numFmtId="0" fontId="13" fillId="0" borderId="6" xfId="0" applyFont="1" applyBorder="1" applyAlignment="1">
      <alignment horizontal="right"/>
    </xf>
    <xf numFmtId="0" fontId="5" fillId="12" borderId="6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wrapText="1"/>
    </xf>
    <xf numFmtId="0" fontId="5" fillId="21" borderId="3" xfId="0" applyFont="1" applyFill="1" applyBorder="1" applyAlignment="1">
      <alignment horizontal="center" vertical="center"/>
    </xf>
    <xf numFmtId="0" fontId="1" fillId="21" borderId="3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right" wrapText="1"/>
    </xf>
    <xf numFmtId="0" fontId="5" fillId="0" borderId="9" xfId="0" applyFont="1" applyBorder="1" applyAlignment="1">
      <alignment wrapText="1"/>
    </xf>
    <xf numFmtId="0" fontId="5" fillId="0" borderId="9" xfId="0" applyFont="1" applyBorder="1" applyAlignment="1">
      <alignment horizontal="center" vertical="center"/>
    </xf>
    <xf numFmtId="0" fontId="5" fillId="12" borderId="6" xfId="0" applyFont="1" applyFill="1" applyBorder="1" applyAlignment="1">
      <alignment horizontal="right" wrapText="1"/>
    </xf>
    <xf numFmtId="4" fontId="5" fillId="0" borderId="6" xfId="0" applyNumberFormat="1" applyFont="1" applyBorder="1" applyAlignment="1">
      <alignment horizontal="center" vertical="center"/>
    </xf>
    <xf numFmtId="4" fontId="1" fillId="21" borderId="6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right" wrapText="1"/>
    </xf>
    <xf numFmtId="2" fontId="5" fillId="21" borderId="6" xfId="0" applyNumberFormat="1" applyFont="1" applyFill="1" applyBorder="1" applyAlignment="1">
      <alignment horizontal="center" vertical="center"/>
    </xf>
    <xf numFmtId="49" fontId="5" fillId="12" borderId="6" xfId="0" applyNumberFormat="1" applyFont="1" applyFill="1" applyBorder="1" applyAlignment="1">
      <alignment horizontal="right" wrapText="1"/>
    </xf>
    <xf numFmtId="0" fontId="1" fillId="8" borderId="2" xfId="0" applyFont="1" applyFill="1" applyBorder="1" applyAlignment="1">
      <alignment wrapText="1"/>
    </xf>
    <xf numFmtId="0" fontId="5" fillId="12" borderId="6" xfId="0" applyFont="1" applyFill="1" applyBorder="1" applyAlignment="1">
      <alignment horizontal="right" wrapText="1"/>
    </xf>
    <xf numFmtId="0" fontId="1" fillId="21" borderId="6" xfId="0" applyFont="1" applyFill="1" applyBorder="1" applyAlignment="1">
      <alignment horizontal="right" wrapText="1"/>
    </xf>
    <xf numFmtId="0" fontId="1" fillId="21" borderId="6" xfId="0" applyFont="1" applyFill="1" applyBorder="1" applyAlignment="1">
      <alignment wrapText="1"/>
    </xf>
    <xf numFmtId="2" fontId="7" fillId="6" borderId="6" xfId="0" applyNumberFormat="1" applyFont="1" applyFill="1" applyBorder="1" applyAlignment="1">
      <alignment horizontal="center" vertical="center"/>
    </xf>
    <xf numFmtId="0" fontId="12" fillId="21" borderId="6" xfId="0" applyFont="1" applyFill="1" applyBorder="1" applyAlignment="1">
      <alignment wrapText="1"/>
    </xf>
    <xf numFmtId="4" fontId="12" fillId="21" borderId="6" xfId="0" applyNumberFormat="1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right"/>
    </xf>
    <xf numFmtId="0" fontId="2" fillId="12" borderId="2" xfId="0" applyFont="1" applyFill="1" applyBorder="1" applyAlignment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12" borderId="6" xfId="0" applyFont="1" applyFill="1" applyBorder="1" applyAlignment="1">
      <alignment horizontal="right" wrapText="1"/>
    </xf>
    <xf numFmtId="0" fontId="5" fillId="12" borderId="6" xfId="0" applyFont="1" applyFill="1" applyBorder="1" applyAlignment="1">
      <alignment wrapText="1"/>
    </xf>
    <xf numFmtId="0" fontId="2" fillId="0" borderId="6" xfId="0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1" fillId="21" borderId="9" xfId="0" applyFont="1" applyFill="1" applyBorder="1" applyAlignment="1">
      <alignment wrapText="1"/>
    </xf>
    <xf numFmtId="0" fontId="1" fillId="21" borderId="9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center" wrapText="1"/>
    </xf>
    <xf numFmtId="0" fontId="13" fillId="0" borderId="9" xfId="0" applyFont="1" applyBorder="1" applyAlignment="1">
      <alignment horizontal="center"/>
    </xf>
    <xf numFmtId="0" fontId="5" fillId="13" borderId="6" xfId="0" applyFont="1" applyFill="1" applyBorder="1" applyAlignment="1">
      <alignment horizontal="center" vertical="center" wrapText="1"/>
    </xf>
    <xf numFmtId="0" fontId="12" fillId="21" borderId="6" xfId="0" applyFont="1" applyFill="1" applyBorder="1" applyAlignment="1">
      <alignment wrapText="1"/>
    </xf>
    <xf numFmtId="0" fontId="1" fillId="13" borderId="6" xfId="0" applyFont="1" applyFill="1" applyBorder="1" applyAlignment="1">
      <alignment wrapText="1"/>
    </xf>
    <xf numFmtId="164" fontId="5" fillId="15" borderId="6" xfId="0" applyNumberFormat="1" applyFont="1" applyFill="1" applyBorder="1" applyAlignment="1">
      <alignment horizontal="center" vertical="center"/>
    </xf>
    <xf numFmtId="0" fontId="1" fillId="22" borderId="6" xfId="0" applyFont="1" applyFill="1" applyBorder="1" applyAlignment="1">
      <alignment horizontal="right" wrapText="1"/>
    </xf>
    <xf numFmtId="0" fontId="1" fillId="22" borderId="6" xfId="0" applyFont="1" applyFill="1" applyBorder="1" applyAlignment="1">
      <alignment wrapText="1"/>
    </xf>
    <xf numFmtId="0" fontId="5" fillId="22" borderId="6" xfId="0" applyFont="1" applyFill="1" applyBorder="1" applyAlignment="1">
      <alignment horizontal="center" vertical="center"/>
    </xf>
    <xf numFmtId="0" fontId="12" fillId="22" borderId="6" xfId="0" applyFont="1" applyFill="1" applyBorder="1" applyAlignment="1">
      <alignment horizontal="center" vertical="center"/>
    </xf>
    <xf numFmtId="2" fontId="12" fillId="22" borderId="6" xfId="0" applyNumberFormat="1" applyFont="1" applyFill="1" applyBorder="1" applyAlignment="1">
      <alignment horizontal="center" vertical="center"/>
    </xf>
    <xf numFmtId="4" fontId="12" fillId="22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12" borderId="0" xfId="0" applyFont="1" applyFill="1" applyAlignment="1">
      <alignment horizontal="right"/>
    </xf>
    <xf numFmtId="0" fontId="2" fillId="12" borderId="0" xfId="0" applyFont="1" applyFill="1"/>
    <xf numFmtId="2" fontId="5" fillId="0" borderId="0" xfId="0" applyNumberFormat="1" applyFont="1" applyAlignment="1">
      <alignment horizontal="center" vertical="center"/>
    </xf>
    <xf numFmtId="0" fontId="2" fillId="0" borderId="6" xfId="0" applyFont="1" applyBorder="1" applyAlignment="1"/>
    <xf numFmtId="0" fontId="5" fillId="0" borderId="0" xfId="0" applyFont="1" applyAlignment="1">
      <alignment horizontal="center" vertical="center"/>
    </xf>
    <xf numFmtId="164" fontId="2" fillId="0" borderId="6" xfId="0" applyNumberFormat="1" applyFont="1" applyBorder="1" applyAlignment="1"/>
    <xf numFmtId="0" fontId="5" fillId="9" borderId="6" xfId="0" applyFont="1" applyFill="1" applyBorder="1" applyAlignment="1">
      <alignment horizontal="center" vertical="center"/>
    </xf>
    <xf numFmtId="0" fontId="9" fillId="16" borderId="0" xfId="0" applyFont="1" applyFill="1"/>
    <xf numFmtId="0" fontId="5" fillId="9" borderId="6" xfId="0" applyFont="1" applyFill="1" applyBorder="1" applyAlignment="1">
      <alignment horizontal="center" vertical="center" wrapText="1"/>
    </xf>
    <xf numFmtId="49" fontId="5" fillId="23" borderId="7" xfId="0" applyNumberFormat="1" applyFont="1" applyFill="1" applyBorder="1" applyAlignment="1">
      <alignment wrapText="1"/>
    </xf>
    <xf numFmtId="2" fontId="5" fillId="5" borderId="6" xfId="0" applyNumberFormat="1" applyFont="1" applyFill="1" applyBorder="1" applyAlignment="1">
      <alignment horizontal="center" vertical="center" wrapText="1"/>
    </xf>
    <xf numFmtId="49" fontId="5" fillId="23" borderId="8" xfId="0" applyNumberFormat="1" applyFont="1" applyFill="1" applyBorder="1" applyAlignment="1">
      <alignment wrapText="1"/>
    </xf>
    <xf numFmtId="2" fontId="9" fillId="16" borderId="0" xfId="0" applyNumberFormat="1" applyFont="1" applyFill="1"/>
    <xf numFmtId="0" fontId="5" fillId="19" borderId="6" xfId="0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/>
    </xf>
    <xf numFmtId="49" fontId="5" fillId="23" borderId="11" xfId="0" applyNumberFormat="1" applyFont="1" applyFill="1" applyBorder="1" applyAlignment="1">
      <alignment wrapText="1"/>
    </xf>
    <xf numFmtId="49" fontId="5" fillId="23" borderId="10" xfId="0" applyNumberFormat="1" applyFont="1" applyFill="1" applyBorder="1" applyAlignment="1">
      <alignment wrapText="1"/>
    </xf>
    <xf numFmtId="49" fontId="5" fillId="23" borderId="9" xfId="0" applyNumberFormat="1" applyFont="1" applyFill="1" applyBorder="1" applyAlignment="1">
      <alignment wrapText="1"/>
    </xf>
    <xf numFmtId="49" fontId="5" fillId="23" borderId="6" xfId="0" applyNumberFormat="1" applyFont="1" applyFill="1" applyBorder="1" applyAlignment="1">
      <alignment wrapText="1"/>
    </xf>
    <xf numFmtId="2" fontId="5" fillId="9" borderId="6" xfId="0" applyNumberFormat="1" applyFont="1" applyFill="1" applyBorder="1" applyAlignment="1">
      <alignment horizontal="center" vertical="center"/>
    </xf>
    <xf numFmtId="49" fontId="5" fillId="23" borderId="6" xfId="0" applyNumberFormat="1" applyFont="1" applyFill="1" applyBorder="1" applyAlignment="1">
      <alignment wrapText="1"/>
    </xf>
    <xf numFmtId="2" fontId="8" fillId="16" borderId="6" xfId="0" applyNumberFormat="1" applyFont="1" applyFill="1" applyBorder="1" applyAlignment="1">
      <alignment horizontal="center" vertical="center" wrapText="1"/>
    </xf>
    <xf numFmtId="49" fontId="5" fillId="23" borderId="6" xfId="0" applyNumberFormat="1" applyFont="1" applyFill="1" applyBorder="1" applyAlignment="1">
      <alignment wrapText="1"/>
    </xf>
    <xf numFmtId="49" fontId="5" fillId="17" borderId="11" xfId="0" applyNumberFormat="1" applyFont="1" applyFill="1" applyBorder="1" applyAlignment="1">
      <alignment wrapText="1"/>
    </xf>
    <xf numFmtId="0" fontId="5" fillId="12" borderId="6" xfId="0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/>
    </xf>
    <xf numFmtId="49" fontId="5" fillId="17" borderId="9" xfId="0" applyNumberFormat="1" applyFont="1" applyFill="1" applyBorder="1" applyAlignment="1">
      <alignment wrapText="1"/>
    </xf>
    <xf numFmtId="49" fontId="5" fillId="17" borderId="5" xfId="0" applyNumberFormat="1" applyFont="1" applyFill="1" applyBorder="1" applyAlignment="1">
      <alignment wrapText="1"/>
    </xf>
    <xf numFmtId="0" fontId="10" fillId="16" borderId="6" xfId="0" applyFont="1" applyFill="1" applyBorder="1" applyAlignment="1">
      <alignment horizontal="center"/>
    </xf>
    <xf numFmtId="49" fontId="5" fillId="2" borderId="6" xfId="0" applyNumberFormat="1" applyFont="1" applyFill="1" applyBorder="1" applyAlignment="1">
      <alignment wrapText="1"/>
    </xf>
    <xf numFmtId="49" fontId="5" fillId="17" borderId="6" xfId="0" applyNumberFormat="1" applyFont="1" applyFill="1" applyBorder="1" applyAlignment="1">
      <alignment wrapText="1"/>
    </xf>
    <xf numFmtId="2" fontId="5" fillId="8" borderId="3" xfId="0" applyNumberFormat="1" applyFont="1" applyFill="1" applyBorder="1" applyAlignment="1">
      <alignment horizontal="center" vertical="center"/>
    </xf>
    <xf numFmtId="49" fontId="5" fillId="23" borderId="6" xfId="0" applyNumberFormat="1" applyFont="1" applyFill="1" applyBorder="1" applyAlignment="1">
      <alignment wrapText="1"/>
    </xf>
    <xf numFmtId="2" fontId="5" fillId="0" borderId="6" xfId="0" applyNumberFormat="1" applyFont="1" applyBorder="1" applyAlignment="1">
      <alignment horizontal="center" vertical="center"/>
    </xf>
    <xf numFmtId="2" fontId="5" fillId="13" borderId="3" xfId="0" applyNumberFormat="1" applyFont="1" applyFill="1" applyBorder="1" applyAlignment="1">
      <alignment horizontal="center" vertical="center"/>
    </xf>
    <xf numFmtId="2" fontId="5" fillId="7" borderId="3" xfId="0" applyNumberFormat="1" applyFont="1" applyFill="1" applyBorder="1" applyAlignment="1">
      <alignment horizontal="center" vertical="center"/>
    </xf>
    <xf numFmtId="49" fontId="5" fillId="23" borderId="9" xfId="0" applyNumberFormat="1" applyFont="1" applyFill="1" applyBorder="1" applyAlignment="1"/>
    <xf numFmtId="2" fontId="5" fillId="18" borderId="6" xfId="0" applyNumberFormat="1" applyFont="1" applyFill="1" applyBorder="1" applyAlignment="1">
      <alignment horizontal="center" vertical="center"/>
    </xf>
    <xf numFmtId="49" fontId="5" fillId="23" borderId="9" xfId="0" applyNumberFormat="1" applyFont="1" applyFill="1" applyBorder="1" applyAlignment="1"/>
    <xf numFmtId="2" fontId="5" fillId="5" borderId="6" xfId="0" applyNumberFormat="1" applyFont="1" applyFill="1" applyBorder="1" applyAlignment="1">
      <alignment horizontal="center" vertical="center" wrapText="1"/>
    </xf>
    <xf numFmtId="49" fontId="5" fillId="23" borderId="9" xfId="0" applyNumberFormat="1" applyFont="1" applyFill="1" applyBorder="1" applyAlignment="1"/>
    <xf numFmtId="0" fontId="5" fillId="23" borderId="9" xfId="0" applyFont="1" applyFill="1" applyBorder="1" applyAlignment="1"/>
    <xf numFmtId="164" fontId="5" fillId="13" borderId="5" xfId="0" applyNumberFormat="1" applyFont="1" applyFill="1" applyBorder="1" applyAlignment="1">
      <alignment horizontal="center" vertical="center" wrapText="1"/>
    </xf>
    <xf numFmtId="0" fontId="17" fillId="24" borderId="6" xfId="0" applyFont="1" applyFill="1" applyBorder="1" applyAlignment="1">
      <alignment horizontal="center" vertical="center"/>
    </xf>
    <xf numFmtId="2" fontId="5" fillId="18" borderId="6" xfId="0" applyNumberFormat="1" applyFont="1" applyFill="1" applyBorder="1" applyAlignment="1">
      <alignment horizontal="center" vertical="center" wrapText="1"/>
    </xf>
    <xf numFmtId="49" fontId="5" fillId="13" borderId="9" xfId="0" applyNumberFormat="1" applyFont="1" applyFill="1" applyBorder="1" applyAlignment="1"/>
    <xf numFmtId="49" fontId="5" fillId="15" borderId="9" xfId="0" applyNumberFormat="1" applyFont="1" applyFill="1" applyBorder="1" applyAlignment="1"/>
    <xf numFmtId="2" fontId="5" fillId="2" borderId="6" xfId="0" applyNumberFormat="1" applyFont="1" applyFill="1" applyBorder="1" applyAlignment="1">
      <alignment horizontal="center" vertical="center" wrapText="1"/>
    </xf>
    <xf numFmtId="2" fontId="5" fillId="2" borderId="6" xfId="0" applyNumberFormat="1" applyFont="1" applyFill="1" applyBorder="1" applyAlignment="1">
      <alignment horizontal="center" vertical="center"/>
    </xf>
    <xf numFmtId="49" fontId="5" fillId="23" borderId="6" xfId="0" applyNumberFormat="1" applyFont="1" applyFill="1" applyBorder="1" applyAlignment="1"/>
    <xf numFmtId="49" fontId="5" fillId="17" borderId="9" xfId="0" applyNumberFormat="1" applyFont="1" applyFill="1" applyBorder="1" applyAlignment="1"/>
    <xf numFmtId="0" fontId="10" fillId="16" borderId="0" xfId="0" applyFont="1" applyFill="1" applyAlignment="1"/>
    <xf numFmtId="49" fontId="5" fillId="17" borderId="9" xfId="0" applyNumberFormat="1" applyFont="1" applyFill="1" applyBorder="1" applyAlignment="1"/>
    <xf numFmtId="49" fontId="5" fillId="17" borderId="6" xfId="0" applyNumberFormat="1" applyFont="1" applyFill="1" applyBorder="1" applyAlignment="1">
      <alignment wrapText="1"/>
    </xf>
    <xf numFmtId="2" fontId="6" fillId="19" borderId="6" xfId="0" applyNumberFormat="1" applyFont="1" applyFill="1" applyBorder="1" applyAlignment="1">
      <alignment horizontal="center" vertical="center" wrapText="1"/>
    </xf>
    <xf numFmtId="2" fontId="5" fillId="25" borderId="6" xfId="0" applyNumberFormat="1" applyFont="1" applyFill="1" applyBorder="1" applyAlignment="1">
      <alignment horizontal="center" vertical="center" wrapText="1"/>
    </xf>
    <xf numFmtId="2" fontId="5" fillId="15" borderId="6" xfId="0" applyNumberFormat="1" applyFont="1" applyFill="1" applyBorder="1" applyAlignment="1">
      <alignment horizontal="center" vertical="center"/>
    </xf>
    <xf numFmtId="0" fontId="5" fillId="26" borderId="9" xfId="0" applyFont="1" applyFill="1" applyBorder="1" applyAlignment="1"/>
    <xf numFmtId="0" fontId="5" fillId="26" borderId="6" xfId="0" applyFont="1" applyFill="1" applyBorder="1" applyAlignment="1"/>
    <xf numFmtId="49" fontId="5" fillId="26" borderId="6" xfId="0" applyNumberFormat="1" applyFont="1" applyFill="1" applyBorder="1" applyAlignment="1"/>
    <xf numFmtId="49" fontId="5" fillId="17" borderId="6" xfId="0" applyNumberFormat="1" applyFont="1" applyFill="1" applyBorder="1" applyAlignment="1"/>
    <xf numFmtId="0" fontId="2" fillId="2" borderId="0" xfId="0" applyFont="1" applyFill="1" applyAlignment="1"/>
    <xf numFmtId="0" fontId="2" fillId="2" borderId="0" xfId="0" applyFont="1" applyFill="1"/>
    <xf numFmtId="49" fontId="5" fillId="23" borderId="6" xfId="0" applyNumberFormat="1" applyFont="1" applyFill="1" applyBorder="1" applyAlignment="1">
      <alignment wrapText="1"/>
    </xf>
    <xf numFmtId="49" fontId="13" fillId="23" borderId="6" xfId="0" applyNumberFormat="1" applyFont="1" applyFill="1" applyBorder="1" applyAlignment="1"/>
    <xf numFmtId="49" fontId="5" fillId="17" borderId="6" xfId="0" applyNumberFormat="1" applyFont="1" applyFill="1" applyBorder="1" applyAlignment="1">
      <alignment wrapText="1"/>
    </xf>
    <xf numFmtId="49" fontId="5" fillId="17" borderId="2" xfId="0" applyNumberFormat="1" applyFont="1" applyFill="1" applyBorder="1" applyAlignment="1">
      <alignment wrapText="1"/>
    </xf>
    <xf numFmtId="0" fontId="5" fillId="23" borderId="11" xfId="0" applyFont="1" applyFill="1" applyBorder="1" applyAlignment="1">
      <alignment wrapText="1"/>
    </xf>
    <xf numFmtId="0" fontId="5" fillId="17" borderId="11" xfId="0" applyFont="1" applyFill="1" applyBorder="1" applyAlignment="1">
      <alignment wrapText="1"/>
    </xf>
    <xf numFmtId="0" fontId="5" fillId="23" borderId="9" xfId="0" applyFont="1" applyFill="1" applyBorder="1" applyAlignment="1">
      <alignment wrapText="1"/>
    </xf>
    <xf numFmtId="49" fontId="5" fillId="23" borderId="6" xfId="0" applyNumberFormat="1" applyFont="1" applyFill="1" applyBorder="1" applyAlignment="1">
      <alignment wrapText="1"/>
    </xf>
    <xf numFmtId="0" fontId="5" fillId="17" borderId="6" xfId="0" applyFont="1" applyFill="1" applyBorder="1" applyAlignment="1">
      <alignment wrapText="1"/>
    </xf>
    <xf numFmtId="0" fontId="5" fillId="23" borderId="6" xfId="0" applyFont="1" applyFill="1" applyBorder="1" applyAlignment="1">
      <alignment wrapText="1"/>
    </xf>
    <xf numFmtId="0" fontId="1" fillId="21" borderId="6" xfId="0" applyFont="1" applyFill="1" applyBorder="1" applyAlignment="1">
      <alignment horizontal="center" wrapText="1"/>
    </xf>
    <xf numFmtId="0" fontId="12" fillId="21" borderId="6" xfId="0" applyFont="1" applyFill="1" applyBorder="1" applyAlignment="1">
      <alignment horizontal="center" wrapText="1"/>
    </xf>
    <xf numFmtId="0" fontId="14" fillId="12" borderId="3" xfId="0" applyFont="1" applyFill="1" applyBorder="1" applyAlignment="1">
      <alignment horizontal="center"/>
    </xf>
    <xf numFmtId="2" fontId="5" fillId="0" borderId="3" xfId="0" applyNumberFormat="1" applyFont="1" applyBorder="1" applyAlignment="1">
      <alignment horizontal="center" vertical="center"/>
    </xf>
    <xf numFmtId="2" fontId="5" fillId="8" borderId="6" xfId="0" applyNumberFormat="1" applyFont="1" applyFill="1" applyBorder="1" applyAlignment="1">
      <alignment horizontal="center" vertical="center"/>
    </xf>
    <xf numFmtId="0" fontId="5" fillId="23" borderId="9" xfId="0" applyFont="1" applyFill="1" applyBorder="1" applyAlignment="1">
      <alignment wrapText="1"/>
    </xf>
    <xf numFmtId="49" fontId="5" fillId="28" borderId="6" xfId="0" applyNumberFormat="1" applyFont="1" applyFill="1" applyBorder="1" applyAlignment="1">
      <alignment wrapText="1"/>
    </xf>
    <xf numFmtId="2" fontId="5" fillId="7" borderId="6" xfId="0" applyNumberFormat="1" applyFont="1" applyFill="1" applyBorder="1" applyAlignment="1">
      <alignment horizontal="center" vertical="center"/>
    </xf>
    <xf numFmtId="2" fontId="16" fillId="3" borderId="6" xfId="0" applyNumberFormat="1" applyFont="1" applyFill="1" applyBorder="1" applyAlignment="1">
      <alignment horizontal="center" vertical="center"/>
    </xf>
    <xf numFmtId="2" fontId="16" fillId="4" borderId="6" xfId="0" applyNumberFormat="1" applyFont="1" applyFill="1" applyBorder="1" applyAlignment="1">
      <alignment horizontal="center" vertical="center"/>
    </xf>
    <xf numFmtId="2" fontId="16" fillId="11" borderId="6" xfId="0" applyNumberFormat="1" applyFont="1" applyFill="1" applyBorder="1" applyAlignment="1">
      <alignment horizontal="center" vertical="center"/>
    </xf>
    <xf numFmtId="2" fontId="16" fillId="6" borderId="6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5" fillId="9" borderId="5" xfId="0" applyNumberFormat="1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2" fontId="5" fillId="29" borderId="6" xfId="0" applyNumberFormat="1" applyFont="1" applyFill="1" applyBorder="1" applyAlignment="1">
      <alignment horizontal="center" vertical="center"/>
    </xf>
    <xf numFmtId="2" fontId="5" fillId="14" borderId="6" xfId="0" applyNumberFormat="1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 wrapText="1"/>
    </xf>
    <xf numFmtId="49" fontId="5" fillId="25" borderId="11" xfId="0" applyNumberFormat="1" applyFont="1" applyFill="1" applyBorder="1" applyAlignment="1">
      <alignment wrapText="1"/>
    </xf>
    <xf numFmtId="0" fontId="5" fillId="25" borderId="9" xfId="0" applyFont="1" applyFill="1" applyBorder="1" applyAlignment="1">
      <alignment horizontal="center" vertical="center" wrapText="1"/>
    </xf>
    <xf numFmtId="0" fontId="5" fillId="25" borderId="5" xfId="0" applyFont="1" applyFill="1" applyBorder="1" applyAlignment="1">
      <alignment horizontal="center" vertical="center"/>
    </xf>
    <xf numFmtId="0" fontId="5" fillId="25" borderId="6" xfId="0" applyFont="1" applyFill="1" applyBorder="1" applyAlignment="1">
      <alignment horizontal="center" vertical="center"/>
    </xf>
    <xf numFmtId="0" fontId="5" fillId="25" borderId="6" xfId="0" applyFont="1" applyFill="1" applyBorder="1" applyAlignment="1">
      <alignment horizontal="center" vertical="center" wrapText="1"/>
    </xf>
    <xf numFmtId="49" fontId="5" fillId="19" borderId="9" xfId="0" applyNumberFormat="1" applyFont="1" applyFill="1" applyBorder="1" applyAlignment="1">
      <alignment wrapText="1"/>
    </xf>
    <xf numFmtId="164" fontId="5" fillId="19" borderId="5" xfId="0" applyNumberFormat="1" applyFont="1" applyFill="1" applyBorder="1" applyAlignment="1">
      <alignment horizontal="center" vertical="center" wrapText="1"/>
    </xf>
    <xf numFmtId="49" fontId="5" fillId="9" borderId="9" xfId="0" applyNumberFormat="1" applyFont="1" applyFill="1" applyBorder="1" applyAlignment="1">
      <alignment wrapText="1"/>
    </xf>
    <xf numFmtId="49" fontId="5" fillId="25" borderId="6" xfId="0" applyNumberFormat="1" applyFont="1" applyFill="1" applyBorder="1" applyAlignment="1">
      <alignment wrapText="1"/>
    </xf>
    <xf numFmtId="49" fontId="5" fillId="9" borderId="6" xfId="0" applyNumberFormat="1" applyFont="1" applyFill="1" applyBorder="1" applyAlignment="1">
      <alignment wrapText="1"/>
    </xf>
    <xf numFmtId="0" fontId="10" fillId="9" borderId="6" xfId="0" applyFont="1" applyFill="1" applyBorder="1" applyAlignment="1"/>
    <xf numFmtId="49" fontId="5" fillId="9" borderId="5" xfId="0" applyNumberFormat="1" applyFont="1" applyFill="1" applyBorder="1" applyAlignment="1">
      <alignment wrapText="1"/>
    </xf>
    <xf numFmtId="49" fontId="5" fillId="17" borderId="6" xfId="0" applyNumberFormat="1" applyFont="1" applyFill="1" applyBorder="1" applyAlignment="1">
      <alignment wrapText="1"/>
    </xf>
    <xf numFmtId="2" fontId="5" fillId="14" borderId="6" xfId="0" applyNumberFormat="1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49" fontId="5" fillId="19" borderId="9" xfId="0" applyNumberFormat="1" applyFont="1" applyFill="1" applyBorder="1" applyAlignment="1"/>
    <xf numFmtId="2" fontId="5" fillId="0" borderId="6" xfId="0" applyNumberFormat="1" applyFont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2" fontId="1" fillId="11" borderId="6" xfId="0" applyNumberFormat="1" applyFont="1" applyFill="1" applyBorder="1" applyAlignment="1">
      <alignment horizontal="center" vertical="center" wrapText="1"/>
    </xf>
    <xf numFmtId="0" fontId="17" fillId="13" borderId="6" xfId="0" applyFont="1" applyFill="1" applyBorder="1" applyAlignment="1">
      <alignment horizontal="center" vertical="center"/>
    </xf>
    <xf numFmtId="0" fontId="5" fillId="29" borderId="6" xfId="0" applyFont="1" applyFill="1" applyBorder="1" applyAlignment="1">
      <alignment horizontal="center" vertical="center"/>
    </xf>
    <xf numFmtId="0" fontId="5" fillId="20" borderId="6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wrapText="1"/>
    </xf>
    <xf numFmtId="0" fontId="5" fillId="17" borderId="6" xfId="0" applyFont="1" applyFill="1" applyBorder="1" applyAlignment="1">
      <alignment wrapText="1"/>
    </xf>
    <xf numFmtId="0" fontId="5" fillId="13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2" fontId="5" fillId="16" borderId="6" xfId="0" applyNumberFormat="1" applyFont="1" applyFill="1" applyBorder="1" applyAlignment="1">
      <alignment horizontal="center" vertical="center"/>
    </xf>
    <xf numFmtId="49" fontId="5" fillId="27" borderId="6" xfId="0" applyNumberFormat="1" applyFont="1" applyFill="1" applyBorder="1" applyAlignment="1">
      <alignment horizontal="right" wrapText="1"/>
    </xf>
    <xf numFmtId="2" fontId="5" fillId="16" borderId="0" xfId="0" applyNumberFormat="1" applyFont="1" applyFill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 wrapText="1"/>
    </xf>
    <xf numFmtId="0" fontId="10" fillId="19" borderId="6" xfId="0" applyFont="1" applyFill="1" applyBorder="1" applyAlignment="1">
      <alignment horizontal="center"/>
    </xf>
    <xf numFmtId="2" fontId="5" fillId="30" borderId="6" xfId="0" applyNumberFormat="1" applyFont="1" applyFill="1" applyBorder="1" applyAlignment="1">
      <alignment horizontal="center" vertical="center" wrapText="1"/>
    </xf>
    <xf numFmtId="2" fontId="17" fillId="16" borderId="6" xfId="0" applyNumberFormat="1" applyFont="1" applyFill="1" applyBorder="1" applyAlignment="1">
      <alignment horizontal="center" vertical="center"/>
    </xf>
    <xf numFmtId="2" fontId="17" fillId="16" borderId="6" xfId="0" applyNumberFormat="1" applyFont="1" applyFill="1" applyBorder="1" applyAlignment="1">
      <alignment horizontal="center" vertical="center"/>
    </xf>
    <xf numFmtId="2" fontId="17" fillId="16" borderId="6" xfId="0" applyNumberFormat="1" applyFont="1" applyFill="1" applyBorder="1" applyAlignment="1">
      <alignment horizontal="center" vertical="center" wrapText="1"/>
    </xf>
    <xf numFmtId="2" fontId="17" fillId="16" borderId="6" xfId="0" applyNumberFormat="1" applyFont="1" applyFill="1" applyBorder="1" applyAlignment="1">
      <alignment horizontal="center" vertical="center" wrapText="1"/>
    </xf>
    <xf numFmtId="49" fontId="5" fillId="19" borderId="9" xfId="0" applyNumberFormat="1" applyFont="1" applyFill="1" applyBorder="1" applyAlignment="1">
      <alignment horizontal="center"/>
    </xf>
    <xf numFmtId="164" fontId="5" fillId="19" borderId="9" xfId="0" applyNumberFormat="1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49" fontId="5" fillId="19" borderId="6" xfId="0" applyNumberFormat="1" applyFont="1" applyFill="1" applyBorder="1" applyAlignment="1">
      <alignment horizontal="right" wrapText="1"/>
    </xf>
    <xf numFmtId="49" fontId="5" fillId="19" borderId="6" xfId="0" applyNumberFormat="1" applyFont="1" applyFill="1" applyBorder="1" applyAlignment="1">
      <alignment wrapText="1"/>
    </xf>
    <xf numFmtId="0" fontId="5" fillId="12" borderId="6" xfId="0" applyFont="1" applyFill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right"/>
    </xf>
    <xf numFmtId="49" fontId="13" fillId="27" borderId="6" xfId="0" applyNumberFormat="1" applyFont="1" applyFill="1" applyBorder="1" applyAlignment="1">
      <alignment horizontal="right"/>
    </xf>
    <xf numFmtId="49" fontId="5" fillId="23" borderId="6" xfId="0" applyNumberFormat="1" applyFont="1" applyFill="1" applyBorder="1" applyAlignment="1"/>
    <xf numFmtId="164" fontId="5" fillId="12" borderId="5" xfId="0" applyNumberFormat="1" applyFont="1" applyFill="1" applyBorder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2" fontId="1" fillId="9" borderId="6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wrapText="1"/>
    </xf>
    <xf numFmtId="0" fontId="5" fillId="2" borderId="8" xfId="0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49" fontId="5" fillId="9" borderId="10" xfId="0" applyNumberFormat="1" applyFont="1" applyFill="1" applyBorder="1" applyAlignment="1">
      <alignment wrapText="1"/>
    </xf>
    <xf numFmtId="49" fontId="5" fillId="9" borderId="11" xfId="0" applyNumberFormat="1" applyFont="1" applyFill="1" applyBorder="1" applyAlignment="1">
      <alignment wrapText="1"/>
    </xf>
    <xf numFmtId="49" fontId="5" fillId="9" borderId="6" xfId="0" applyNumberFormat="1" applyFont="1" applyFill="1" applyBorder="1" applyAlignment="1">
      <alignment wrapText="1"/>
    </xf>
    <xf numFmtId="49" fontId="5" fillId="2" borderId="6" xfId="0" applyNumberFormat="1" applyFont="1" applyFill="1" applyBorder="1" applyAlignment="1">
      <alignment wrapText="1"/>
    </xf>
    <xf numFmtId="0" fontId="5" fillId="2" borderId="5" xfId="0" applyFont="1" applyFill="1" applyBorder="1" applyAlignment="1">
      <alignment horizontal="center" vertical="center" wrapText="1"/>
    </xf>
    <xf numFmtId="2" fontId="5" fillId="2" borderId="6" xfId="0" applyNumberFormat="1" applyFont="1" applyFill="1" applyBorder="1" applyAlignment="1">
      <alignment horizontal="center" vertical="center"/>
    </xf>
    <xf numFmtId="2" fontId="5" fillId="18" borderId="6" xfId="0" applyNumberFormat="1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/>
    </xf>
    <xf numFmtId="49" fontId="5" fillId="9" borderId="12" xfId="0" applyNumberFormat="1" applyFont="1" applyFill="1" applyBorder="1" applyAlignment="1">
      <alignment wrapText="1"/>
    </xf>
    <xf numFmtId="0" fontId="10" fillId="9" borderId="6" xfId="0" applyFont="1" applyFill="1" applyBorder="1" applyAlignment="1">
      <alignment horizontal="center"/>
    </xf>
    <xf numFmtId="49" fontId="5" fillId="9" borderId="9" xfId="0" applyNumberFormat="1" applyFont="1" applyFill="1" applyBorder="1" applyAlignment="1">
      <alignment horizontal="left"/>
    </xf>
    <xf numFmtId="0" fontId="5" fillId="9" borderId="4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164" fontId="5" fillId="9" borderId="9" xfId="0" applyNumberFormat="1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/>
    </xf>
    <xf numFmtId="2" fontId="14" fillId="9" borderId="6" xfId="0" applyNumberFormat="1" applyFont="1" applyFill="1" applyBorder="1" applyAlignment="1">
      <alignment horizontal="center"/>
    </xf>
    <xf numFmtId="2" fontId="14" fillId="9" borderId="6" xfId="0" applyNumberFormat="1" applyFont="1" applyFill="1" applyBorder="1" applyAlignment="1">
      <alignment horizontal="center"/>
    </xf>
    <xf numFmtId="2" fontId="19" fillId="10" borderId="6" xfId="0" applyNumberFormat="1" applyFont="1" applyFill="1" applyBorder="1" applyAlignment="1">
      <alignment horizontal="center" wrapText="1"/>
    </xf>
    <xf numFmtId="2" fontId="19" fillId="4" borderId="6" xfId="0" applyNumberFormat="1" applyFont="1" applyFill="1" applyBorder="1" applyAlignment="1">
      <alignment horizontal="center" wrapText="1"/>
    </xf>
    <xf numFmtId="2" fontId="1" fillId="11" borderId="6" xfId="0" applyNumberFormat="1" applyFont="1" applyFill="1" applyBorder="1" applyAlignment="1">
      <alignment horizontal="center" wrapText="1"/>
    </xf>
    <xf numFmtId="2" fontId="1" fillId="9" borderId="6" xfId="0" applyNumberFormat="1" applyFont="1" applyFill="1" applyBorder="1" applyAlignment="1">
      <alignment horizontal="center" wrapText="1"/>
    </xf>
    <xf numFmtId="2" fontId="5" fillId="9" borderId="6" xfId="0" applyNumberFormat="1" applyFont="1" applyFill="1" applyBorder="1" applyAlignment="1">
      <alignment horizontal="center" wrapText="1"/>
    </xf>
    <xf numFmtId="2" fontId="19" fillId="6" borderId="6" xfId="0" applyNumberFormat="1" applyFont="1" applyFill="1" applyBorder="1" applyAlignment="1">
      <alignment horizontal="center" wrapText="1"/>
    </xf>
    <xf numFmtId="2" fontId="8" fillId="12" borderId="6" xfId="0" applyNumberFormat="1" applyFont="1" applyFill="1" applyBorder="1" applyAlignment="1">
      <alignment horizontal="center" wrapText="1"/>
    </xf>
    <xf numFmtId="0" fontId="14" fillId="0" borderId="0" xfId="0" applyFont="1" applyAlignment="1">
      <alignment horizontal="center"/>
    </xf>
    <xf numFmtId="49" fontId="5" fillId="9" borderId="9" xfId="0" applyNumberFormat="1" applyFont="1" applyFill="1" applyBorder="1" applyAlignment="1">
      <alignment horizontal="left"/>
    </xf>
    <xf numFmtId="2" fontId="20" fillId="9" borderId="6" xfId="0" applyNumberFormat="1" applyFont="1" applyFill="1" applyBorder="1" applyAlignment="1">
      <alignment horizontal="center" vertical="center"/>
    </xf>
    <xf numFmtId="164" fontId="5" fillId="9" borderId="9" xfId="0" applyNumberFormat="1" applyFont="1" applyFill="1" applyBorder="1" applyAlignment="1">
      <alignment horizontal="center" vertical="center"/>
    </xf>
    <xf numFmtId="2" fontId="6" fillId="9" borderId="6" xfId="0" applyNumberFormat="1" applyFont="1" applyFill="1" applyBorder="1" applyAlignment="1">
      <alignment horizontal="center" vertical="center" wrapText="1"/>
    </xf>
    <xf numFmtId="2" fontId="1" fillId="9" borderId="6" xfId="0" applyNumberFormat="1" applyFont="1" applyFill="1" applyBorder="1" applyAlignment="1">
      <alignment horizontal="center" vertical="center" wrapText="1"/>
    </xf>
    <xf numFmtId="49" fontId="5" fillId="9" borderId="9" xfId="0" applyNumberFormat="1" applyFont="1" applyFill="1" applyBorder="1" applyAlignment="1">
      <alignment horizontal="center"/>
    </xf>
    <xf numFmtId="0" fontId="5" fillId="9" borderId="6" xfId="0" applyFont="1" applyFill="1" applyBorder="1" applyAlignment="1">
      <alignment wrapText="1"/>
    </xf>
    <xf numFmtId="49" fontId="5" fillId="12" borderId="6" xfId="0" applyNumberFormat="1" applyFont="1" applyFill="1" applyBorder="1" applyAlignment="1">
      <alignment horizontal="right" wrapText="1"/>
    </xf>
    <xf numFmtId="2" fontId="5" fillId="31" borderId="6" xfId="0" applyNumberFormat="1" applyFont="1" applyFill="1" applyBorder="1" applyAlignment="1">
      <alignment horizontal="center" vertical="center"/>
    </xf>
    <xf numFmtId="2" fontId="5" fillId="31" borderId="6" xfId="0" applyNumberFormat="1" applyFont="1" applyFill="1" applyBorder="1" applyAlignment="1">
      <alignment horizontal="center" vertical="center" wrapText="1"/>
    </xf>
    <xf numFmtId="49" fontId="5" fillId="17" borderId="9" xfId="0" applyNumberFormat="1" applyFont="1" applyFill="1" applyBorder="1" applyAlignment="1">
      <alignment wrapText="1"/>
    </xf>
    <xf numFmtId="49" fontId="5" fillId="17" borderId="9" xfId="0" applyNumberFormat="1" applyFont="1" applyFill="1" applyBorder="1" applyAlignment="1">
      <alignment horizontal="left"/>
    </xf>
    <xf numFmtId="49" fontId="5" fillId="12" borderId="9" xfId="0" applyNumberFormat="1" applyFont="1" applyFill="1" applyBorder="1" applyAlignment="1">
      <alignment horizontal="center"/>
    </xf>
    <xf numFmtId="164" fontId="5" fillId="12" borderId="9" xfId="0" applyNumberFormat="1" applyFont="1" applyFill="1" applyBorder="1" applyAlignment="1">
      <alignment horizontal="center" vertical="center"/>
    </xf>
    <xf numFmtId="2" fontId="5" fillId="12" borderId="6" xfId="0" applyNumberFormat="1" applyFont="1" applyFill="1" applyBorder="1" applyAlignment="1">
      <alignment horizontal="center" vertical="center"/>
    </xf>
    <xf numFmtId="49" fontId="5" fillId="12" borderId="9" xfId="0" applyNumberFormat="1" applyFont="1" applyFill="1" applyBorder="1" applyAlignment="1">
      <alignment horizontal="left"/>
    </xf>
    <xf numFmtId="49" fontId="5" fillId="12" borderId="6" xfId="0" applyNumberFormat="1" applyFont="1" applyFill="1" applyBorder="1" applyAlignment="1">
      <alignment wrapText="1"/>
    </xf>
    <xf numFmtId="0" fontId="5" fillId="31" borderId="6" xfId="0" applyFont="1" applyFill="1" applyBorder="1" applyAlignment="1">
      <alignment horizontal="center" vertical="center"/>
    </xf>
    <xf numFmtId="0" fontId="1" fillId="21" borderId="6" xfId="0" applyFont="1" applyFill="1" applyBorder="1" applyAlignment="1">
      <alignment horizontal="center" wrapText="1"/>
    </xf>
    <xf numFmtId="0" fontId="12" fillId="21" borderId="6" xfId="0" applyFont="1" applyFill="1" applyBorder="1" applyAlignment="1">
      <alignment horizontal="center" wrapText="1"/>
    </xf>
    <xf numFmtId="1" fontId="12" fillId="22" borderId="6" xfId="0" applyNumberFormat="1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49" fontId="5" fillId="32" borderId="6" xfId="0" applyNumberFormat="1" applyFont="1" applyFill="1" applyBorder="1" applyAlignment="1">
      <alignment horizontal="right" wrapText="1"/>
    </xf>
    <xf numFmtId="49" fontId="5" fillId="33" borderId="9" xfId="0" applyNumberFormat="1" applyFont="1" applyFill="1" applyBorder="1" applyAlignment="1">
      <alignment wrapText="1"/>
    </xf>
    <xf numFmtId="0" fontId="5" fillId="33" borderId="8" xfId="0" applyFont="1" applyFill="1" applyBorder="1" applyAlignment="1">
      <alignment horizontal="center" vertical="center"/>
    </xf>
    <xf numFmtId="0" fontId="5" fillId="33" borderId="5" xfId="0" applyFont="1" applyFill="1" applyBorder="1" applyAlignment="1">
      <alignment horizontal="center" vertical="center" wrapText="1"/>
    </xf>
    <xf numFmtId="164" fontId="5" fillId="33" borderId="5" xfId="0" applyNumberFormat="1" applyFont="1" applyFill="1" applyBorder="1" applyAlignment="1">
      <alignment horizontal="center" vertical="center" wrapText="1"/>
    </xf>
    <xf numFmtId="0" fontId="5" fillId="33" borderId="6" xfId="0" applyFont="1" applyFill="1" applyBorder="1" applyAlignment="1">
      <alignment horizontal="center" vertical="center" wrapText="1"/>
    </xf>
    <xf numFmtId="0" fontId="5" fillId="32" borderId="6" xfId="0" applyFont="1" applyFill="1" applyBorder="1" applyAlignment="1">
      <alignment horizontal="center" vertical="center" wrapText="1"/>
    </xf>
    <xf numFmtId="0" fontId="5" fillId="34" borderId="6" xfId="0" applyFont="1" applyFill="1" applyBorder="1" applyAlignment="1">
      <alignment horizontal="center" vertical="center" wrapText="1"/>
    </xf>
    <xf numFmtId="0" fontId="5" fillId="33" borderId="6" xfId="0" applyFont="1" applyFill="1" applyBorder="1" applyAlignment="1">
      <alignment horizontal="center" vertical="center"/>
    </xf>
    <xf numFmtId="0" fontId="1" fillId="34" borderId="6" xfId="0" applyFont="1" applyFill="1" applyBorder="1" applyAlignment="1">
      <alignment horizontal="center" vertical="center" wrapText="1"/>
    </xf>
    <xf numFmtId="0" fontId="1" fillId="33" borderId="6" xfId="0" applyFont="1" applyFill="1" applyBorder="1" applyAlignment="1">
      <alignment horizontal="center" vertical="center" wrapText="1"/>
    </xf>
    <xf numFmtId="2" fontId="5" fillId="35" borderId="6" xfId="0" applyNumberFormat="1" applyFont="1" applyFill="1" applyBorder="1" applyAlignment="1">
      <alignment horizontal="center" vertical="center"/>
    </xf>
    <xf numFmtId="0" fontId="5" fillId="35" borderId="6" xfId="0" applyFont="1" applyFill="1" applyBorder="1" applyAlignment="1">
      <alignment horizontal="center" vertical="center" wrapText="1"/>
    </xf>
    <xf numFmtId="2" fontId="5" fillId="33" borderId="6" xfId="0" applyNumberFormat="1" applyFont="1" applyFill="1" applyBorder="1" applyAlignment="1">
      <alignment horizontal="center" vertical="center"/>
    </xf>
    <xf numFmtId="2" fontId="6" fillId="36" borderId="6" xfId="0" applyNumberFormat="1" applyFont="1" applyFill="1" applyBorder="1" applyAlignment="1">
      <alignment horizontal="center" vertical="center" wrapText="1"/>
    </xf>
    <xf numFmtId="2" fontId="5" fillId="37" borderId="6" xfId="0" applyNumberFormat="1" applyFont="1" applyFill="1" applyBorder="1" applyAlignment="1">
      <alignment horizontal="center" vertical="center" wrapText="1"/>
    </xf>
    <xf numFmtId="2" fontId="5" fillId="38" borderId="6" xfId="0" applyNumberFormat="1" applyFont="1" applyFill="1" applyBorder="1" applyAlignment="1">
      <alignment horizontal="center" vertical="center" wrapText="1"/>
    </xf>
    <xf numFmtId="2" fontId="7" fillId="39" borderId="6" xfId="0" applyNumberFormat="1" applyFont="1" applyFill="1" applyBorder="1" applyAlignment="1">
      <alignment horizontal="center" vertical="center" wrapText="1"/>
    </xf>
    <xf numFmtId="2" fontId="7" fillId="40" borderId="6" xfId="0" applyNumberFormat="1" applyFont="1" applyFill="1" applyBorder="1" applyAlignment="1">
      <alignment horizontal="center" vertical="center" wrapText="1"/>
    </xf>
    <xf numFmtId="2" fontId="5" fillId="37" borderId="6" xfId="0" applyNumberFormat="1" applyFont="1" applyFill="1" applyBorder="1" applyAlignment="1">
      <alignment horizontal="center" vertical="center"/>
    </xf>
    <xf numFmtId="2" fontId="1" fillId="41" borderId="6" xfId="0" applyNumberFormat="1" applyFont="1" applyFill="1" applyBorder="1" applyAlignment="1">
      <alignment horizontal="center" vertical="center" wrapText="1"/>
    </xf>
    <xf numFmtId="2" fontId="1" fillId="34" borderId="6" xfId="0" applyNumberFormat="1" applyFont="1" applyFill="1" applyBorder="1" applyAlignment="1">
      <alignment horizontal="center" vertical="center" wrapText="1"/>
    </xf>
    <xf numFmtId="2" fontId="5" fillId="34" borderId="6" xfId="0" applyNumberFormat="1" applyFont="1" applyFill="1" applyBorder="1" applyAlignment="1">
      <alignment horizontal="center" vertical="center" wrapText="1"/>
    </xf>
    <xf numFmtId="2" fontId="7" fillId="42" borderId="6" xfId="0" applyNumberFormat="1" applyFont="1" applyFill="1" applyBorder="1" applyAlignment="1">
      <alignment horizontal="center" vertical="center" wrapText="1"/>
    </xf>
    <xf numFmtId="2" fontId="8" fillId="34" borderId="6" xfId="0" applyNumberFormat="1" applyFont="1" applyFill="1" applyBorder="1" applyAlignment="1">
      <alignment horizontal="center" vertical="center" wrapText="1"/>
    </xf>
    <xf numFmtId="2" fontId="9" fillId="43" borderId="0" xfId="0" applyNumberFormat="1" applyFont="1" applyFill="1"/>
    <xf numFmtId="0" fontId="2" fillId="43" borderId="0" xfId="0" applyFont="1" applyFill="1"/>
    <xf numFmtId="0" fontId="0" fillId="43" borderId="0" xfId="0" applyFont="1" applyFill="1" applyAlignment="1"/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/>
    <xf numFmtId="0" fontId="4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/>
  </cellXfs>
  <cellStyles count="1">
    <cellStyle name="Обычный" xfId="0" builtinId="0"/>
  </cellStyles>
  <dxfs count="38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92">
    <tableStyle name="Січень-style" pivot="0" count="2">
      <tableStyleElement type="firstRowStripe" dxfId="383"/>
      <tableStyleElement type="secondRowStripe" dxfId="382"/>
    </tableStyle>
    <tableStyle name="Січень-style 2" pivot="0" count="2">
      <tableStyleElement type="firstRowStripe" dxfId="381"/>
      <tableStyleElement type="secondRowStripe" dxfId="380"/>
    </tableStyle>
    <tableStyle name="Січень-style 3" pivot="0" count="2">
      <tableStyleElement type="firstRowStripe" dxfId="379"/>
      <tableStyleElement type="secondRowStripe" dxfId="378"/>
    </tableStyle>
    <tableStyle name="Січень-style 4" pivot="0" count="2">
      <tableStyleElement type="firstRowStripe" dxfId="377"/>
      <tableStyleElement type="secondRowStripe" dxfId="376"/>
    </tableStyle>
    <tableStyle name="Січень-style 5" pivot="0" count="2">
      <tableStyleElement type="firstRowStripe" dxfId="375"/>
      <tableStyleElement type="secondRowStripe" dxfId="374"/>
    </tableStyle>
    <tableStyle name="Січень-style 6" pivot="0" count="2">
      <tableStyleElement type="firstRowStripe" dxfId="373"/>
      <tableStyleElement type="secondRowStripe" dxfId="372"/>
    </tableStyle>
    <tableStyle name="Січень-style 7" pivot="0" count="2">
      <tableStyleElement type="firstRowStripe" dxfId="371"/>
      <tableStyleElement type="secondRowStripe" dxfId="370"/>
    </tableStyle>
    <tableStyle name="Січень-style 8" pivot="0" count="2">
      <tableStyleElement type="firstRowStripe" dxfId="369"/>
      <tableStyleElement type="secondRowStripe" dxfId="368"/>
    </tableStyle>
    <tableStyle name="Січень-style 9" pivot="0" count="2">
      <tableStyleElement type="firstRowStripe" dxfId="367"/>
      <tableStyleElement type="secondRowStripe" dxfId="366"/>
    </tableStyle>
    <tableStyle name="Січень-style 10" pivot="0" count="2">
      <tableStyleElement type="firstRowStripe" dxfId="365"/>
      <tableStyleElement type="secondRowStripe" dxfId="364"/>
    </tableStyle>
    <tableStyle name="Січень-style 11" pivot="0" count="2">
      <tableStyleElement type="firstRowStripe" dxfId="363"/>
      <tableStyleElement type="secondRowStripe" dxfId="362"/>
    </tableStyle>
    <tableStyle name="Січень-style 12" pivot="0" count="2">
      <tableStyleElement type="firstRowStripe" dxfId="361"/>
      <tableStyleElement type="secondRowStripe" dxfId="360"/>
    </tableStyle>
    <tableStyle name="Січень-style 13" pivot="0" count="2">
      <tableStyleElement type="firstRowStripe" dxfId="359"/>
      <tableStyleElement type="secondRowStripe" dxfId="358"/>
    </tableStyle>
    <tableStyle name="Січень-style 14" pivot="0" count="2">
      <tableStyleElement type="firstRowStripe" dxfId="357"/>
      <tableStyleElement type="secondRowStripe" dxfId="356"/>
    </tableStyle>
    <tableStyle name="Січень-style 15" pivot="0" count="2">
      <tableStyleElement type="firstRowStripe" dxfId="355"/>
      <tableStyleElement type="secondRowStripe" dxfId="354"/>
    </tableStyle>
    <tableStyle name="Січень-style 16" pivot="0" count="2">
      <tableStyleElement type="firstRowStripe" dxfId="353"/>
      <tableStyleElement type="secondRowStripe" dxfId="352"/>
    </tableStyle>
    <tableStyle name="Січень-style 17" pivot="0" count="2">
      <tableStyleElement type="firstRowStripe" dxfId="351"/>
      <tableStyleElement type="secondRowStripe" dxfId="350"/>
    </tableStyle>
    <tableStyle name="Січень-style 18" pivot="0" count="2">
      <tableStyleElement type="firstRowStripe" dxfId="349"/>
      <tableStyleElement type="secondRowStripe" dxfId="348"/>
    </tableStyle>
    <tableStyle name="Січень-style 19" pivot="0" count="2">
      <tableStyleElement type="firstRowStripe" dxfId="347"/>
      <tableStyleElement type="secondRowStripe" dxfId="346"/>
    </tableStyle>
    <tableStyle name="Січень-style 20" pivot="0" count="2">
      <tableStyleElement type="firstRowStripe" dxfId="345"/>
      <tableStyleElement type="secondRowStripe" dxfId="344"/>
    </tableStyle>
    <tableStyle name="Січень-style 21" pivot="0" count="2">
      <tableStyleElement type="firstRowStripe" dxfId="343"/>
      <tableStyleElement type="secondRowStripe" dxfId="342"/>
    </tableStyle>
    <tableStyle name="Січень-style 22" pivot="0" count="2">
      <tableStyleElement type="firstRowStripe" dxfId="341"/>
      <tableStyleElement type="secondRowStripe" dxfId="340"/>
    </tableStyle>
    <tableStyle name="Січень-style 23" pivot="0" count="2">
      <tableStyleElement type="firstRowStripe" dxfId="339"/>
      <tableStyleElement type="secondRowStripe" dxfId="338"/>
    </tableStyle>
    <tableStyle name="Січень-style 24" pivot="0" count="2">
      <tableStyleElement type="firstRowStripe" dxfId="337"/>
      <tableStyleElement type="secondRowStripe" dxfId="336"/>
    </tableStyle>
    <tableStyle name="Січень-style 25" pivot="0" count="2">
      <tableStyleElement type="firstRowStripe" dxfId="335"/>
      <tableStyleElement type="secondRowStripe" dxfId="334"/>
    </tableStyle>
    <tableStyle name="Січень-style 26" pivot="0" count="2">
      <tableStyleElement type="firstRowStripe" dxfId="333"/>
      <tableStyleElement type="secondRowStripe" dxfId="332"/>
    </tableStyle>
    <tableStyle name="Січень-style 27" pivot="0" count="2">
      <tableStyleElement type="firstRowStripe" dxfId="331"/>
      <tableStyleElement type="secondRowStripe" dxfId="330"/>
    </tableStyle>
    <tableStyle name="Січень-style 28" pivot="0" count="2">
      <tableStyleElement type="firstRowStripe" dxfId="329"/>
      <tableStyleElement type="secondRowStripe" dxfId="328"/>
    </tableStyle>
    <tableStyle name="Січень-style 29" pivot="0" count="2">
      <tableStyleElement type="firstRowStripe" dxfId="327"/>
      <tableStyleElement type="secondRowStripe" dxfId="326"/>
    </tableStyle>
    <tableStyle name="Січень-style 30" pivot="0" count="2">
      <tableStyleElement type="firstRowStripe" dxfId="325"/>
      <tableStyleElement type="secondRowStripe" dxfId="324"/>
    </tableStyle>
    <tableStyle name="Січень-style 31" pivot="0" count="2">
      <tableStyleElement type="firstRowStripe" dxfId="323"/>
      <tableStyleElement type="secondRowStripe" dxfId="322"/>
    </tableStyle>
    <tableStyle name="Січень-style 32" pivot="0" count="2">
      <tableStyleElement type="firstRowStripe" dxfId="321"/>
      <tableStyleElement type="secondRowStripe" dxfId="320"/>
    </tableStyle>
    <tableStyle name="лютий -style" pivot="0" count="2">
      <tableStyleElement type="firstRowStripe" dxfId="319"/>
      <tableStyleElement type="secondRowStripe" dxfId="318"/>
    </tableStyle>
    <tableStyle name="лютий -style 2" pivot="0" count="2">
      <tableStyleElement type="firstRowStripe" dxfId="317"/>
      <tableStyleElement type="secondRowStripe" dxfId="316"/>
    </tableStyle>
    <tableStyle name="лютий -style 3" pivot="0" count="2">
      <tableStyleElement type="firstRowStripe" dxfId="315"/>
      <tableStyleElement type="secondRowStripe" dxfId="314"/>
    </tableStyle>
    <tableStyle name="лютий -style 4" pivot="0" count="2">
      <tableStyleElement type="firstRowStripe" dxfId="313"/>
      <tableStyleElement type="secondRowStripe" dxfId="312"/>
    </tableStyle>
    <tableStyle name="лютий -style 5" pivot="0" count="2">
      <tableStyleElement type="firstRowStripe" dxfId="311"/>
      <tableStyleElement type="secondRowStripe" dxfId="310"/>
    </tableStyle>
    <tableStyle name="лютий -style 6" pivot="0" count="2">
      <tableStyleElement type="firstRowStripe" dxfId="309"/>
      <tableStyleElement type="secondRowStripe" dxfId="308"/>
    </tableStyle>
    <tableStyle name="лютий -style 7" pivot="0" count="2">
      <tableStyleElement type="firstRowStripe" dxfId="307"/>
      <tableStyleElement type="secondRowStripe" dxfId="306"/>
    </tableStyle>
    <tableStyle name="лютий -style 8" pivot="0" count="2">
      <tableStyleElement type="firstRowStripe" dxfId="305"/>
      <tableStyleElement type="secondRowStripe" dxfId="304"/>
    </tableStyle>
    <tableStyle name="лютий -style 9" pivot="0" count="2">
      <tableStyleElement type="firstRowStripe" dxfId="303"/>
      <tableStyleElement type="secondRowStripe" dxfId="302"/>
    </tableStyle>
    <tableStyle name="лютий -style 10" pivot="0" count="2">
      <tableStyleElement type="firstRowStripe" dxfId="301"/>
      <tableStyleElement type="secondRowStripe" dxfId="300"/>
    </tableStyle>
    <tableStyle name="лютий -style 11" pivot="0" count="2">
      <tableStyleElement type="firstRowStripe" dxfId="299"/>
      <tableStyleElement type="secondRowStripe" dxfId="298"/>
    </tableStyle>
    <tableStyle name="лютий -style 12" pivot="0" count="2">
      <tableStyleElement type="firstRowStripe" dxfId="297"/>
      <tableStyleElement type="secondRowStripe" dxfId="296"/>
    </tableStyle>
    <tableStyle name="лютий -style 13" pivot="0" count="2">
      <tableStyleElement type="firstRowStripe" dxfId="295"/>
      <tableStyleElement type="secondRowStripe" dxfId="294"/>
    </tableStyle>
    <tableStyle name="лютий -style 14" pivot="0" count="2">
      <tableStyleElement type="firstRowStripe" dxfId="293"/>
      <tableStyleElement type="secondRowStripe" dxfId="292"/>
    </tableStyle>
    <tableStyle name="лютий -style 15" pivot="0" count="2">
      <tableStyleElement type="firstRowStripe" dxfId="291"/>
      <tableStyleElement type="secondRowStripe" dxfId="290"/>
    </tableStyle>
    <tableStyle name="лютий -style 16" pivot="0" count="2">
      <tableStyleElement type="firstRowStripe" dxfId="289"/>
      <tableStyleElement type="secondRowStripe" dxfId="288"/>
    </tableStyle>
    <tableStyle name="лютий -style 17" pivot="0" count="2">
      <tableStyleElement type="firstRowStripe" dxfId="287"/>
      <tableStyleElement type="secondRowStripe" dxfId="286"/>
    </tableStyle>
    <tableStyle name="лютий -style 18" pivot="0" count="2">
      <tableStyleElement type="firstRowStripe" dxfId="285"/>
      <tableStyleElement type="secondRowStripe" dxfId="284"/>
    </tableStyle>
    <tableStyle name="лютий -style 19" pivot="0" count="2">
      <tableStyleElement type="firstRowStripe" dxfId="283"/>
      <tableStyleElement type="secondRowStripe" dxfId="282"/>
    </tableStyle>
    <tableStyle name="лютий -style 20" pivot="0" count="2">
      <tableStyleElement type="firstRowStripe" dxfId="281"/>
      <tableStyleElement type="secondRowStripe" dxfId="280"/>
    </tableStyle>
    <tableStyle name="лютий -style 21" pivot="0" count="2">
      <tableStyleElement type="firstRowStripe" dxfId="279"/>
      <tableStyleElement type="secondRowStripe" dxfId="278"/>
    </tableStyle>
    <tableStyle name="лютий -style 22" pivot="0" count="2">
      <tableStyleElement type="firstRowStripe" dxfId="277"/>
      <tableStyleElement type="secondRowStripe" dxfId="276"/>
    </tableStyle>
    <tableStyle name="лютий -style 23" pivot="0" count="2">
      <tableStyleElement type="firstRowStripe" dxfId="275"/>
      <tableStyleElement type="secondRowStripe" dxfId="274"/>
    </tableStyle>
    <tableStyle name="лютий -style 24" pivot="0" count="2">
      <tableStyleElement type="firstRowStripe" dxfId="273"/>
      <tableStyleElement type="secondRowStripe" dxfId="272"/>
    </tableStyle>
    <tableStyle name="лютий -style 25" pivot="0" count="2">
      <tableStyleElement type="firstRowStripe" dxfId="271"/>
      <tableStyleElement type="secondRowStripe" dxfId="270"/>
    </tableStyle>
    <tableStyle name="лютий -style 26" pivot="0" count="2">
      <tableStyleElement type="firstRowStripe" dxfId="269"/>
      <tableStyleElement type="secondRowStripe" dxfId="268"/>
    </tableStyle>
    <tableStyle name="лютий -style 27" pivot="0" count="2">
      <tableStyleElement type="firstRowStripe" dxfId="267"/>
      <tableStyleElement type="secondRowStripe" dxfId="266"/>
    </tableStyle>
    <tableStyle name="лютий -style 28" pivot="0" count="2">
      <tableStyleElement type="firstRowStripe" dxfId="265"/>
      <tableStyleElement type="secondRowStripe" dxfId="264"/>
    </tableStyle>
    <tableStyle name="лютий -style 29" pivot="0" count="2">
      <tableStyleElement type="firstRowStripe" dxfId="263"/>
      <tableStyleElement type="secondRowStripe" dxfId="262"/>
    </tableStyle>
    <tableStyle name="лютий -style 30" pivot="0" count="2">
      <tableStyleElement type="firstRowStripe" dxfId="261"/>
      <tableStyleElement type="secondRowStripe" dxfId="260"/>
    </tableStyle>
    <tableStyle name="лютий -style 31" pivot="0" count="2">
      <tableStyleElement type="firstRowStripe" dxfId="259"/>
      <tableStyleElement type="secondRowStripe" dxfId="258"/>
    </tableStyle>
    <tableStyle name="лютий -style 32" pivot="0" count="2">
      <tableStyleElement type="firstRowStripe" dxfId="257"/>
      <tableStyleElement type="secondRowStripe" dxfId="256"/>
    </tableStyle>
    <tableStyle name="березень-style" pivot="0" count="2">
      <tableStyleElement type="firstRowStripe" dxfId="255"/>
      <tableStyleElement type="secondRowStripe" dxfId="254"/>
    </tableStyle>
    <tableStyle name="березень-style 2" pivot="0" count="2">
      <tableStyleElement type="firstRowStripe" dxfId="253"/>
      <tableStyleElement type="secondRowStripe" dxfId="252"/>
    </tableStyle>
    <tableStyle name="березень-style 3" pivot="0" count="2">
      <tableStyleElement type="firstRowStripe" dxfId="251"/>
      <tableStyleElement type="secondRowStripe" dxfId="250"/>
    </tableStyle>
    <tableStyle name="березень-style 4" pivot="0" count="2">
      <tableStyleElement type="firstRowStripe" dxfId="249"/>
      <tableStyleElement type="secondRowStripe" dxfId="248"/>
    </tableStyle>
    <tableStyle name="березень-style 5" pivot="0" count="2">
      <tableStyleElement type="firstRowStripe" dxfId="247"/>
      <tableStyleElement type="secondRowStripe" dxfId="246"/>
    </tableStyle>
    <tableStyle name="березень-style 6" pivot="0" count="2">
      <tableStyleElement type="firstRowStripe" dxfId="245"/>
      <tableStyleElement type="secondRowStripe" dxfId="244"/>
    </tableStyle>
    <tableStyle name="березень-style 7" pivot="0" count="2">
      <tableStyleElement type="firstRowStripe" dxfId="243"/>
      <tableStyleElement type="secondRowStripe" dxfId="242"/>
    </tableStyle>
    <tableStyle name="березень-style 8" pivot="0" count="2">
      <tableStyleElement type="firstRowStripe" dxfId="241"/>
      <tableStyleElement type="secondRowStripe" dxfId="240"/>
    </tableStyle>
    <tableStyle name="березень-style 9" pivot="0" count="2">
      <tableStyleElement type="firstRowStripe" dxfId="239"/>
      <tableStyleElement type="secondRowStripe" dxfId="238"/>
    </tableStyle>
    <tableStyle name="березень-style 10" pivot="0" count="2">
      <tableStyleElement type="firstRowStripe" dxfId="237"/>
      <tableStyleElement type="secondRowStripe" dxfId="236"/>
    </tableStyle>
    <tableStyle name="березень-style 11" pivot="0" count="2">
      <tableStyleElement type="firstRowStripe" dxfId="235"/>
      <tableStyleElement type="secondRowStripe" dxfId="234"/>
    </tableStyle>
    <tableStyle name="березень-style 12" pivot="0" count="2">
      <tableStyleElement type="firstRowStripe" dxfId="233"/>
      <tableStyleElement type="secondRowStripe" dxfId="232"/>
    </tableStyle>
    <tableStyle name="березень-style 13" pivot="0" count="2">
      <tableStyleElement type="firstRowStripe" dxfId="231"/>
      <tableStyleElement type="secondRowStripe" dxfId="230"/>
    </tableStyle>
    <tableStyle name="березень-style 14" pivot="0" count="2">
      <tableStyleElement type="firstRowStripe" dxfId="229"/>
      <tableStyleElement type="secondRowStripe" dxfId="228"/>
    </tableStyle>
    <tableStyle name="березень-style 15" pivot="0" count="2">
      <tableStyleElement type="firstRowStripe" dxfId="227"/>
      <tableStyleElement type="secondRowStripe" dxfId="226"/>
    </tableStyle>
    <tableStyle name="березень-style 16" pivot="0" count="2">
      <tableStyleElement type="firstRowStripe" dxfId="225"/>
      <tableStyleElement type="secondRowStripe" dxfId="224"/>
    </tableStyle>
    <tableStyle name="березень-style 17" pivot="0" count="2">
      <tableStyleElement type="firstRowStripe" dxfId="223"/>
      <tableStyleElement type="secondRowStripe" dxfId="222"/>
    </tableStyle>
    <tableStyle name="березень-style 18" pivot="0" count="2">
      <tableStyleElement type="firstRowStripe" dxfId="221"/>
      <tableStyleElement type="secondRowStripe" dxfId="220"/>
    </tableStyle>
    <tableStyle name="березень-style 19" pivot="0" count="2">
      <tableStyleElement type="firstRowStripe" dxfId="219"/>
      <tableStyleElement type="secondRowStripe" dxfId="218"/>
    </tableStyle>
    <tableStyle name="березень-style 20" pivot="0" count="2">
      <tableStyleElement type="firstRowStripe" dxfId="217"/>
      <tableStyleElement type="secondRowStripe" dxfId="216"/>
    </tableStyle>
    <tableStyle name="березень-style 21" pivot="0" count="2">
      <tableStyleElement type="firstRowStripe" dxfId="215"/>
      <tableStyleElement type="secondRowStripe" dxfId="214"/>
    </tableStyle>
    <tableStyle name="березень-style 22" pivot="0" count="2">
      <tableStyleElement type="firstRowStripe" dxfId="213"/>
      <tableStyleElement type="secondRowStripe" dxfId="212"/>
    </tableStyle>
    <tableStyle name="березень-style 23" pivot="0" count="2">
      <tableStyleElement type="firstRowStripe" dxfId="211"/>
      <tableStyleElement type="secondRowStripe" dxfId="210"/>
    </tableStyle>
    <tableStyle name="березень-style 24" pivot="0" count="2">
      <tableStyleElement type="firstRowStripe" dxfId="209"/>
      <tableStyleElement type="secondRowStripe" dxfId="208"/>
    </tableStyle>
    <tableStyle name="березень-style 25" pivot="0" count="2">
      <tableStyleElement type="firstRowStripe" dxfId="207"/>
      <tableStyleElement type="secondRowStripe" dxfId="206"/>
    </tableStyle>
    <tableStyle name="березень-style 26" pivot="0" count="2">
      <tableStyleElement type="firstRowStripe" dxfId="205"/>
      <tableStyleElement type="secondRowStripe" dxfId="204"/>
    </tableStyle>
    <tableStyle name="березень-style 27" pivot="0" count="2">
      <tableStyleElement type="firstRowStripe" dxfId="203"/>
      <tableStyleElement type="secondRowStripe" dxfId="202"/>
    </tableStyle>
    <tableStyle name="березень-style 28" pivot="0" count="2">
      <tableStyleElement type="firstRowStripe" dxfId="201"/>
      <tableStyleElement type="secondRowStripe" dxfId="200"/>
    </tableStyle>
    <tableStyle name="березень-style 29" pivot="0" count="2">
      <tableStyleElement type="firstRowStripe" dxfId="199"/>
      <tableStyleElement type="secondRowStripe" dxfId="198"/>
    </tableStyle>
    <tableStyle name="березень-style 30" pivot="0" count="2">
      <tableStyleElement type="firstRowStripe" dxfId="197"/>
      <tableStyleElement type="secondRowStripe" dxfId="196"/>
    </tableStyle>
    <tableStyle name="березень-style 31" pivot="0" count="2">
      <tableStyleElement type="firstRowStripe" dxfId="195"/>
      <tableStyleElement type="secondRowStripe" dxfId="194"/>
    </tableStyle>
    <tableStyle name="березень-style 32" pivot="0" count="2">
      <tableStyleElement type="firstRowStripe" dxfId="193"/>
      <tableStyleElement type="secondRowStripe" dxfId="192"/>
    </tableStyle>
    <tableStyle name="березень-style 33" pivot="0" count="2">
      <tableStyleElement type="firstRowStripe" dxfId="191"/>
      <tableStyleElement type="secondRowStripe" dxfId="190"/>
    </tableStyle>
    <tableStyle name="квітень-style" pivot="0" count="2">
      <tableStyleElement type="firstRowStripe" dxfId="189"/>
      <tableStyleElement type="secondRowStripe" dxfId="188"/>
    </tableStyle>
    <tableStyle name="квітень-style 2" pivot="0" count="2">
      <tableStyleElement type="firstRowStripe" dxfId="187"/>
      <tableStyleElement type="secondRowStripe" dxfId="186"/>
    </tableStyle>
    <tableStyle name="квітень-style 3" pivot="0" count="2">
      <tableStyleElement type="firstRowStripe" dxfId="185"/>
      <tableStyleElement type="secondRowStripe" dxfId="184"/>
    </tableStyle>
    <tableStyle name="квітень-style 4" pivot="0" count="2">
      <tableStyleElement type="firstRowStripe" dxfId="183"/>
      <tableStyleElement type="secondRowStripe" dxfId="182"/>
    </tableStyle>
    <tableStyle name="квітень-style 5" pivot="0" count="2">
      <tableStyleElement type="firstRowStripe" dxfId="181"/>
      <tableStyleElement type="secondRowStripe" dxfId="180"/>
    </tableStyle>
    <tableStyle name="квітень-style 6" pivot="0" count="2">
      <tableStyleElement type="firstRowStripe" dxfId="179"/>
      <tableStyleElement type="secondRowStripe" dxfId="178"/>
    </tableStyle>
    <tableStyle name="квітень-style 7" pivot="0" count="2">
      <tableStyleElement type="firstRowStripe" dxfId="177"/>
      <tableStyleElement type="secondRowStripe" dxfId="176"/>
    </tableStyle>
    <tableStyle name="квітень-style 8" pivot="0" count="2">
      <tableStyleElement type="firstRowStripe" dxfId="175"/>
      <tableStyleElement type="secondRowStripe" dxfId="174"/>
    </tableStyle>
    <tableStyle name="квітень-style 9" pivot="0" count="2">
      <tableStyleElement type="firstRowStripe" dxfId="173"/>
      <tableStyleElement type="secondRowStripe" dxfId="172"/>
    </tableStyle>
    <tableStyle name="квітень-style 10" pivot="0" count="2">
      <tableStyleElement type="firstRowStripe" dxfId="171"/>
      <tableStyleElement type="secondRowStripe" dxfId="170"/>
    </tableStyle>
    <tableStyle name="квітень-style 11" pivot="0" count="2">
      <tableStyleElement type="firstRowStripe" dxfId="169"/>
      <tableStyleElement type="secondRowStripe" dxfId="168"/>
    </tableStyle>
    <tableStyle name="квітень-style 12" pivot="0" count="2">
      <tableStyleElement type="firstRowStripe" dxfId="167"/>
      <tableStyleElement type="secondRowStripe" dxfId="166"/>
    </tableStyle>
    <tableStyle name="квітень-style 13" pivot="0" count="2">
      <tableStyleElement type="firstRowStripe" dxfId="165"/>
      <tableStyleElement type="secondRowStripe" dxfId="164"/>
    </tableStyle>
    <tableStyle name="квітень-style 14" pivot="0" count="2">
      <tableStyleElement type="firstRowStripe" dxfId="163"/>
      <tableStyleElement type="secondRowStripe" dxfId="162"/>
    </tableStyle>
    <tableStyle name="квітень-style 15" pivot="0" count="2">
      <tableStyleElement type="firstRowStripe" dxfId="161"/>
      <tableStyleElement type="secondRowStripe" dxfId="160"/>
    </tableStyle>
    <tableStyle name="квітень-style 16" pivot="0" count="2">
      <tableStyleElement type="firstRowStripe" dxfId="159"/>
      <tableStyleElement type="secondRowStripe" dxfId="158"/>
    </tableStyle>
    <tableStyle name="квітень-style 17" pivot="0" count="2">
      <tableStyleElement type="firstRowStripe" dxfId="157"/>
      <tableStyleElement type="secondRowStripe" dxfId="156"/>
    </tableStyle>
    <tableStyle name="квітень-style 18" pivot="0" count="2">
      <tableStyleElement type="firstRowStripe" dxfId="155"/>
      <tableStyleElement type="secondRowStripe" dxfId="154"/>
    </tableStyle>
    <tableStyle name="квітень-style 19" pivot="0" count="2">
      <tableStyleElement type="firstRowStripe" dxfId="153"/>
      <tableStyleElement type="secondRowStripe" dxfId="152"/>
    </tableStyle>
    <tableStyle name="квітень-style 20" pivot="0" count="2">
      <tableStyleElement type="firstRowStripe" dxfId="151"/>
      <tableStyleElement type="secondRowStripe" dxfId="150"/>
    </tableStyle>
    <tableStyle name="квітень-style 21" pivot="0" count="2">
      <tableStyleElement type="firstRowStripe" dxfId="149"/>
      <tableStyleElement type="secondRowStripe" dxfId="148"/>
    </tableStyle>
    <tableStyle name="квітень-style 22" pivot="0" count="2">
      <tableStyleElement type="firstRowStripe" dxfId="147"/>
      <tableStyleElement type="secondRowStripe" dxfId="146"/>
    </tableStyle>
    <tableStyle name="квітень-style 23" pivot="0" count="2">
      <tableStyleElement type="firstRowStripe" dxfId="145"/>
      <tableStyleElement type="secondRowStripe" dxfId="144"/>
    </tableStyle>
    <tableStyle name="квітень-style 24" pivot="0" count="2">
      <tableStyleElement type="firstRowStripe" dxfId="143"/>
      <tableStyleElement type="secondRowStripe" dxfId="142"/>
    </tableStyle>
    <tableStyle name="квітень-style 25" pivot="0" count="2">
      <tableStyleElement type="firstRowStripe" dxfId="141"/>
      <tableStyleElement type="secondRowStripe" dxfId="140"/>
    </tableStyle>
    <tableStyle name="квітень-style 26" pivot="0" count="2">
      <tableStyleElement type="firstRowStripe" dxfId="139"/>
      <tableStyleElement type="secondRowStripe" dxfId="138"/>
    </tableStyle>
    <tableStyle name="квітень-style 27" pivot="0" count="2">
      <tableStyleElement type="firstRowStripe" dxfId="137"/>
      <tableStyleElement type="secondRowStripe" dxfId="136"/>
    </tableStyle>
    <tableStyle name="квітень-style 28" pivot="0" count="2">
      <tableStyleElement type="firstRowStripe" dxfId="135"/>
      <tableStyleElement type="secondRowStripe" dxfId="134"/>
    </tableStyle>
    <tableStyle name="квітень-style 29" pivot="0" count="2">
      <tableStyleElement type="firstRowStripe" dxfId="133"/>
      <tableStyleElement type="secondRowStripe" dxfId="132"/>
    </tableStyle>
    <tableStyle name="квітень-style 30" pivot="0" count="2">
      <tableStyleElement type="firstRowStripe" dxfId="131"/>
      <tableStyleElement type="secondRowStripe" dxfId="130"/>
    </tableStyle>
    <tableStyle name="квітень-style 31" pivot="0" count="2">
      <tableStyleElement type="firstRowStripe" dxfId="129"/>
      <tableStyleElement type="secondRowStripe" dxfId="128"/>
    </tableStyle>
    <tableStyle name="квітень-style 32" pivot="0" count="2">
      <tableStyleElement type="firstRowStripe" dxfId="127"/>
      <tableStyleElement type="secondRowStripe" dxfId="126"/>
    </tableStyle>
    <tableStyle name="квітень-style 33" pivot="0" count="2">
      <tableStyleElement type="firstRowStripe" dxfId="125"/>
      <tableStyleElement type="secondRowStripe" dxfId="124"/>
    </tableStyle>
    <tableStyle name="травень-style" pivot="0" count="2">
      <tableStyleElement type="firstRowStripe" dxfId="123"/>
      <tableStyleElement type="secondRowStripe" dxfId="122"/>
    </tableStyle>
    <tableStyle name="травень-style 2" pivot="0" count="2">
      <tableStyleElement type="firstRowStripe" dxfId="121"/>
      <tableStyleElement type="secondRowStripe" dxfId="120"/>
    </tableStyle>
    <tableStyle name="травень-style 3" pivot="0" count="2">
      <tableStyleElement type="firstRowStripe" dxfId="119"/>
      <tableStyleElement type="secondRowStripe" dxfId="118"/>
    </tableStyle>
    <tableStyle name="травень-style 4" pivot="0" count="2">
      <tableStyleElement type="firstRowStripe" dxfId="117"/>
      <tableStyleElement type="secondRowStripe" dxfId="116"/>
    </tableStyle>
    <tableStyle name="травень-style 5" pivot="0" count="2">
      <tableStyleElement type="firstRowStripe" dxfId="115"/>
      <tableStyleElement type="secondRowStripe" dxfId="114"/>
    </tableStyle>
    <tableStyle name="травень-style 6" pivot="0" count="2">
      <tableStyleElement type="firstRowStripe" dxfId="113"/>
      <tableStyleElement type="secondRowStripe" dxfId="112"/>
    </tableStyle>
    <tableStyle name="травень-style 7" pivot="0" count="2">
      <tableStyleElement type="firstRowStripe" dxfId="111"/>
      <tableStyleElement type="secondRowStripe" dxfId="110"/>
    </tableStyle>
    <tableStyle name="травень-style 8" pivot="0" count="2">
      <tableStyleElement type="firstRowStripe" dxfId="109"/>
      <tableStyleElement type="secondRowStripe" dxfId="108"/>
    </tableStyle>
    <tableStyle name="травень-style 9" pivot="0" count="2">
      <tableStyleElement type="firstRowStripe" dxfId="107"/>
      <tableStyleElement type="secondRowStripe" dxfId="106"/>
    </tableStyle>
    <tableStyle name="травень-style 10" pivot="0" count="2">
      <tableStyleElement type="firstRowStripe" dxfId="105"/>
      <tableStyleElement type="secondRowStripe" dxfId="104"/>
    </tableStyle>
    <tableStyle name="травень-style 11" pivot="0" count="2">
      <tableStyleElement type="firstRowStripe" dxfId="103"/>
      <tableStyleElement type="secondRowStripe" dxfId="102"/>
    </tableStyle>
    <tableStyle name="травень-style 12" pivot="0" count="2">
      <tableStyleElement type="firstRowStripe" dxfId="101"/>
      <tableStyleElement type="secondRowStripe" dxfId="100"/>
    </tableStyle>
    <tableStyle name="травень-style 13" pivot="0" count="2">
      <tableStyleElement type="firstRowStripe" dxfId="99"/>
      <tableStyleElement type="secondRowStripe" dxfId="98"/>
    </tableStyle>
    <tableStyle name="травень-style 14" pivot="0" count="2">
      <tableStyleElement type="firstRowStripe" dxfId="97"/>
      <tableStyleElement type="secondRowStripe" dxfId="96"/>
    </tableStyle>
    <tableStyle name="травень-style 15" pivot="0" count="2">
      <tableStyleElement type="firstRowStripe" dxfId="95"/>
      <tableStyleElement type="secondRowStripe" dxfId="94"/>
    </tableStyle>
    <tableStyle name="травень-style 16" pivot="0" count="2">
      <tableStyleElement type="firstRowStripe" dxfId="93"/>
      <tableStyleElement type="secondRowStripe" dxfId="92"/>
    </tableStyle>
    <tableStyle name="травень-style 17" pivot="0" count="2">
      <tableStyleElement type="firstRowStripe" dxfId="91"/>
      <tableStyleElement type="secondRowStripe" dxfId="90"/>
    </tableStyle>
    <tableStyle name="травень-style 18" pivot="0" count="2">
      <tableStyleElement type="firstRowStripe" dxfId="89"/>
      <tableStyleElement type="secondRowStripe" dxfId="88"/>
    </tableStyle>
    <tableStyle name="травень-style 19" pivot="0" count="2">
      <tableStyleElement type="firstRowStripe" dxfId="87"/>
      <tableStyleElement type="secondRowStripe" dxfId="86"/>
    </tableStyle>
    <tableStyle name="травень-style 20" pivot="0" count="2">
      <tableStyleElement type="firstRowStripe" dxfId="85"/>
      <tableStyleElement type="secondRowStripe" dxfId="84"/>
    </tableStyle>
    <tableStyle name="травень-style 21" pivot="0" count="2">
      <tableStyleElement type="firstRowStripe" dxfId="83"/>
      <tableStyleElement type="secondRowStripe" dxfId="82"/>
    </tableStyle>
    <tableStyle name="травень-style 22" pivot="0" count="2">
      <tableStyleElement type="firstRowStripe" dxfId="81"/>
      <tableStyleElement type="secondRowStripe" dxfId="80"/>
    </tableStyle>
    <tableStyle name="травень-style 23" pivot="0" count="2">
      <tableStyleElement type="firstRowStripe" dxfId="79"/>
      <tableStyleElement type="secondRowStripe" dxfId="78"/>
    </tableStyle>
    <tableStyle name="травень-style 24" pivot="0" count="2">
      <tableStyleElement type="firstRowStripe" dxfId="77"/>
      <tableStyleElement type="secondRowStripe" dxfId="76"/>
    </tableStyle>
    <tableStyle name="травень-style 25" pivot="0" count="2">
      <tableStyleElement type="firstRowStripe" dxfId="75"/>
      <tableStyleElement type="secondRowStripe" dxfId="74"/>
    </tableStyle>
    <tableStyle name="травень-style 26" pivot="0" count="2">
      <tableStyleElement type="firstRowStripe" dxfId="73"/>
      <tableStyleElement type="secondRowStripe" dxfId="72"/>
    </tableStyle>
    <tableStyle name="травень-style 27" pivot="0" count="2">
      <tableStyleElement type="firstRowStripe" dxfId="71"/>
      <tableStyleElement type="secondRowStripe" dxfId="70"/>
    </tableStyle>
    <tableStyle name="травень-style 28" pivot="0" count="2">
      <tableStyleElement type="firstRowStripe" dxfId="69"/>
      <tableStyleElement type="secondRowStripe" dxfId="68"/>
    </tableStyle>
    <tableStyle name="травень-style 29" pivot="0" count="2">
      <tableStyleElement type="firstRowStripe" dxfId="67"/>
      <tableStyleElement type="secondRowStripe" dxfId="66"/>
    </tableStyle>
    <tableStyle name="травень-style 30" pivot="0" count="2">
      <tableStyleElement type="firstRowStripe" dxfId="65"/>
      <tableStyleElement type="secondRowStripe" dxfId="64"/>
    </tableStyle>
    <tableStyle name="травень-style 31" pivot="0" count="2">
      <tableStyleElement type="firstRowStripe" dxfId="63"/>
      <tableStyleElement type="secondRowStripe" dxfId="62"/>
    </tableStyle>
    <tableStyle name="травень-style 32" pivot="0" count="2">
      <tableStyleElement type="firstRowStripe" dxfId="61"/>
      <tableStyleElement type="secondRowStripe" dxfId="60"/>
    </tableStyle>
    <tableStyle name="травень-style 33" pivot="0" count="2">
      <tableStyleElement type="firstRowStripe" dxfId="59"/>
      <tableStyleElement type="secondRowStripe" dxfId="58"/>
    </tableStyle>
    <tableStyle name="травень-style 34" pivot="0" count="2">
      <tableStyleElement type="firstRowStripe" dxfId="57"/>
      <tableStyleElement type="secondRowStripe" dxfId="56"/>
    </tableStyle>
    <tableStyle name="виплата премії січень 27.02.202-style" pivot="0" count="2">
      <tableStyleElement type="firstRowStripe" dxfId="55"/>
      <tableStyleElement type="secondRowStripe" dxfId="54"/>
    </tableStyle>
    <tableStyle name="виплата премії січень 27.02.202-style 2" pivot="0" count="2">
      <tableStyleElement type="firstRowStripe" dxfId="53"/>
      <tableStyleElement type="secondRowStripe" dxfId="52"/>
    </tableStyle>
    <tableStyle name="виплата премії січень 27.02.202-style 3" pivot="0" count="2">
      <tableStyleElement type="firstRowStripe" dxfId="51"/>
      <tableStyleElement type="secondRowStripe" dxfId="50"/>
    </tableStyle>
    <tableStyle name="виплата премії січень 27.02.202-style 4" pivot="0" count="2">
      <tableStyleElement type="firstRowStripe" dxfId="49"/>
      <tableStyleElement type="secondRowStripe" dxfId="48"/>
    </tableStyle>
    <tableStyle name="виплата премії січень 27.02.202-style 5" pivot="0" count="2">
      <tableStyleElement type="firstRowStripe" dxfId="47"/>
      <tableStyleElement type="secondRowStripe" dxfId="46"/>
    </tableStyle>
    <tableStyle name="виплата премії січень 27.02.202-style 6" pivot="0" count="2">
      <tableStyleElement type="firstRowStripe" dxfId="45"/>
      <tableStyleElement type="secondRowStripe" dxfId="44"/>
    </tableStyle>
    <tableStyle name="виплата премії січень 27.02.202-style 7" pivot="0" count="2">
      <tableStyleElement type="firstRowStripe" dxfId="43"/>
      <tableStyleElement type="secondRowStripe" dxfId="42"/>
    </tableStyle>
    <tableStyle name="виплата премії січень 27.02.202-style 8" pivot="0" count="2">
      <tableStyleElement type="firstRowStripe" dxfId="41"/>
      <tableStyleElement type="secondRowStripe" dxfId="40"/>
    </tableStyle>
    <tableStyle name="виплата премії січень 27.02.202-style 9" pivot="0" count="2">
      <tableStyleElement type="firstRowStripe" dxfId="39"/>
      <tableStyleElement type="secondRowStripe" dxfId="38"/>
    </tableStyle>
    <tableStyle name="виплата премії січень 27.02.202-style 10" pivot="0" count="2">
      <tableStyleElement type="firstRowStripe" dxfId="37"/>
      <tableStyleElement type="secondRowStripe" dxfId="36"/>
    </tableStyle>
    <tableStyle name="виплата премії січень 27.02.202-style 11" pivot="0" count="2">
      <tableStyleElement type="firstRowStripe" dxfId="35"/>
      <tableStyleElement type="secondRowStripe" dxfId="34"/>
    </tableStyle>
    <tableStyle name="виплата премії січень 27.02.202-style 12" pivot="0" count="2">
      <tableStyleElement type="firstRowStripe" dxfId="33"/>
      <tableStyleElement type="secondRowStripe" dxfId="32"/>
    </tableStyle>
    <tableStyle name="виплата премії січень 27.02.202-style 13" pivot="0" count="2">
      <tableStyleElement type="firstRowStripe" dxfId="31"/>
      <tableStyleElement type="secondRowStripe" dxfId="30"/>
    </tableStyle>
    <tableStyle name="виплата премії січень 27.02.202-style 14" pivot="0" count="2">
      <tableStyleElement type="firstRowStripe" dxfId="29"/>
      <tableStyleElement type="secondRowStripe" dxfId="28"/>
    </tableStyle>
    <tableStyle name="виплата премії січень 27.02.202-style 15" pivot="0" count="2">
      <tableStyleElement type="firstRowStripe" dxfId="27"/>
      <tableStyleElement type="secondRowStripe" dxfId="26"/>
    </tableStyle>
    <tableStyle name="виплата премії січень 02.03.202-style" pivot="0" count="2">
      <tableStyleElement type="firstRowStripe" dxfId="25"/>
      <tableStyleElement type="secondRowStripe" dxfId="24"/>
    </tableStyle>
    <tableStyle name="виплата премії січень 02.03.202-style 2" pivot="0" count="2">
      <tableStyleElement type="firstRowStripe" dxfId="23"/>
      <tableStyleElement type="secondRowStripe" dxfId="22"/>
    </tableStyle>
    <tableStyle name="виплата премії січень 02.03.202-style 3" pivot="0" count="2">
      <tableStyleElement type="firstRowStripe" dxfId="21"/>
      <tableStyleElement type="secondRowStripe" dxfId="20"/>
    </tableStyle>
    <tableStyle name="виплата премії січень 02.03.202-style 4" pivot="0" count="2">
      <tableStyleElement type="firstRowStripe" dxfId="19"/>
      <tableStyleElement type="secondRowStripe" dxfId="18"/>
    </tableStyle>
    <tableStyle name="виплата премії січень 02.03.202-style 5" pivot="0" count="2">
      <tableStyleElement type="firstRowStripe" dxfId="17"/>
      <tableStyleElement type="secondRowStripe" dxfId="16"/>
    </tableStyle>
    <tableStyle name="виплата премії січень 02.03.202-style 6" pivot="0" count="2">
      <tableStyleElement type="firstRowStripe" dxfId="15"/>
      <tableStyleElement type="secondRowStripe" dxfId="14"/>
    </tableStyle>
    <tableStyle name="виплата премії січень 02.03.202-style 7" pivot="0" count="2">
      <tableStyleElement type="firstRowStripe" dxfId="13"/>
      <tableStyleElement type="secondRowStripe" dxfId="12"/>
    </tableStyle>
    <tableStyle name="виплата премії січень 02.03.202-style 8" pivot="0" count="2">
      <tableStyleElement type="firstRowStripe" dxfId="11"/>
      <tableStyleElement type="secondRowStripe" dxfId="10"/>
    </tableStyle>
    <tableStyle name="виплата премії січень 02.03.202-style 9" pivot="0" count="2">
      <tableStyleElement type="firstRowStripe" dxfId="9"/>
      <tableStyleElement type="secondRowStripe" dxfId="8"/>
    </tableStyle>
    <tableStyle name="виплата премії січень 02.03.202-style 10" pivot="0" count="2">
      <tableStyleElement type="firstRowStripe" dxfId="7"/>
      <tableStyleElement type="secondRowStripe" dxfId="6"/>
    </tableStyle>
    <tableStyle name="виплата премії січень 02.03.202-style 11" pivot="0" count="2">
      <tableStyleElement type="firstRowStripe" dxfId="5"/>
      <tableStyleElement type="secondRowStripe" dxfId="4"/>
    </tableStyle>
    <tableStyle name="виплата премії січень 02.03.202-style 12" pivot="0" count="2">
      <tableStyleElement type="firstRowStripe" dxfId="3"/>
      <tableStyleElement type="secondRowStripe" dxfId="2"/>
    </tableStyle>
    <tableStyle name="виплата премії січень 02.03.202-style 13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98" name="Table_98" displayName="Table_98" ref="A5:K52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квітень-style" showFirstColumn="1" showLastColumn="1" showRowStripes="1" showColumnStripes="0"/>
</table>
</file>

<file path=xl/tables/table2.xml><?xml version="1.0" encoding="utf-8"?>
<table xmlns="http://schemas.openxmlformats.org/spreadsheetml/2006/main" id="99" name="Table_99" displayName="Table_99" ref="AA5:AD52" headerRowCount="0">
  <tableColumns count="4">
    <tableColumn id="1" name="Column1"/>
    <tableColumn id="2" name="Column2"/>
    <tableColumn id="3" name="Column3"/>
    <tableColumn id="4" name="Column4"/>
  </tableColumns>
  <tableStyleInfo name="квітень-style 2" showFirstColumn="1" showLastColumn="1" showRowStripes="1" showColumnStripes="0"/>
</table>
</file>

<file path=xl/tables/table3.xml><?xml version="1.0" encoding="utf-8"?>
<table xmlns="http://schemas.openxmlformats.org/spreadsheetml/2006/main" id="100" name="Table_100" displayName="Table_100" ref="F60:J62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квітень-style 3" showFirstColumn="1" showLastColumn="1" showRowStripes="1" showColumnStripes="0"/>
</table>
</file>

<file path=xl/tables/table4.xml><?xml version="1.0" encoding="utf-8"?>
<table xmlns="http://schemas.openxmlformats.org/spreadsheetml/2006/main" id="101" name="Table_101" displayName="Table_101" ref="A68:B107" headerRowCount="0">
  <tableColumns count="2">
    <tableColumn id="1" name="Column1"/>
    <tableColumn id="2" name="Column2"/>
  </tableColumns>
  <tableStyleInfo name="квітень-style 4" showFirstColumn="1" showLastColumn="1" showRowStripes="1" showColumnStripes="0"/>
</table>
</file>

<file path=xl/tables/table5.xml><?xml version="1.0" encoding="utf-8"?>
<table xmlns="http://schemas.openxmlformats.org/spreadsheetml/2006/main" id="102" name="Table_102" displayName="Table_102" ref="AA68:AE72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квітень-style 5" showFirstColumn="1" showLastColumn="1" showRowStripes="1" showColumnStripes="0"/>
</table>
</file>

<file path=xl/tables/table6.xml><?xml version="1.0" encoding="utf-8"?>
<table xmlns="http://schemas.openxmlformats.org/spreadsheetml/2006/main" id="103" name="Table_103" displayName="Table_103" ref="E69:G69" headerRowCount="0">
  <tableColumns count="3">
    <tableColumn id="1" name="Column1"/>
    <tableColumn id="2" name="Column2"/>
    <tableColumn id="3" name="Column3"/>
  </tableColumns>
  <tableStyleInfo name="квітень-style 6" showFirstColumn="1" showLastColumn="1" showRowStripes="1" showColumnStripes="0"/>
</table>
</file>

<file path=xl/tables/table7.xml><?xml version="1.0" encoding="utf-8"?>
<table xmlns="http://schemas.openxmlformats.org/spreadsheetml/2006/main" id="104" name="Table_104" displayName="Table_104" ref="E71:G71" headerRowCount="0">
  <tableColumns count="3">
    <tableColumn id="1" name="Column1"/>
    <tableColumn id="2" name="Column2"/>
    <tableColumn id="3" name="Column3"/>
  </tableColumns>
  <tableStyleInfo name="квітень-style 7" showFirstColumn="1" showLastColumn="1" showRowStripes="1" showColumnStripes="0"/>
</table>
</file>

<file path=xl/tables/table8.xml><?xml version="1.0" encoding="utf-8"?>
<table xmlns="http://schemas.openxmlformats.org/spreadsheetml/2006/main" id="105" name="Table_105" displayName="Table_105" ref="E72:G72" headerRowCount="0">
  <tableColumns count="3">
    <tableColumn id="1" name="Column1"/>
    <tableColumn id="2" name="Column2"/>
    <tableColumn id="3" name="Column3"/>
  </tableColumns>
  <tableStyleInfo name="квітень-style 8" showFirstColumn="1" showLastColumn="1" showRowStripes="1" showColumnStripes="0"/>
</table>
</file>

<file path=xl/tables/table9.xml><?xml version="1.0" encoding="utf-8"?>
<table xmlns="http://schemas.openxmlformats.org/spreadsheetml/2006/main" id="106" name="Table_106" displayName="Table_106" ref="E77:G77" headerRowCount="0">
  <tableColumns count="3">
    <tableColumn id="1" name="Column1"/>
    <tableColumn id="2" name="Column2"/>
    <tableColumn id="3" name="Column3"/>
  </tableColumns>
  <tableStyleInfo name="квітень-style 9" showFirstColumn="1" showLastColumn="1" showRowStripes="1" showColumnStripes="0"/>
</table>
</file>

<file path=xl/tables/table10.xml><?xml version="1.0" encoding="utf-8"?>
<table xmlns="http://schemas.openxmlformats.org/spreadsheetml/2006/main" id="107" name="Table_107" displayName="Table_107" ref="D81:E88" headerRowCount="0">
  <tableColumns count="2">
    <tableColumn id="1" name="Column1"/>
    <tableColumn id="2" name="Column2"/>
  </tableColumns>
  <tableStyleInfo name="квітень-style 10" showFirstColumn="1" showLastColumn="1" showRowStripes="1" showColumnStripes="0"/>
</table>
</file>

<file path=xl/tables/table11.xml><?xml version="1.0" encoding="utf-8"?>
<table xmlns="http://schemas.openxmlformats.org/spreadsheetml/2006/main" id="108" name="Table_108" displayName="Table_108" ref="E90:E91" headerRowCount="0">
  <tableColumns count="1">
    <tableColumn id="1" name="Column1"/>
  </tableColumns>
  <tableStyleInfo name="квітень-style 11" showFirstColumn="1" showLastColumn="1" showRowStripes="1" showColumnStripes="0"/>
</table>
</file>

<file path=xl/tables/table12.xml><?xml version="1.0" encoding="utf-8"?>
<table xmlns="http://schemas.openxmlformats.org/spreadsheetml/2006/main" id="109" name="Table_109" displayName="Table_109" ref="E93:E94" headerRowCount="0">
  <tableColumns count="1">
    <tableColumn id="1" name="Column1"/>
  </tableColumns>
  <tableStyleInfo name="квітень-style 12" showFirstColumn="1" showLastColumn="1" showRowStripes="1" showColumnStripes="0"/>
</table>
</file>

<file path=xl/tables/table13.xml><?xml version="1.0" encoding="utf-8"?>
<table xmlns="http://schemas.openxmlformats.org/spreadsheetml/2006/main" id="110" name="Table_110" displayName="Table_110" ref="AA95:AD107" headerRowCount="0">
  <tableColumns count="4">
    <tableColumn id="1" name="Column1"/>
    <tableColumn id="2" name="Column2"/>
    <tableColumn id="3" name="Column3"/>
    <tableColumn id="4" name="Column4"/>
  </tableColumns>
  <tableStyleInfo name="квітень-style 13" showFirstColumn="1" showLastColumn="1" showRowStripes="1" showColumnStripes="0"/>
</table>
</file>

<file path=xl/tables/table14.xml><?xml version="1.0" encoding="utf-8"?>
<table xmlns="http://schemas.openxmlformats.org/spreadsheetml/2006/main" id="111" name="Table_111" displayName="Table_111" ref="D106:D107" headerRowCount="0">
  <tableColumns count="1">
    <tableColumn id="1" name="Column1"/>
  </tableColumns>
  <tableStyleInfo name="квітень-style 14" showFirstColumn="1" showLastColumn="1" showRowStripes="1" showColumnStripes="0"/>
</table>
</file>

<file path=xl/tables/table15.xml><?xml version="1.0" encoding="utf-8"?>
<table xmlns="http://schemas.openxmlformats.org/spreadsheetml/2006/main" id="112" name="Table_112" displayName="Table_112" ref="A110:H123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квітень-style 15" showFirstColumn="1" showLastColumn="1" showRowStripes="1" showColumnStripes="0"/>
</table>
</file>

<file path=xl/tables/table16.xml><?xml version="1.0" encoding="utf-8"?>
<table xmlns="http://schemas.openxmlformats.org/spreadsheetml/2006/main" id="113" name="Table_113" displayName="Table_113" ref="A126:H129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квітень-style 16" showFirstColumn="1" showLastColumn="1" showRowStripes="1" showColumnStripes="0"/>
</table>
</file>

<file path=xl/tables/table17.xml><?xml version="1.0" encoding="utf-8"?>
<table xmlns="http://schemas.openxmlformats.org/spreadsheetml/2006/main" id="114" name="Table_114" displayName="Table_114" ref="A134:C136" headerRowCount="0">
  <tableColumns count="3">
    <tableColumn id="1" name="Column1"/>
    <tableColumn id="2" name="Column2"/>
    <tableColumn id="3" name="Column3"/>
  </tableColumns>
  <tableStyleInfo name="квітень-style 17" showFirstColumn="1" showLastColumn="1" showRowStripes="1" showColumnStripes="0"/>
</table>
</file>

<file path=xl/tables/table18.xml><?xml version="1.0" encoding="utf-8"?>
<table xmlns="http://schemas.openxmlformats.org/spreadsheetml/2006/main" id="115" name="Table_115" displayName="Table_115" ref="E139:G139" headerRowCount="0">
  <tableColumns count="3">
    <tableColumn id="1" name="Column1"/>
    <tableColumn id="2" name="Column2"/>
    <tableColumn id="3" name="Column3"/>
  </tableColumns>
  <tableStyleInfo name="квітень-style 18" showFirstColumn="1" showLastColumn="1" showRowStripes="1" showColumnStripes="0"/>
</table>
</file>

<file path=xl/tables/table19.xml><?xml version="1.0" encoding="utf-8"?>
<table xmlns="http://schemas.openxmlformats.org/spreadsheetml/2006/main" id="116" name="Table_116" displayName="Table_116" ref="A142:C147" headerRowCount="0">
  <tableColumns count="3">
    <tableColumn id="1" name="Column1"/>
    <tableColumn id="2" name="Column2"/>
    <tableColumn id="3" name="Column3"/>
  </tableColumns>
  <tableStyleInfo name="квітень-style 19" showFirstColumn="1" showLastColumn="1" showRowStripes="1" showColumnStripes="0"/>
</table>
</file>

<file path=xl/tables/table20.xml><?xml version="1.0" encoding="utf-8"?>
<table xmlns="http://schemas.openxmlformats.org/spreadsheetml/2006/main" id="117" name="Table_117" displayName="Table_117" ref="E143:G143" headerRowCount="0">
  <tableColumns count="3">
    <tableColumn id="1" name="Column1"/>
    <tableColumn id="2" name="Column2"/>
    <tableColumn id="3" name="Column3"/>
  </tableColumns>
  <tableStyleInfo name="квітень-style 20" showFirstColumn="1" showLastColumn="1" showRowStripes="1" showColumnStripes="0"/>
</table>
</file>

<file path=xl/tables/table21.xml><?xml version="1.0" encoding="utf-8"?>
<table xmlns="http://schemas.openxmlformats.org/spreadsheetml/2006/main" id="118" name="Table_118" displayName="Table_118" ref="E144:G144" headerRowCount="0">
  <tableColumns count="3">
    <tableColumn id="1" name="Column1"/>
    <tableColumn id="2" name="Column2"/>
    <tableColumn id="3" name="Column3"/>
  </tableColumns>
  <tableStyleInfo name="квітень-style 21" showFirstColumn="1" showLastColumn="1" showRowStripes="1" showColumnStripes="0"/>
</table>
</file>

<file path=xl/tables/table22.xml><?xml version="1.0" encoding="utf-8"?>
<table xmlns="http://schemas.openxmlformats.org/spreadsheetml/2006/main" id="119" name="Table_119" displayName="Table_119" ref="A150:C153" headerRowCount="0">
  <tableColumns count="3">
    <tableColumn id="1" name="Column1"/>
    <tableColumn id="2" name="Column2"/>
    <tableColumn id="3" name="Column3"/>
  </tableColumns>
  <tableStyleInfo name="квітень-style 22" showFirstColumn="1" showLastColumn="1" showRowStripes="1" showColumnStripes="0"/>
</table>
</file>

<file path=xl/tables/table23.xml><?xml version="1.0" encoding="utf-8"?>
<table xmlns="http://schemas.openxmlformats.org/spreadsheetml/2006/main" id="120" name="Table_120" displayName="Table_120" ref="A156:B157" headerRowCount="0">
  <tableColumns count="2">
    <tableColumn id="1" name="Column1"/>
    <tableColumn id="2" name="Column2"/>
  </tableColumns>
  <tableStyleInfo name="квітень-style 23" showFirstColumn="1" showLastColumn="1" showRowStripes="1" showColumnStripes="0"/>
</table>
</file>

<file path=xl/tables/table24.xml><?xml version="1.0" encoding="utf-8"?>
<table xmlns="http://schemas.openxmlformats.org/spreadsheetml/2006/main" id="121" name="Table_121" displayName="Table_121" ref="A163:E166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квітень-style 24" showFirstColumn="1" showLastColumn="1" showRowStripes="1" showColumnStripes="0"/>
</table>
</file>

<file path=xl/tables/table25.xml><?xml version="1.0" encoding="utf-8"?>
<table xmlns="http://schemas.openxmlformats.org/spreadsheetml/2006/main" id="122" name="Table_122" displayName="Table_122" ref="A168:D174" headerRowCount="0">
  <tableColumns count="4">
    <tableColumn id="1" name="Column1"/>
    <tableColumn id="2" name="Column2"/>
    <tableColumn id="3" name="Column3"/>
    <tableColumn id="4" name="Column4"/>
  </tableColumns>
  <tableStyleInfo name="квітень-style 25" showFirstColumn="1" showLastColumn="1" showRowStripes="1" showColumnStripes="0"/>
</table>
</file>

<file path=xl/tables/table26.xml><?xml version="1.0" encoding="utf-8"?>
<table xmlns="http://schemas.openxmlformats.org/spreadsheetml/2006/main" id="123" name="Table_123" displayName="Table_123" ref="E169:G169" headerRowCount="0">
  <tableColumns count="3">
    <tableColumn id="1" name="Column1"/>
    <tableColumn id="2" name="Column2"/>
    <tableColumn id="3" name="Column3"/>
  </tableColumns>
  <tableStyleInfo name="квітень-style 26" showFirstColumn="1" showLastColumn="1" showRowStripes="1" showColumnStripes="0"/>
</table>
</file>

<file path=xl/tables/table27.xml><?xml version="1.0" encoding="utf-8"?>
<table xmlns="http://schemas.openxmlformats.org/spreadsheetml/2006/main" id="124" name="Table_124" displayName="Table_124" ref="F172:G172" headerRowCount="0">
  <tableColumns count="2">
    <tableColumn id="1" name="Column1"/>
    <tableColumn id="2" name="Column2"/>
  </tableColumns>
  <tableStyleInfo name="квітень-style 27" showFirstColumn="1" showLastColumn="1" showRowStripes="1" showColumnStripes="0"/>
</table>
</file>

<file path=xl/tables/table28.xml><?xml version="1.0" encoding="utf-8"?>
<table xmlns="http://schemas.openxmlformats.org/spreadsheetml/2006/main" id="125" name="Table_125" displayName="Table_125" ref="F173:G173" headerRowCount="0">
  <tableColumns count="2">
    <tableColumn id="1" name="Column1"/>
    <tableColumn id="2" name="Column2"/>
  </tableColumns>
  <tableStyleInfo name="квітень-style 28" showFirstColumn="1" showLastColumn="1" showRowStripes="1" showColumnStripes="0"/>
</table>
</file>

<file path=xl/tables/table29.xml><?xml version="1.0" encoding="utf-8"?>
<table xmlns="http://schemas.openxmlformats.org/spreadsheetml/2006/main" id="126" name="Table_126" displayName="Table_126" ref="A176:B176" headerRowCount="0">
  <tableColumns count="2">
    <tableColumn id="1" name="Column1"/>
    <tableColumn id="2" name="Column2"/>
  </tableColumns>
  <tableStyleInfo name="квітень-style 29" showFirstColumn="1" showLastColumn="1" showRowStripes="1" showColumnStripes="0"/>
</table>
</file>

<file path=xl/tables/table30.xml><?xml version="1.0" encoding="utf-8"?>
<table xmlns="http://schemas.openxmlformats.org/spreadsheetml/2006/main" id="127" name="Table_127" displayName="Table_127" ref="A180:C183" headerRowCount="0">
  <tableColumns count="3">
    <tableColumn id="1" name="Column1"/>
    <tableColumn id="2" name="Column2"/>
    <tableColumn id="3" name="Column3"/>
  </tableColumns>
  <tableStyleInfo name="квітень-style 30" showFirstColumn="1" showLastColumn="1" showRowStripes="1" showColumnStripes="0"/>
</table>
</file>

<file path=xl/tables/table31.xml><?xml version="1.0" encoding="utf-8"?>
<table xmlns="http://schemas.openxmlformats.org/spreadsheetml/2006/main" id="128" name="Table_128" displayName="Table_128" ref="E180:G180" headerRowCount="0">
  <tableColumns count="3">
    <tableColumn id="1" name="Column1"/>
    <tableColumn id="2" name="Column2"/>
    <tableColumn id="3" name="Column3"/>
  </tableColumns>
  <tableStyleInfo name="квітень-style 31" showFirstColumn="1" showLastColumn="1" showRowStripes="1" showColumnStripes="0"/>
</table>
</file>

<file path=xl/tables/table32.xml><?xml version="1.0" encoding="utf-8"?>
<table xmlns="http://schemas.openxmlformats.org/spreadsheetml/2006/main" id="129" name="Table_129" displayName="Table_129" ref="E181:G182" headerRowCount="0">
  <tableColumns count="3">
    <tableColumn id="1" name="Column1"/>
    <tableColumn id="2" name="Column2"/>
    <tableColumn id="3" name="Column3"/>
  </tableColumns>
  <tableStyleInfo name="квітень-style 32" showFirstColumn="1" showLastColumn="1" showRowStripes="1" showColumnStripes="0"/>
</table>
</file>

<file path=xl/tables/table33.xml><?xml version="1.0" encoding="utf-8"?>
<table xmlns="http://schemas.openxmlformats.org/spreadsheetml/2006/main" id="130" name="Table_130" displayName="Table_130" ref="E183:G183" headerRowCount="0">
  <tableColumns count="3">
    <tableColumn id="1" name="Column1"/>
    <tableColumn id="2" name="Column2"/>
    <tableColumn id="3" name="Column3"/>
  </tableColumns>
  <tableStyleInfo name="квітень-style 33" showFirstColumn="1" showLastColumn="1" showRowStripes="1" showColumnStripes="0"/>
</table>
</file>

<file path=xl/tables/table34.xml><?xml version="1.0" encoding="utf-8"?>
<table xmlns="http://schemas.openxmlformats.org/spreadsheetml/2006/main" id="131" name="Table_131" displayName="Table_131" ref="A5:K32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травень-style" showFirstColumn="1" showLastColumn="1" showRowStripes="1" showColumnStripes="0"/>
</table>
</file>

<file path=xl/tables/table35.xml><?xml version="1.0" encoding="utf-8"?>
<table xmlns="http://schemas.openxmlformats.org/spreadsheetml/2006/main" id="132" name="Table_132" displayName="Table_132" ref="AA5:AE33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травень-style 2" showFirstColumn="1" showLastColumn="1" showRowStripes="1" showColumnStripes="0"/>
</table>
</file>

<file path=xl/tables/table36.xml><?xml version="1.0" encoding="utf-8"?>
<table xmlns="http://schemas.openxmlformats.org/spreadsheetml/2006/main" id="133" name="Table_133" displayName="Table_133" ref="F41:I41" headerRowCount="0">
  <tableColumns count="4">
    <tableColumn id="1" name="Column1"/>
    <tableColumn id="2" name="Column2"/>
    <tableColumn id="3" name="Column3"/>
    <tableColumn id="4" name="Column4"/>
  </tableColumns>
  <tableStyleInfo name="травень-style 3" showFirstColumn="1" showLastColumn="1" showRowStripes="1" showColumnStripes="0"/>
</table>
</file>

<file path=xl/tables/table37.xml><?xml version="1.0" encoding="utf-8"?>
<table xmlns="http://schemas.openxmlformats.org/spreadsheetml/2006/main" id="134" name="Table_134" displayName="Table_134" ref="A47:B89" headerRowCount="0">
  <tableColumns count="2">
    <tableColumn id="1" name="Column1"/>
    <tableColumn id="2" name="Column2"/>
  </tableColumns>
  <tableStyleInfo name="травень-style 4" showFirstColumn="1" showLastColumn="1" showRowStripes="1" showColumnStripes="0"/>
</table>
</file>

<file path=xl/tables/table38.xml><?xml version="1.0" encoding="utf-8"?>
<table xmlns="http://schemas.openxmlformats.org/spreadsheetml/2006/main" id="135" name="Table_135" displayName="Table_135" ref="AA47:AE51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травень-style 5" showFirstColumn="1" showLastColumn="1" showRowStripes="1" showColumnStripes="0"/>
</table>
</file>

<file path=xl/tables/table39.xml><?xml version="1.0" encoding="utf-8"?>
<table xmlns="http://schemas.openxmlformats.org/spreadsheetml/2006/main" id="136" name="Table_136" displayName="Table_136" ref="E48:G48" headerRowCount="0">
  <tableColumns count="3">
    <tableColumn id="1" name="Column1"/>
    <tableColumn id="2" name="Column2"/>
    <tableColumn id="3" name="Column3"/>
  </tableColumns>
  <tableStyleInfo name="травень-style 6" showFirstColumn="1" showLastColumn="1" showRowStripes="1" showColumnStripes="0"/>
</table>
</file>

<file path=xl/tables/table40.xml><?xml version="1.0" encoding="utf-8"?>
<table xmlns="http://schemas.openxmlformats.org/spreadsheetml/2006/main" id="137" name="Table_137" displayName="Table_137" ref="E50:G50" headerRowCount="0">
  <tableColumns count="3">
    <tableColumn id="1" name="Column1"/>
    <tableColumn id="2" name="Column2"/>
    <tableColumn id="3" name="Column3"/>
  </tableColumns>
  <tableStyleInfo name="травень-style 7" showFirstColumn="1" showLastColumn="1" showRowStripes="1" showColumnStripes="0"/>
</table>
</file>

<file path=xl/tables/table41.xml><?xml version="1.0" encoding="utf-8"?>
<table xmlns="http://schemas.openxmlformats.org/spreadsheetml/2006/main" id="138" name="Table_138" displayName="Table_138" ref="E51:G51" headerRowCount="0">
  <tableColumns count="3">
    <tableColumn id="1" name="Column1"/>
    <tableColumn id="2" name="Column2"/>
    <tableColumn id="3" name="Column3"/>
  </tableColumns>
  <tableStyleInfo name="травень-style 8" showFirstColumn="1" showLastColumn="1" showRowStripes="1" showColumnStripes="0"/>
</table>
</file>

<file path=xl/tables/table42.xml><?xml version="1.0" encoding="utf-8"?>
<table xmlns="http://schemas.openxmlformats.org/spreadsheetml/2006/main" id="139" name="Table_139" displayName="Table_139" ref="E56:G56" headerRowCount="0">
  <tableColumns count="3">
    <tableColumn id="1" name="Column1"/>
    <tableColumn id="2" name="Column2"/>
    <tableColumn id="3" name="Column3"/>
  </tableColumns>
  <tableStyleInfo name="травень-style 9" showFirstColumn="1" showLastColumn="1" showRowStripes="1" showColumnStripes="0"/>
</table>
</file>

<file path=xl/tables/table43.xml><?xml version="1.0" encoding="utf-8"?>
<table xmlns="http://schemas.openxmlformats.org/spreadsheetml/2006/main" id="140" name="Table_140" displayName="Table_140" ref="D60:E67" headerRowCount="0">
  <tableColumns count="2">
    <tableColumn id="1" name="Column1"/>
    <tableColumn id="2" name="Column2"/>
  </tableColumns>
  <tableStyleInfo name="травень-style 10" showFirstColumn="1" showLastColumn="1" showRowStripes="1" showColumnStripes="0"/>
</table>
</file>

<file path=xl/tables/table44.xml><?xml version="1.0" encoding="utf-8"?>
<table xmlns="http://schemas.openxmlformats.org/spreadsheetml/2006/main" id="141" name="Table_141" displayName="Table_141" ref="E69:E72" headerRowCount="0">
  <tableColumns count="1">
    <tableColumn id="1" name="Column1"/>
  </tableColumns>
  <tableStyleInfo name="травень-style 11" showFirstColumn="1" showLastColumn="1" showRowStripes="1" showColumnStripes="0"/>
</table>
</file>

<file path=xl/tables/table45.xml><?xml version="1.0" encoding="utf-8"?>
<table xmlns="http://schemas.openxmlformats.org/spreadsheetml/2006/main" id="142" name="Table_142" displayName="Table_142" ref="AA72:AD72" headerRowCount="0">
  <tableColumns count="4">
    <tableColumn id="1" name="Column1"/>
    <tableColumn id="2" name="Column2"/>
    <tableColumn id="3" name="Column3"/>
    <tableColumn id="4" name="Column4"/>
  </tableColumns>
  <tableStyleInfo name="травень-style 12" showFirstColumn="1" showLastColumn="1" showRowStripes="1" showColumnStripes="0"/>
</table>
</file>

<file path=xl/tables/table46.xml><?xml version="1.0" encoding="utf-8"?>
<table xmlns="http://schemas.openxmlformats.org/spreadsheetml/2006/main" id="143" name="Table_143" displayName="Table_143" ref="E73:E75" headerRowCount="0">
  <tableColumns count="1">
    <tableColumn id="1" name="Column1"/>
  </tableColumns>
  <tableStyleInfo name="травень-style 13" showFirstColumn="1" showLastColumn="1" showRowStripes="1" showColumnStripes="0"/>
</table>
</file>

<file path=xl/tables/table47.xml><?xml version="1.0" encoding="utf-8"?>
<table xmlns="http://schemas.openxmlformats.org/spreadsheetml/2006/main" id="144" name="Table_144" displayName="Table_144" ref="AA75:AD75" headerRowCount="0">
  <tableColumns count="4">
    <tableColumn id="1" name="Column1"/>
    <tableColumn id="2" name="Column2"/>
    <tableColumn id="3" name="Column3"/>
    <tableColumn id="4" name="Column4"/>
  </tableColumns>
  <tableStyleInfo name="травень-style 14" showFirstColumn="1" showLastColumn="1" showRowStripes="1" showColumnStripes="0"/>
</table>
</file>

<file path=xl/tables/table48.xml><?xml version="1.0" encoding="utf-8"?>
<table xmlns="http://schemas.openxmlformats.org/spreadsheetml/2006/main" id="145" name="Table_145" displayName="Table_145" ref="AA76:AD89" headerRowCount="0">
  <tableColumns count="4">
    <tableColumn id="1" name="Column1"/>
    <tableColumn id="2" name="Column2"/>
    <tableColumn id="3" name="Column3"/>
    <tableColumn id="4" name="Column4"/>
  </tableColumns>
  <tableStyleInfo name="травень-style 15" showFirstColumn="1" showLastColumn="1" showRowStripes="1" showColumnStripes="0"/>
</table>
</file>

<file path=xl/tables/table49.xml><?xml version="1.0" encoding="utf-8"?>
<table xmlns="http://schemas.openxmlformats.org/spreadsheetml/2006/main" id="146" name="Table_146" displayName="Table_146" ref="D88:D89" headerRowCount="0">
  <tableColumns count="1">
    <tableColumn id="1" name="Column1"/>
  </tableColumns>
  <tableStyleInfo name="травень-style 16" showFirstColumn="1" showLastColumn="1" showRowStripes="1" showColumnStripes="0"/>
</table>
</file>

<file path=xl/tables/table50.xml><?xml version="1.0" encoding="utf-8"?>
<table xmlns="http://schemas.openxmlformats.org/spreadsheetml/2006/main" id="147" name="Table_147" displayName="Table_147" ref="A92:H105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травень-style 17" showFirstColumn="1" showLastColumn="1" showRowStripes="1" showColumnStripes="0"/>
</table>
</file>

<file path=xl/tables/table51.xml><?xml version="1.0" encoding="utf-8"?>
<table xmlns="http://schemas.openxmlformats.org/spreadsheetml/2006/main" id="148" name="Table_148" displayName="Table_148" ref="A108:H11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травень-style 18" showFirstColumn="1" showLastColumn="1" showRowStripes="1" showColumnStripes="0"/>
</table>
</file>

<file path=xl/tables/table52.xml><?xml version="1.0" encoding="utf-8"?>
<table xmlns="http://schemas.openxmlformats.org/spreadsheetml/2006/main" id="149" name="Table_149" displayName="Table_149" ref="A115:C117" headerRowCount="0">
  <tableColumns count="3">
    <tableColumn id="1" name="Column1"/>
    <tableColumn id="2" name="Column2"/>
    <tableColumn id="3" name="Column3"/>
  </tableColumns>
  <tableStyleInfo name="травень-style 19" showFirstColumn="1" showLastColumn="1" showRowStripes="1" showColumnStripes="0"/>
</table>
</file>

<file path=xl/tables/table53.xml><?xml version="1.0" encoding="utf-8"?>
<table xmlns="http://schemas.openxmlformats.org/spreadsheetml/2006/main" id="150" name="Table_150" displayName="Table_150" ref="E120:G120" headerRowCount="0">
  <tableColumns count="3">
    <tableColumn id="1" name="Column1"/>
    <tableColumn id="2" name="Column2"/>
    <tableColumn id="3" name="Column3"/>
  </tableColumns>
  <tableStyleInfo name="травень-style 20" showFirstColumn="1" showLastColumn="1" showRowStripes="1" showColumnStripes="0"/>
</table>
</file>

<file path=xl/tables/table54.xml><?xml version="1.0" encoding="utf-8"?>
<table xmlns="http://schemas.openxmlformats.org/spreadsheetml/2006/main" id="151" name="Table_151" displayName="Table_151" ref="A123:C128" headerRowCount="0">
  <tableColumns count="3">
    <tableColumn id="1" name="Column1"/>
    <tableColumn id="2" name="Column2"/>
    <tableColumn id="3" name="Column3"/>
  </tableColumns>
  <tableStyleInfo name="травень-style 21" showFirstColumn="1" showLastColumn="1" showRowStripes="1" showColumnStripes="0"/>
</table>
</file>

<file path=xl/tables/table55.xml><?xml version="1.0" encoding="utf-8"?>
<table xmlns="http://schemas.openxmlformats.org/spreadsheetml/2006/main" id="152" name="Table_152" displayName="Table_152" ref="E124:G124" headerRowCount="0">
  <tableColumns count="3">
    <tableColumn id="1" name="Column1"/>
    <tableColumn id="2" name="Column2"/>
    <tableColumn id="3" name="Column3"/>
  </tableColumns>
  <tableStyleInfo name="травень-style 22" showFirstColumn="1" showLastColumn="1" showRowStripes="1" showColumnStripes="0"/>
</table>
</file>

<file path=xl/tables/table56.xml><?xml version="1.0" encoding="utf-8"?>
<table xmlns="http://schemas.openxmlformats.org/spreadsheetml/2006/main" id="153" name="Table_153" displayName="Table_153" ref="E125:G125" headerRowCount="0">
  <tableColumns count="3">
    <tableColumn id="1" name="Column1"/>
    <tableColumn id="2" name="Column2"/>
    <tableColumn id="3" name="Column3"/>
  </tableColumns>
  <tableStyleInfo name="травень-style 23" showFirstColumn="1" showLastColumn="1" showRowStripes="1" showColumnStripes="0"/>
</table>
</file>

<file path=xl/tables/table57.xml><?xml version="1.0" encoding="utf-8"?>
<table xmlns="http://schemas.openxmlformats.org/spreadsheetml/2006/main" id="154" name="Table_154" displayName="Table_154" ref="A131:C134" headerRowCount="0">
  <tableColumns count="3">
    <tableColumn id="1" name="Column1"/>
    <tableColumn id="2" name="Column2"/>
    <tableColumn id="3" name="Column3"/>
  </tableColumns>
  <tableStyleInfo name="травень-style 24" showFirstColumn="1" showLastColumn="1" showRowStripes="1" showColumnStripes="0"/>
</table>
</file>

<file path=xl/tables/table58.xml><?xml version="1.0" encoding="utf-8"?>
<table xmlns="http://schemas.openxmlformats.org/spreadsheetml/2006/main" id="155" name="Table_155" displayName="Table_155" ref="A137:B138" headerRowCount="0">
  <tableColumns count="2">
    <tableColumn id="1" name="Column1"/>
    <tableColumn id="2" name="Column2"/>
  </tableColumns>
  <tableStyleInfo name="травень-style 25" showFirstColumn="1" showLastColumn="1" showRowStripes="1" showColumnStripes="0"/>
</table>
</file>

<file path=xl/tables/table59.xml><?xml version="1.0" encoding="utf-8"?>
<table xmlns="http://schemas.openxmlformats.org/spreadsheetml/2006/main" id="156" name="Table_156" displayName="Table_156" ref="A144:E147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травень-style 26" showFirstColumn="1" showLastColumn="1" showRowStripes="1" showColumnStripes="0"/>
</table>
</file>

<file path=xl/tables/table60.xml><?xml version="1.0" encoding="utf-8"?>
<table xmlns="http://schemas.openxmlformats.org/spreadsheetml/2006/main" id="157" name="Table_157" displayName="Table_157" ref="A149:D153" headerRowCount="0">
  <tableColumns count="4">
    <tableColumn id="1" name="Column1"/>
    <tableColumn id="2" name="Column2"/>
    <tableColumn id="3" name="Column3"/>
    <tableColumn id="4" name="Column4"/>
  </tableColumns>
  <tableStyleInfo name="травень-style 27" showFirstColumn="1" showLastColumn="1" showRowStripes="1" showColumnStripes="0"/>
</table>
</file>

<file path=xl/tables/table61.xml><?xml version="1.0" encoding="utf-8"?>
<table xmlns="http://schemas.openxmlformats.org/spreadsheetml/2006/main" id="158" name="Table_158" displayName="Table_158" ref="E150:G150" headerRowCount="0">
  <tableColumns count="3">
    <tableColumn id="1" name="Column1"/>
    <tableColumn id="2" name="Column2"/>
    <tableColumn id="3" name="Column3"/>
  </tableColumns>
  <tableStyleInfo name="травень-style 28" showFirstColumn="1" showLastColumn="1" showRowStripes="1" showColumnStripes="0"/>
</table>
</file>

<file path=xl/tables/table62.xml><?xml version="1.0" encoding="utf-8"?>
<table xmlns="http://schemas.openxmlformats.org/spreadsheetml/2006/main" id="159" name="Table_159" displayName="Table_159" ref="F152:G152" headerRowCount="0">
  <tableColumns count="2">
    <tableColumn id="1" name="Column1"/>
    <tableColumn id="2" name="Column2"/>
  </tableColumns>
  <tableStyleInfo name="травень-style 29" showFirstColumn="1" showLastColumn="1" showRowStripes="1" showColumnStripes="0"/>
</table>
</file>

<file path=xl/tables/table63.xml><?xml version="1.0" encoding="utf-8"?>
<table xmlns="http://schemas.openxmlformats.org/spreadsheetml/2006/main" id="160" name="Table_160" displayName="Table_160" ref="A155:B155" headerRowCount="0">
  <tableColumns count="2">
    <tableColumn id="1" name="Column1"/>
    <tableColumn id="2" name="Column2"/>
  </tableColumns>
  <tableStyleInfo name="травень-style 30" showFirstColumn="1" showLastColumn="1" showRowStripes="1" showColumnStripes="0"/>
</table>
</file>

<file path=xl/tables/table64.xml><?xml version="1.0" encoding="utf-8"?>
<table xmlns="http://schemas.openxmlformats.org/spreadsheetml/2006/main" id="161" name="Table_161" displayName="Table_161" ref="A159:C162" headerRowCount="0">
  <tableColumns count="3">
    <tableColumn id="1" name="Column1"/>
    <tableColumn id="2" name="Column2"/>
    <tableColumn id="3" name="Column3"/>
  </tableColumns>
  <tableStyleInfo name="травень-style 31" showFirstColumn="1" showLastColumn="1" showRowStripes="1" showColumnStripes="0"/>
</table>
</file>

<file path=xl/tables/table65.xml><?xml version="1.0" encoding="utf-8"?>
<table xmlns="http://schemas.openxmlformats.org/spreadsheetml/2006/main" id="162" name="Table_162" displayName="Table_162" ref="E159:G159" headerRowCount="0">
  <tableColumns count="3">
    <tableColumn id="1" name="Column1"/>
    <tableColumn id="2" name="Column2"/>
    <tableColumn id="3" name="Column3"/>
  </tableColumns>
  <tableStyleInfo name="травень-style 32" showFirstColumn="1" showLastColumn="1" showRowStripes="1" showColumnStripes="0"/>
</table>
</file>

<file path=xl/tables/table66.xml><?xml version="1.0" encoding="utf-8"?>
<table xmlns="http://schemas.openxmlformats.org/spreadsheetml/2006/main" id="163" name="Table_163" displayName="Table_163" ref="E160:G161" headerRowCount="0">
  <tableColumns count="3">
    <tableColumn id="1" name="Column1"/>
    <tableColumn id="2" name="Column2"/>
    <tableColumn id="3" name="Column3"/>
  </tableColumns>
  <tableStyleInfo name="травень-style 33" showFirstColumn="1" showLastColumn="1" showRowStripes="1" showColumnStripes="0"/>
</table>
</file>

<file path=xl/tables/table67.xml><?xml version="1.0" encoding="utf-8"?>
<table xmlns="http://schemas.openxmlformats.org/spreadsheetml/2006/main" id="164" name="Table_164" displayName="Table_164" ref="E162:G162" headerRowCount="0">
  <tableColumns count="3">
    <tableColumn id="1" name="Column1"/>
    <tableColumn id="2" name="Column2"/>
    <tableColumn id="3" name="Column3"/>
  </tableColumns>
  <tableStyleInfo name="травень-style 3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1.xml"/><Relationship Id="rId13" Type="http://schemas.openxmlformats.org/officeDocument/2006/relationships/table" Target="../tables/table46.xml"/><Relationship Id="rId18" Type="http://schemas.openxmlformats.org/officeDocument/2006/relationships/table" Target="../tables/table51.xml"/><Relationship Id="rId26" Type="http://schemas.openxmlformats.org/officeDocument/2006/relationships/table" Target="../tables/table59.xml"/><Relationship Id="rId3" Type="http://schemas.openxmlformats.org/officeDocument/2006/relationships/table" Target="../tables/table36.xml"/><Relationship Id="rId21" Type="http://schemas.openxmlformats.org/officeDocument/2006/relationships/table" Target="../tables/table54.xml"/><Relationship Id="rId34" Type="http://schemas.openxmlformats.org/officeDocument/2006/relationships/table" Target="../tables/table67.xml"/><Relationship Id="rId7" Type="http://schemas.openxmlformats.org/officeDocument/2006/relationships/table" Target="../tables/table40.xml"/><Relationship Id="rId12" Type="http://schemas.openxmlformats.org/officeDocument/2006/relationships/table" Target="../tables/table45.xml"/><Relationship Id="rId17" Type="http://schemas.openxmlformats.org/officeDocument/2006/relationships/table" Target="../tables/table50.xml"/><Relationship Id="rId25" Type="http://schemas.openxmlformats.org/officeDocument/2006/relationships/table" Target="../tables/table58.xml"/><Relationship Id="rId33" Type="http://schemas.openxmlformats.org/officeDocument/2006/relationships/table" Target="../tables/table66.xml"/><Relationship Id="rId2" Type="http://schemas.openxmlformats.org/officeDocument/2006/relationships/table" Target="../tables/table35.xml"/><Relationship Id="rId16" Type="http://schemas.openxmlformats.org/officeDocument/2006/relationships/table" Target="../tables/table49.xml"/><Relationship Id="rId20" Type="http://schemas.openxmlformats.org/officeDocument/2006/relationships/table" Target="../tables/table53.xml"/><Relationship Id="rId29" Type="http://schemas.openxmlformats.org/officeDocument/2006/relationships/table" Target="../tables/table62.xml"/><Relationship Id="rId1" Type="http://schemas.openxmlformats.org/officeDocument/2006/relationships/table" Target="../tables/table34.xml"/><Relationship Id="rId6" Type="http://schemas.openxmlformats.org/officeDocument/2006/relationships/table" Target="../tables/table39.xml"/><Relationship Id="rId11" Type="http://schemas.openxmlformats.org/officeDocument/2006/relationships/table" Target="../tables/table44.xml"/><Relationship Id="rId24" Type="http://schemas.openxmlformats.org/officeDocument/2006/relationships/table" Target="../tables/table57.xml"/><Relationship Id="rId32" Type="http://schemas.openxmlformats.org/officeDocument/2006/relationships/table" Target="../tables/table65.xml"/><Relationship Id="rId5" Type="http://schemas.openxmlformats.org/officeDocument/2006/relationships/table" Target="../tables/table38.xml"/><Relationship Id="rId15" Type="http://schemas.openxmlformats.org/officeDocument/2006/relationships/table" Target="../tables/table48.xml"/><Relationship Id="rId23" Type="http://schemas.openxmlformats.org/officeDocument/2006/relationships/table" Target="../tables/table56.xml"/><Relationship Id="rId28" Type="http://schemas.openxmlformats.org/officeDocument/2006/relationships/table" Target="../tables/table61.xml"/><Relationship Id="rId10" Type="http://schemas.openxmlformats.org/officeDocument/2006/relationships/table" Target="../tables/table43.xml"/><Relationship Id="rId19" Type="http://schemas.openxmlformats.org/officeDocument/2006/relationships/table" Target="../tables/table52.xml"/><Relationship Id="rId31" Type="http://schemas.openxmlformats.org/officeDocument/2006/relationships/table" Target="../tables/table64.xml"/><Relationship Id="rId4" Type="http://schemas.openxmlformats.org/officeDocument/2006/relationships/table" Target="../tables/table37.xml"/><Relationship Id="rId9" Type="http://schemas.openxmlformats.org/officeDocument/2006/relationships/table" Target="../tables/table42.xml"/><Relationship Id="rId14" Type="http://schemas.openxmlformats.org/officeDocument/2006/relationships/table" Target="../tables/table47.xml"/><Relationship Id="rId22" Type="http://schemas.openxmlformats.org/officeDocument/2006/relationships/table" Target="../tables/table55.xml"/><Relationship Id="rId27" Type="http://schemas.openxmlformats.org/officeDocument/2006/relationships/table" Target="../tables/table60.xml"/><Relationship Id="rId30" Type="http://schemas.openxmlformats.org/officeDocument/2006/relationships/table" Target="../tables/table6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FF"/>
    <outlinePr summaryBelow="0" summaryRight="0"/>
  </sheetPr>
  <dimension ref="A1:BS1098"/>
  <sheetViews>
    <sheetView tabSelected="1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Q13" sqref="Q13"/>
    </sheetView>
  </sheetViews>
  <sheetFormatPr defaultColWidth="12.6640625" defaultRowHeight="15.75" customHeight="1"/>
  <cols>
    <col min="1" max="1" width="16.21875" customWidth="1"/>
    <col min="2" max="2" width="32.88671875" customWidth="1"/>
    <col min="3" max="3" width="17.21875" customWidth="1"/>
    <col min="4" max="4" width="33.33203125" customWidth="1"/>
    <col min="5" max="7" width="9" customWidth="1"/>
    <col min="8" max="8" width="9.33203125" customWidth="1"/>
    <col min="9" max="9" width="19.77734375" customWidth="1"/>
    <col min="10" max="10" width="10.88671875" customWidth="1"/>
    <col min="11" max="11" width="7.21875" customWidth="1"/>
    <col min="12" max="12" width="9.6640625" customWidth="1"/>
    <col min="13" max="13" width="8.33203125" customWidth="1"/>
    <col min="14" max="14" width="6.77734375" customWidth="1"/>
    <col min="15" max="15" width="7.88671875" customWidth="1"/>
    <col min="16" max="16" width="9.6640625" customWidth="1"/>
    <col min="17" max="17" width="6.109375" customWidth="1"/>
    <col min="18" max="18" width="6.6640625" customWidth="1"/>
    <col min="19" max="22" width="8.44140625" customWidth="1"/>
    <col min="23" max="23" width="6.21875" customWidth="1"/>
    <col min="24" max="26" width="8.44140625" customWidth="1"/>
    <col min="27" max="27" width="9.6640625" customWidth="1"/>
    <col min="28" max="28" width="7.6640625" customWidth="1"/>
    <col min="29" max="29" width="8.33203125" customWidth="1"/>
    <col min="30" max="30" width="9.6640625" customWidth="1"/>
    <col min="31" max="31" width="5.6640625" customWidth="1"/>
    <col min="32" max="32" width="8.44140625" customWidth="1"/>
    <col min="33" max="33" width="9.6640625" customWidth="1"/>
    <col min="34" max="34" width="8.44140625" customWidth="1"/>
    <col min="35" max="36" width="10.77734375" customWidth="1"/>
    <col min="37" max="37" width="12.21875" customWidth="1"/>
    <col min="38" max="38" width="8.33203125" customWidth="1"/>
    <col min="39" max="39" width="9.109375" customWidth="1"/>
    <col min="40" max="40" width="10.44140625" customWidth="1"/>
    <col min="41" max="46" width="9.6640625" customWidth="1"/>
    <col min="47" max="47" width="9.109375" customWidth="1"/>
    <col min="48" max="48" width="9.77734375" customWidth="1"/>
    <col min="49" max="49" width="9.88671875" customWidth="1"/>
    <col min="50" max="50" width="9.77734375" customWidth="1"/>
    <col min="51" max="51" width="8.6640625" customWidth="1"/>
    <col min="52" max="52" width="10.6640625" customWidth="1"/>
    <col min="53" max="53" width="11.77734375" customWidth="1"/>
    <col min="54" max="54" width="8.33203125" customWidth="1"/>
  </cols>
  <sheetData>
    <row r="1" spans="1:71" ht="47.25" customHeight="1">
      <c r="A1" s="452" t="s">
        <v>0</v>
      </c>
      <c r="B1" s="464"/>
      <c r="C1" s="452" t="s">
        <v>1</v>
      </c>
      <c r="D1" s="452" t="s">
        <v>2</v>
      </c>
      <c r="E1" s="452" t="s">
        <v>3</v>
      </c>
      <c r="F1" s="452" t="s">
        <v>4</v>
      </c>
      <c r="G1" s="452" t="s">
        <v>5</v>
      </c>
      <c r="H1" s="452" t="s">
        <v>6</v>
      </c>
      <c r="I1" s="452" t="s">
        <v>7</v>
      </c>
      <c r="J1" s="452" t="s">
        <v>8</v>
      </c>
      <c r="K1" s="463" t="s">
        <v>9</v>
      </c>
      <c r="L1" s="461"/>
      <c r="M1" s="462"/>
      <c r="N1" s="460" t="s">
        <v>10</v>
      </c>
      <c r="O1" s="461"/>
      <c r="P1" s="462"/>
      <c r="Q1" s="460" t="s">
        <v>11</v>
      </c>
      <c r="R1" s="461"/>
      <c r="S1" s="462"/>
      <c r="T1" s="452" t="s">
        <v>210</v>
      </c>
      <c r="U1" s="338" t="s">
        <v>235</v>
      </c>
      <c r="V1" s="452" t="s">
        <v>12</v>
      </c>
      <c r="W1" s="460" t="s">
        <v>13</v>
      </c>
      <c r="X1" s="461"/>
      <c r="Y1" s="462"/>
      <c r="Z1" s="452" t="s">
        <v>236</v>
      </c>
      <c r="AA1" s="452" t="s">
        <v>237</v>
      </c>
      <c r="AB1" s="452" t="s">
        <v>238</v>
      </c>
      <c r="AC1" s="452" t="s">
        <v>199</v>
      </c>
      <c r="AD1" s="452" t="s">
        <v>239</v>
      </c>
      <c r="AE1" s="452" t="s">
        <v>211</v>
      </c>
      <c r="AF1" s="459" t="s">
        <v>14</v>
      </c>
      <c r="AG1" s="452" t="s">
        <v>15</v>
      </c>
      <c r="AH1" s="452" t="s">
        <v>16</v>
      </c>
      <c r="AI1" s="452" t="s">
        <v>17</v>
      </c>
      <c r="AJ1" s="457" t="s">
        <v>18</v>
      </c>
      <c r="AK1" s="458" t="s">
        <v>19</v>
      </c>
      <c r="AL1" s="455" t="s">
        <v>240</v>
      </c>
      <c r="AM1" s="455" t="s">
        <v>200</v>
      </c>
      <c r="AN1" s="455" t="s">
        <v>212</v>
      </c>
      <c r="AO1" s="455" t="s">
        <v>201</v>
      </c>
      <c r="AP1" s="455" t="s">
        <v>213</v>
      </c>
      <c r="AQ1" s="455" t="s">
        <v>213</v>
      </c>
      <c r="AR1" s="455" t="s">
        <v>241</v>
      </c>
      <c r="AS1" s="455" t="s">
        <v>242</v>
      </c>
      <c r="AT1" s="455" t="s">
        <v>234</v>
      </c>
      <c r="AU1" s="456" t="s">
        <v>20</v>
      </c>
      <c r="AV1" s="456" t="s">
        <v>21</v>
      </c>
      <c r="AW1" s="452" t="s">
        <v>22</v>
      </c>
      <c r="AX1" s="452" t="s">
        <v>23</v>
      </c>
      <c r="AY1" s="452" t="s">
        <v>24</v>
      </c>
      <c r="AZ1" s="452" t="s">
        <v>25</v>
      </c>
      <c r="BA1" s="454" t="s">
        <v>26</v>
      </c>
      <c r="BB1" s="452" t="s">
        <v>27</v>
      </c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1" ht="60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2" t="s">
        <v>28</v>
      </c>
      <c r="L2" s="2" t="s">
        <v>29</v>
      </c>
      <c r="M2" s="2" t="s">
        <v>30</v>
      </c>
      <c r="N2" s="2" t="s">
        <v>28</v>
      </c>
      <c r="O2" s="2" t="s">
        <v>29</v>
      </c>
      <c r="P2" s="2" t="s">
        <v>30</v>
      </c>
      <c r="Q2" s="2" t="s">
        <v>28</v>
      </c>
      <c r="R2" s="2" t="s">
        <v>29</v>
      </c>
      <c r="S2" s="2" t="s">
        <v>30</v>
      </c>
      <c r="T2" s="453"/>
      <c r="U2" s="338"/>
      <c r="V2" s="453"/>
      <c r="W2" s="2" t="s">
        <v>28</v>
      </c>
      <c r="X2" s="2" t="s">
        <v>29</v>
      </c>
      <c r="Y2" s="2" t="s">
        <v>30</v>
      </c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  <c r="BA2" s="453"/>
      <c r="BB2" s="453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71" ht="13.8">
      <c r="A3" s="3"/>
      <c r="B3" s="3" t="s">
        <v>31</v>
      </c>
      <c r="C3" s="4">
        <v>1</v>
      </c>
      <c r="D3" s="5">
        <f t="shared" ref="D3:I3" si="0">C3+1</f>
        <v>2</v>
      </c>
      <c r="E3" s="5">
        <f t="shared" si="0"/>
        <v>3</v>
      </c>
      <c r="F3" s="5">
        <f t="shared" si="0"/>
        <v>4</v>
      </c>
      <c r="G3" s="5">
        <f t="shared" si="0"/>
        <v>5</v>
      </c>
      <c r="H3" s="5">
        <f t="shared" si="0"/>
        <v>6</v>
      </c>
      <c r="I3" s="5">
        <f t="shared" si="0"/>
        <v>7</v>
      </c>
      <c r="J3" s="5"/>
      <c r="K3" s="5">
        <f>I3+1</f>
        <v>8</v>
      </c>
      <c r="L3" s="5">
        <f t="shared" ref="L3:S3" si="1">K3+1</f>
        <v>9</v>
      </c>
      <c r="M3" s="5">
        <f t="shared" si="1"/>
        <v>10</v>
      </c>
      <c r="N3" s="5">
        <f t="shared" si="1"/>
        <v>11</v>
      </c>
      <c r="O3" s="5">
        <f t="shared" si="1"/>
        <v>12</v>
      </c>
      <c r="P3" s="5">
        <f t="shared" si="1"/>
        <v>13</v>
      </c>
      <c r="Q3" s="5">
        <f t="shared" si="1"/>
        <v>14</v>
      </c>
      <c r="R3" s="5">
        <f t="shared" si="1"/>
        <v>15</v>
      </c>
      <c r="S3" s="5">
        <f t="shared" si="1"/>
        <v>16</v>
      </c>
      <c r="T3" s="5"/>
      <c r="U3" s="5"/>
      <c r="V3" s="5">
        <f>S3+1</f>
        <v>17</v>
      </c>
      <c r="W3" s="5">
        <f t="shared" ref="W3:Z3" si="2">V3+1</f>
        <v>18</v>
      </c>
      <c r="X3" s="5">
        <f t="shared" si="2"/>
        <v>19</v>
      </c>
      <c r="Y3" s="5">
        <f t="shared" si="2"/>
        <v>20</v>
      </c>
      <c r="Z3" s="5">
        <f t="shared" si="2"/>
        <v>21</v>
      </c>
      <c r="AA3" s="5"/>
      <c r="AB3" s="5"/>
      <c r="AC3" s="5">
        <f>Z3+1</f>
        <v>22</v>
      </c>
      <c r="AD3" s="5">
        <f t="shared" ref="AD3:AP3" si="3">AC3+1</f>
        <v>23</v>
      </c>
      <c r="AE3" s="5">
        <f t="shared" si="3"/>
        <v>24</v>
      </c>
      <c r="AF3" s="5">
        <f t="shared" si="3"/>
        <v>25</v>
      </c>
      <c r="AG3" s="5">
        <f t="shared" si="3"/>
        <v>26</v>
      </c>
      <c r="AH3" s="5">
        <f t="shared" si="3"/>
        <v>27</v>
      </c>
      <c r="AI3" s="5">
        <f t="shared" si="3"/>
        <v>28</v>
      </c>
      <c r="AJ3" s="5">
        <f t="shared" si="3"/>
        <v>29</v>
      </c>
      <c r="AK3" s="5">
        <f t="shared" si="3"/>
        <v>30</v>
      </c>
      <c r="AL3" s="5">
        <f t="shared" si="3"/>
        <v>31</v>
      </c>
      <c r="AM3" s="5">
        <f t="shared" si="3"/>
        <v>32</v>
      </c>
      <c r="AN3" s="5">
        <f t="shared" si="3"/>
        <v>33</v>
      </c>
      <c r="AO3" s="5">
        <f t="shared" si="3"/>
        <v>34</v>
      </c>
      <c r="AP3" s="5">
        <f t="shared" si="3"/>
        <v>35</v>
      </c>
      <c r="AQ3" s="5"/>
      <c r="AR3" s="5">
        <f>AP3+1</f>
        <v>36</v>
      </c>
      <c r="AS3" s="5">
        <f t="shared" ref="AS3:BC3" si="4">AR3+1</f>
        <v>37</v>
      </c>
      <c r="AT3" s="5">
        <f t="shared" si="4"/>
        <v>38</v>
      </c>
      <c r="AU3" s="5">
        <f t="shared" si="4"/>
        <v>39</v>
      </c>
      <c r="AV3" s="5">
        <f t="shared" si="4"/>
        <v>40</v>
      </c>
      <c r="AW3" s="5">
        <f t="shared" si="4"/>
        <v>41</v>
      </c>
      <c r="AX3" s="5">
        <f t="shared" si="4"/>
        <v>42</v>
      </c>
      <c r="AY3" s="5">
        <f t="shared" si="4"/>
        <v>43</v>
      </c>
      <c r="AZ3" s="5">
        <f t="shared" si="4"/>
        <v>44</v>
      </c>
      <c r="BA3" s="5">
        <f t="shared" si="4"/>
        <v>45</v>
      </c>
      <c r="BB3" s="5">
        <f t="shared" si="4"/>
        <v>46</v>
      </c>
      <c r="BC3" s="5">
        <f t="shared" si="4"/>
        <v>47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</row>
    <row r="4" spans="1:71" ht="13.8">
      <c r="A4" s="6"/>
      <c r="B4" s="7" t="s">
        <v>32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9"/>
      <c r="AZ4" s="10"/>
      <c r="BA4" s="11"/>
      <c r="BB4" s="10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</row>
    <row r="5" spans="1:71" ht="13.8">
      <c r="A5" s="54" t="s">
        <v>243</v>
      </c>
      <c r="B5" s="12" t="s">
        <v>34</v>
      </c>
      <c r="C5" s="13" t="s">
        <v>35</v>
      </c>
      <c r="D5" s="13" t="s">
        <v>36</v>
      </c>
      <c r="E5" s="13">
        <v>8647</v>
      </c>
      <c r="F5" s="14">
        <v>46113</v>
      </c>
      <c r="G5" s="15">
        <f t="shared" ref="G5:G6" si="5">8647/4</f>
        <v>2161.75</v>
      </c>
      <c r="H5" s="16">
        <v>8.41</v>
      </c>
      <c r="I5" s="16" t="s">
        <v>37</v>
      </c>
      <c r="J5" s="223"/>
      <c r="K5" s="223">
        <v>114</v>
      </c>
      <c r="L5" s="17">
        <v>250</v>
      </c>
      <c r="M5" s="15">
        <f t="shared" ref="M5:M40" si="6">K5*L5</f>
        <v>28500</v>
      </c>
      <c r="N5" s="16">
        <v>10</v>
      </c>
      <c r="O5" s="17">
        <v>120</v>
      </c>
      <c r="P5" s="19">
        <f t="shared" ref="P5:P40" si="7">N5*O5</f>
        <v>1200</v>
      </c>
      <c r="Q5" s="18"/>
      <c r="R5" s="15"/>
      <c r="S5" s="19">
        <f t="shared" ref="S5:S20" si="8">Q5*R5</f>
        <v>0</v>
      </c>
      <c r="T5" s="18"/>
      <c r="U5" s="18"/>
      <c r="V5" s="18"/>
      <c r="W5" s="18"/>
      <c r="X5" s="15"/>
      <c r="Y5" s="19">
        <f t="shared" ref="Y5:Y20" si="9">W5*X5</f>
        <v>0</v>
      </c>
      <c r="Z5" s="20"/>
      <c r="AA5" s="21"/>
      <c r="AB5" s="21"/>
      <c r="AC5" s="21"/>
      <c r="AD5" s="16">
        <v>5639.41</v>
      </c>
      <c r="AE5" s="20"/>
      <c r="AF5" s="22">
        <f t="shared" ref="AF5:AF7" si="10">M5+P5+S5+V5+Y5+Z5+AE5</f>
        <v>29700</v>
      </c>
      <c r="AG5" s="23">
        <v>13832.88</v>
      </c>
      <c r="AH5" s="20"/>
      <c r="AI5" s="23">
        <f>(AP5*100)/77</f>
        <v>23657.155844155848</v>
      </c>
      <c r="AJ5" s="25">
        <f t="shared" ref="AJ5:AJ6" si="11">AG5+AI5+AD5</f>
        <v>43129.445844155853</v>
      </c>
      <c r="AK5" s="26">
        <f t="shared" ref="AK5:AK57" si="12">AJ5*23%</f>
        <v>9919.7725441558468</v>
      </c>
      <c r="AL5" s="23">
        <v>4876.32</v>
      </c>
      <c r="AM5" s="23"/>
      <c r="AN5" s="23">
        <v>10117.73</v>
      </c>
      <c r="AO5" s="23"/>
      <c r="AP5" s="49">
        <f>AF5-AL5-AT5-AS5-AN5-AN6+8265.65</f>
        <v>18216.010000000002</v>
      </c>
      <c r="AQ5" s="23"/>
      <c r="AR5" s="23"/>
      <c r="AS5" s="23"/>
      <c r="AT5" s="23"/>
      <c r="AU5" s="27">
        <f>AJ5-AK5-AL5-AT5-AN5-AR5-AM5-AP5</f>
        <v>-0.38669999999183347</v>
      </c>
      <c r="AV5" s="28">
        <f t="shared" ref="AV5:AV31" si="13">AL5+AM5+AN5+AO5+AP5+AR5+AS5+AT5</f>
        <v>33210.06</v>
      </c>
      <c r="AW5" s="28"/>
      <c r="AX5" s="28"/>
      <c r="AY5" s="28">
        <f t="shared" ref="AY5:AY57" si="14">AJ5*23%</f>
        <v>9919.7725441558468</v>
      </c>
      <c r="AZ5" s="29">
        <f t="shared" ref="AZ5:AZ36" si="15">AJ5*H5%</f>
        <v>3627.1863954935075</v>
      </c>
      <c r="BA5" s="30">
        <f t="shared" ref="BA5:BA57" si="16">AY5+AZ5</f>
        <v>13546.958939649354</v>
      </c>
      <c r="BB5" s="31">
        <f t="shared" ref="BB5:BB57" si="17">BA5-AZ5-AK5</f>
        <v>0</v>
      </c>
      <c r="BC5" s="56">
        <f t="shared" ref="BC5:BC163" si="18">AJ5-AK5-AV5</f>
        <v>-0.38669999998819549</v>
      </c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</row>
    <row r="6" spans="1:71" ht="30" customHeight="1">
      <c r="A6" s="54" t="s">
        <v>244</v>
      </c>
      <c r="B6" s="12" t="s">
        <v>34</v>
      </c>
      <c r="C6" s="13" t="s">
        <v>35</v>
      </c>
      <c r="D6" s="13" t="s">
        <v>38</v>
      </c>
      <c r="E6" s="13">
        <v>8647</v>
      </c>
      <c r="F6" s="14">
        <v>46113</v>
      </c>
      <c r="G6" s="15">
        <f t="shared" si="5"/>
        <v>2161.75</v>
      </c>
      <c r="H6" s="16">
        <v>8.41</v>
      </c>
      <c r="I6" s="17" t="s">
        <v>39</v>
      </c>
      <c r="J6" s="225"/>
      <c r="K6" s="225"/>
      <c r="L6" s="17">
        <v>250</v>
      </c>
      <c r="M6" s="15">
        <f t="shared" si="6"/>
        <v>0</v>
      </c>
      <c r="N6" s="18"/>
      <c r="O6" s="15"/>
      <c r="P6" s="19">
        <f t="shared" si="7"/>
        <v>0</v>
      </c>
      <c r="Q6" s="18"/>
      <c r="R6" s="15"/>
      <c r="S6" s="19">
        <f t="shared" si="8"/>
        <v>0</v>
      </c>
      <c r="T6" s="18"/>
      <c r="U6" s="18"/>
      <c r="V6" s="18"/>
      <c r="W6" s="18"/>
      <c r="X6" s="15"/>
      <c r="Y6" s="19">
        <f t="shared" si="9"/>
        <v>0</v>
      </c>
      <c r="Z6" s="20"/>
      <c r="AA6" s="33"/>
      <c r="AB6" s="33"/>
      <c r="AC6" s="33"/>
      <c r="AD6" s="17">
        <v>5095.2</v>
      </c>
      <c r="AE6" s="20"/>
      <c r="AF6" s="22">
        <f t="shared" si="10"/>
        <v>0</v>
      </c>
      <c r="AG6" s="23">
        <v>1080.8800000000001</v>
      </c>
      <c r="AH6" s="20"/>
      <c r="AI6" s="20"/>
      <c r="AJ6" s="25">
        <f t="shared" si="11"/>
        <v>6176.08</v>
      </c>
      <c r="AK6" s="26">
        <f t="shared" si="12"/>
        <v>1420.4983999999999</v>
      </c>
      <c r="AL6" s="48"/>
      <c r="AM6" s="48"/>
      <c r="AN6" s="48">
        <v>4755.59</v>
      </c>
      <c r="AO6" s="48"/>
      <c r="AP6" s="48"/>
      <c r="AQ6" s="48"/>
      <c r="AR6" s="48"/>
      <c r="AS6" s="48"/>
      <c r="AT6" s="48"/>
      <c r="AU6" s="27">
        <f>AJ6-AK6-AL6-AT6-AN6-AR6-AM6</f>
        <v>-8.4000000006199116E-3</v>
      </c>
      <c r="AV6" s="28">
        <f t="shared" si="13"/>
        <v>4755.59</v>
      </c>
      <c r="AW6" s="28"/>
      <c r="AX6" s="28"/>
      <c r="AY6" s="28">
        <f t="shared" si="14"/>
        <v>1420.4983999999999</v>
      </c>
      <c r="AZ6" s="29">
        <f t="shared" si="15"/>
        <v>519.4083280000001</v>
      </c>
      <c r="BA6" s="30">
        <f t="shared" si="16"/>
        <v>1939.9067279999999</v>
      </c>
      <c r="BB6" s="31">
        <f t="shared" si="17"/>
        <v>0</v>
      </c>
      <c r="BC6" s="56">
        <f t="shared" si="18"/>
        <v>-8.4000000006199116E-3</v>
      </c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</row>
    <row r="7" spans="1:71" ht="30" customHeight="1">
      <c r="A7" s="54" t="s">
        <v>245</v>
      </c>
      <c r="B7" s="226" t="s">
        <v>34</v>
      </c>
      <c r="C7" s="34" t="s">
        <v>40</v>
      </c>
      <c r="D7" s="35" t="s">
        <v>36</v>
      </c>
      <c r="E7" s="35">
        <v>8700</v>
      </c>
      <c r="F7" s="36">
        <v>1</v>
      </c>
      <c r="G7" s="37">
        <v>8700</v>
      </c>
      <c r="H7" s="38">
        <v>8.41</v>
      </c>
      <c r="I7" s="39" t="s">
        <v>41</v>
      </c>
      <c r="J7" s="37"/>
      <c r="K7" s="37"/>
      <c r="L7" s="41">
        <v>200</v>
      </c>
      <c r="M7" s="42">
        <f t="shared" si="6"/>
        <v>0</v>
      </c>
      <c r="N7" s="43"/>
      <c r="O7" s="42"/>
      <c r="P7" s="44">
        <f t="shared" si="7"/>
        <v>0</v>
      </c>
      <c r="Q7" s="43"/>
      <c r="R7" s="42"/>
      <c r="S7" s="44">
        <f t="shared" si="8"/>
        <v>0</v>
      </c>
      <c r="T7" s="43"/>
      <c r="U7" s="43"/>
      <c r="V7" s="43"/>
      <c r="W7" s="43"/>
      <c r="X7" s="42"/>
      <c r="Y7" s="44">
        <f t="shared" si="9"/>
        <v>0</v>
      </c>
      <c r="Z7" s="45"/>
      <c r="AA7" s="37"/>
      <c r="AB7" s="37"/>
      <c r="AC7" s="37"/>
      <c r="AD7" s="37">
        <v>7381.36</v>
      </c>
      <c r="AE7" s="45"/>
      <c r="AF7" s="22">
        <f t="shared" si="10"/>
        <v>0</v>
      </c>
      <c r="AG7" s="76"/>
      <c r="AH7" s="258">
        <v>696.42</v>
      </c>
      <c r="AI7" s="50"/>
      <c r="AJ7" s="25">
        <f>AG7+AI7+AH7+AD7</f>
        <v>8077.78</v>
      </c>
      <c r="AK7" s="26">
        <f t="shared" si="12"/>
        <v>1857.8894</v>
      </c>
      <c r="AL7" s="84"/>
      <c r="AM7" s="339"/>
      <c r="AN7" s="84">
        <v>6219.89</v>
      </c>
      <c r="AO7" s="48"/>
      <c r="AP7" s="48"/>
      <c r="AQ7" s="48"/>
      <c r="AR7" s="48"/>
      <c r="AS7" s="84"/>
      <c r="AT7" s="84"/>
      <c r="AU7" s="27">
        <f>AJ7-AK7-AL7-AT7-AN7-AR7-AM7-AS7</f>
        <v>5.9999999939464033E-4</v>
      </c>
      <c r="AV7" s="28">
        <f t="shared" si="13"/>
        <v>6219.89</v>
      </c>
      <c r="AW7" s="28"/>
      <c r="AX7" s="28"/>
      <c r="AY7" s="28">
        <f t="shared" si="14"/>
        <v>1857.8894</v>
      </c>
      <c r="AZ7" s="29">
        <f t="shared" si="15"/>
        <v>679.34129800000005</v>
      </c>
      <c r="BA7" s="30">
        <f t="shared" si="16"/>
        <v>2537.2306980000003</v>
      </c>
      <c r="BB7" s="31">
        <f t="shared" si="17"/>
        <v>0</v>
      </c>
      <c r="BC7" s="56">
        <f t="shared" si="18"/>
        <v>5.9999999939464033E-4</v>
      </c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</row>
    <row r="8" spans="1:71" ht="21.75" customHeight="1">
      <c r="A8" s="54"/>
      <c r="B8" s="70" t="s">
        <v>43</v>
      </c>
      <c r="C8" s="13" t="s">
        <v>35</v>
      </c>
      <c r="D8" s="13" t="s">
        <v>36</v>
      </c>
      <c r="E8" s="13">
        <v>15000</v>
      </c>
      <c r="F8" s="305">
        <v>46054</v>
      </c>
      <c r="G8" s="17">
        <f>E8/2</f>
        <v>7500</v>
      </c>
      <c r="H8" s="16">
        <v>22</v>
      </c>
      <c r="I8" s="15" t="s">
        <v>41</v>
      </c>
      <c r="J8" s="17"/>
      <c r="K8" s="17">
        <v>177</v>
      </c>
      <c r="L8" s="17">
        <v>250</v>
      </c>
      <c r="M8" s="15">
        <f t="shared" si="6"/>
        <v>44250</v>
      </c>
      <c r="N8" s="18"/>
      <c r="O8" s="15"/>
      <c r="P8" s="19">
        <f t="shared" si="7"/>
        <v>0</v>
      </c>
      <c r="Q8" s="16"/>
      <c r="R8" s="17"/>
      <c r="S8" s="19">
        <f t="shared" si="8"/>
        <v>0</v>
      </c>
      <c r="T8" s="18"/>
      <c r="U8" s="18"/>
      <c r="V8" s="18"/>
      <c r="W8" s="18"/>
      <c r="X8" s="15"/>
      <c r="Y8" s="19">
        <f t="shared" si="9"/>
        <v>0</v>
      </c>
      <c r="Z8" s="238">
        <v>1320</v>
      </c>
      <c r="AA8" s="17">
        <v>1948.05</v>
      </c>
      <c r="AB8" s="17"/>
      <c r="AC8" s="17"/>
      <c r="AD8" s="17"/>
      <c r="AE8" s="20"/>
      <c r="AF8" s="22">
        <f>M8+P8+S8+V8+Y8</f>
        <v>44250</v>
      </c>
      <c r="AG8" s="23">
        <v>7500</v>
      </c>
      <c r="AH8" s="24"/>
      <c r="AI8" s="24">
        <f>(AP8*100)/77</f>
        <v>49967.519480519477</v>
      </c>
      <c r="AJ8" s="25">
        <f>AG8+AI8+AH8+AD8+Z8+AA8</f>
        <v>60735.56948051948</v>
      </c>
      <c r="AK8" s="26">
        <f t="shared" si="12"/>
        <v>13969.180980519481</v>
      </c>
      <c r="AL8" s="238">
        <v>2887.5</v>
      </c>
      <c r="AM8" s="20"/>
      <c r="AN8" s="20"/>
      <c r="AO8" s="23"/>
      <c r="AP8" s="23">
        <f>AF8-AT8-AL8</f>
        <v>38474.99</v>
      </c>
      <c r="AQ8" s="23"/>
      <c r="AR8" s="23"/>
      <c r="AS8" s="238">
        <v>2516.39</v>
      </c>
      <c r="AT8" s="238">
        <f>5403.9-AS8</f>
        <v>2887.5099999999998</v>
      </c>
      <c r="AU8" s="27">
        <f>AJ8-AK8-AL8-AT8-AN8-AR8-AM8-AS8-AP8</f>
        <v>-1.4999999984866008E-3</v>
      </c>
      <c r="AV8" s="28">
        <f t="shared" si="13"/>
        <v>46766.39</v>
      </c>
      <c r="AW8" s="28"/>
      <c r="AX8" s="28"/>
      <c r="AY8" s="28">
        <f t="shared" si="14"/>
        <v>13969.180980519481</v>
      </c>
      <c r="AZ8" s="29">
        <f t="shared" si="15"/>
        <v>13361.825285714285</v>
      </c>
      <c r="BA8" s="30">
        <f t="shared" si="16"/>
        <v>27331.006266233766</v>
      </c>
      <c r="BB8" s="31">
        <f t="shared" si="17"/>
        <v>0</v>
      </c>
      <c r="BC8" s="56">
        <f t="shared" si="18"/>
        <v>-1.4999999984866008E-3</v>
      </c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</row>
    <row r="9" spans="1:71" ht="21.75" customHeight="1">
      <c r="A9" s="54" t="s">
        <v>245</v>
      </c>
      <c r="B9" s="228" t="s">
        <v>43</v>
      </c>
      <c r="C9" s="34" t="s">
        <v>40</v>
      </c>
      <c r="D9" s="35" t="s">
        <v>44</v>
      </c>
      <c r="E9" s="35">
        <v>8700</v>
      </c>
      <c r="F9" s="55">
        <v>46113</v>
      </c>
      <c r="G9" s="37">
        <f>E9/4</f>
        <v>2175</v>
      </c>
      <c r="H9" s="38">
        <v>22</v>
      </c>
      <c r="I9" s="39" t="s">
        <v>41</v>
      </c>
      <c r="J9" s="37"/>
      <c r="K9" s="37"/>
      <c r="L9" s="41">
        <v>200</v>
      </c>
      <c r="M9" s="42">
        <f t="shared" si="6"/>
        <v>0</v>
      </c>
      <c r="N9" s="43"/>
      <c r="O9" s="42"/>
      <c r="P9" s="44">
        <f t="shared" si="7"/>
        <v>0</v>
      </c>
      <c r="Q9" s="43"/>
      <c r="R9" s="42"/>
      <c r="S9" s="44">
        <f t="shared" si="8"/>
        <v>0</v>
      </c>
      <c r="T9" s="43"/>
      <c r="U9" s="43"/>
      <c r="V9" s="43"/>
      <c r="W9" s="43"/>
      <c r="X9" s="42"/>
      <c r="Y9" s="44">
        <f t="shared" si="9"/>
        <v>0</v>
      </c>
      <c r="Z9" s="45"/>
      <c r="AA9" s="37"/>
      <c r="AB9" s="37"/>
      <c r="AC9" s="37"/>
      <c r="AD9" s="37">
        <v>13912.46</v>
      </c>
      <c r="AE9" s="45"/>
      <c r="AF9" s="22">
        <f t="shared" ref="AF9:AF10" si="19">M9+P9+S9+V9+Y9+Z9+AE9</f>
        <v>0</v>
      </c>
      <c r="AG9" s="76"/>
      <c r="AH9" s="258">
        <v>616.29</v>
      </c>
      <c r="AI9" s="50"/>
      <c r="AJ9" s="25">
        <f>AG9+AI9+AH9+AD9</f>
        <v>14528.75</v>
      </c>
      <c r="AK9" s="26">
        <f t="shared" si="12"/>
        <v>3341.6125000000002</v>
      </c>
      <c r="AL9" s="84"/>
      <c r="AM9" s="339"/>
      <c r="AN9" s="84">
        <v>11187.13</v>
      </c>
      <c r="AO9" s="48"/>
      <c r="AP9" s="48"/>
      <c r="AQ9" s="48"/>
      <c r="AR9" s="48"/>
      <c r="AS9" s="84"/>
      <c r="AT9" s="84"/>
      <c r="AU9" s="27">
        <f t="shared" ref="AU9:AU10" si="20">AJ9-AK9-AL9-AT9-AN9-AR9-AM9-AS9</f>
        <v>7.5000000015279511E-3</v>
      </c>
      <c r="AV9" s="28">
        <f t="shared" si="13"/>
        <v>11187.13</v>
      </c>
      <c r="AW9" s="28"/>
      <c r="AX9" s="28"/>
      <c r="AY9" s="28">
        <f t="shared" si="14"/>
        <v>3341.6125000000002</v>
      </c>
      <c r="AZ9" s="29">
        <f t="shared" si="15"/>
        <v>3196.3249999999998</v>
      </c>
      <c r="BA9" s="30">
        <f t="shared" si="16"/>
        <v>6537.9375</v>
      </c>
      <c r="BB9" s="31">
        <f t="shared" si="17"/>
        <v>0</v>
      </c>
      <c r="BC9" s="56">
        <f t="shared" si="18"/>
        <v>7.5000000015279511E-3</v>
      </c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</row>
    <row r="10" spans="1:71" ht="21.75" customHeight="1">
      <c r="A10" s="54" t="s">
        <v>148</v>
      </c>
      <c r="B10" s="58" t="s">
        <v>45</v>
      </c>
      <c r="C10" s="59" t="s">
        <v>35</v>
      </c>
      <c r="D10" s="59" t="s">
        <v>46</v>
      </c>
      <c r="E10" s="59">
        <v>8647</v>
      </c>
      <c r="F10" s="60">
        <v>46113</v>
      </c>
      <c r="G10" s="61">
        <f>8647/4</f>
        <v>2161.75</v>
      </c>
      <c r="H10" s="62">
        <v>22</v>
      </c>
      <c r="I10" s="61" t="s">
        <v>41</v>
      </c>
      <c r="J10" s="230"/>
      <c r="K10" s="230"/>
      <c r="L10" s="64">
        <v>250</v>
      </c>
      <c r="M10" s="61">
        <f t="shared" si="6"/>
        <v>0</v>
      </c>
      <c r="N10" s="63"/>
      <c r="O10" s="61"/>
      <c r="P10" s="65">
        <f t="shared" si="7"/>
        <v>0</v>
      </c>
      <c r="Q10" s="63"/>
      <c r="R10" s="61"/>
      <c r="S10" s="65">
        <f t="shared" si="8"/>
        <v>0</v>
      </c>
      <c r="T10" s="63"/>
      <c r="U10" s="63"/>
      <c r="V10" s="63"/>
      <c r="W10" s="63"/>
      <c r="X10" s="61"/>
      <c r="Y10" s="65">
        <f t="shared" si="9"/>
        <v>0</v>
      </c>
      <c r="Z10" s="66"/>
      <c r="AA10" s="61"/>
      <c r="AB10" s="61"/>
      <c r="AC10" s="61"/>
      <c r="AD10" s="61"/>
      <c r="AE10" s="66"/>
      <c r="AF10" s="22">
        <f t="shared" si="19"/>
        <v>0</v>
      </c>
      <c r="AG10" s="23">
        <v>2161.75</v>
      </c>
      <c r="AH10" s="68"/>
      <c r="AI10" s="68"/>
      <c r="AJ10" s="25">
        <f>AG10+AI10+AH10</f>
        <v>2161.75</v>
      </c>
      <c r="AK10" s="26">
        <f t="shared" si="12"/>
        <v>497.20250000000004</v>
      </c>
      <c r="AL10" s="67">
        <v>832.28</v>
      </c>
      <c r="AM10" s="67"/>
      <c r="AN10" s="67"/>
      <c r="AO10" s="67"/>
      <c r="AP10" s="67"/>
      <c r="AQ10" s="67"/>
      <c r="AR10" s="67"/>
      <c r="AS10" s="72"/>
      <c r="AT10" s="67">
        <v>832.26</v>
      </c>
      <c r="AU10" s="27">
        <f t="shared" si="20"/>
        <v>7.4999999999363354E-3</v>
      </c>
      <c r="AV10" s="28">
        <f t="shared" si="13"/>
        <v>1664.54</v>
      </c>
      <c r="AW10" s="28"/>
      <c r="AX10" s="28"/>
      <c r="AY10" s="28">
        <f t="shared" si="14"/>
        <v>497.20250000000004</v>
      </c>
      <c r="AZ10" s="29">
        <f t="shared" si="15"/>
        <v>475.58499999999998</v>
      </c>
      <c r="BA10" s="30">
        <f t="shared" si="16"/>
        <v>972.78750000000002</v>
      </c>
      <c r="BB10" s="31">
        <f t="shared" si="17"/>
        <v>0</v>
      </c>
      <c r="BC10" s="56">
        <f t="shared" si="18"/>
        <v>7.4999999999363354E-3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</row>
    <row r="11" spans="1:71" ht="36" customHeight="1">
      <c r="A11" s="54"/>
      <c r="B11" s="70" t="s">
        <v>47</v>
      </c>
      <c r="C11" s="59" t="s">
        <v>35</v>
      </c>
      <c r="D11" s="13" t="s">
        <v>48</v>
      </c>
      <c r="E11" s="13">
        <v>15000</v>
      </c>
      <c r="F11" s="306">
        <v>1</v>
      </c>
      <c r="G11" s="17">
        <v>15000</v>
      </c>
      <c r="H11" s="16">
        <v>22</v>
      </c>
      <c r="I11" s="61" t="s">
        <v>41</v>
      </c>
      <c r="J11" s="37"/>
      <c r="K11" s="37">
        <v>108</v>
      </c>
      <c r="L11" s="17">
        <v>250</v>
      </c>
      <c r="M11" s="61">
        <f t="shared" si="6"/>
        <v>27000</v>
      </c>
      <c r="N11" s="62">
        <v>18</v>
      </c>
      <c r="O11" s="64">
        <v>120</v>
      </c>
      <c r="P11" s="65">
        <f t="shared" si="7"/>
        <v>2160</v>
      </c>
      <c r="Q11" s="63"/>
      <c r="R11" s="61"/>
      <c r="S11" s="65">
        <f t="shared" si="8"/>
        <v>0</v>
      </c>
      <c r="T11" s="63"/>
      <c r="U11" s="62">
        <v>400</v>
      </c>
      <c r="V11" s="63"/>
      <c r="W11" s="63"/>
      <c r="X11" s="61"/>
      <c r="Y11" s="65">
        <f t="shared" si="9"/>
        <v>0</v>
      </c>
      <c r="Z11" s="238"/>
      <c r="AA11" s="17">
        <v>1948.05</v>
      </c>
      <c r="AB11" s="61"/>
      <c r="AC11" s="61"/>
      <c r="AD11" s="61"/>
      <c r="AE11" s="66"/>
      <c r="AF11" s="22">
        <f>M11+P11+S11+V11+Y11+Z11+AE11+U11</f>
        <v>29560</v>
      </c>
      <c r="AG11" s="23">
        <v>15000</v>
      </c>
      <c r="AH11" s="24"/>
      <c r="AI11" s="24">
        <f>(AP11*100)/77</f>
        <v>23389.610389610389</v>
      </c>
      <c r="AJ11" s="25">
        <f>AG11+AI11+AH11+Z11+AA11</f>
        <v>40337.660389610392</v>
      </c>
      <c r="AK11" s="26">
        <f t="shared" si="12"/>
        <v>9277.6618896103901</v>
      </c>
      <c r="AL11" s="238">
        <v>5775</v>
      </c>
      <c r="AM11" s="20"/>
      <c r="AN11" s="20"/>
      <c r="AO11" s="23"/>
      <c r="AP11" s="67">
        <f>AF11-AT11-AL11</f>
        <v>18010</v>
      </c>
      <c r="AQ11" s="23"/>
      <c r="AR11" s="23"/>
      <c r="AS11" s="238">
        <v>1500</v>
      </c>
      <c r="AT11" s="238">
        <f>7275-AS11</f>
        <v>5775</v>
      </c>
      <c r="AU11" s="27">
        <f>AJ11-AK11-AL11-AT11-AN11-AR11-AM11-AS11-AP11</f>
        <v>-1.4999999984866008E-3</v>
      </c>
      <c r="AV11" s="28">
        <f t="shared" si="13"/>
        <v>31060</v>
      </c>
      <c r="AW11" s="28"/>
      <c r="AX11" s="28"/>
      <c r="AY11" s="28">
        <f t="shared" si="14"/>
        <v>9277.6618896103901</v>
      </c>
      <c r="AZ11" s="29">
        <f t="shared" si="15"/>
        <v>8874.2852857142861</v>
      </c>
      <c r="BA11" s="30">
        <f t="shared" si="16"/>
        <v>18151.947175324676</v>
      </c>
      <c r="BB11" s="31">
        <f t="shared" si="17"/>
        <v>0</v>
      </c>
      <c r="BC11" s="56">
        <f t="shared" si="18"/>
        <v>-1.4999999984866008E-3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</row>
    <row r="12" spans="1:71" ht="33" customHeight="1">
      <c r="A12" s="54" t="s">
        <v>245</v>
      </c>
      <c r="B12" s="228" t="s">
        <v>47</v>
      </c>
      <c r="C12" s="34" t="s">
        <v>40</v>
      </c>
      <c r="D12" s="35" t="s">
        <v>48</v>
      </c>
      <c r="E12" s="35">
        <v>8700</v>
      </c>
      <c r="F12" s="36">
        <v>1</v>
      </c>
      <c r="G12" s="37">
        <v>8700</v>
      </c>
      <c r="H12" s="40">
        <v>22</v>
      </c>
      <c r="I12" s="39" t="s">
        <v>41</v>
      </c>
      <c r="J12" s="37"/>
      <c r="K12" s="37"/>
      <c r="L12" s="41">
        <v>200</v>
      </c>
      <c r="M12" s="42">
        <f t="shared" si="6"/>
        <v>0</v>
      </c>
      <c r="N12" s="43"/>
      <c r="O12" s="42"/>
      <c r="P12" s="44">
        <f t="shared" si="7"/>
        <v>0</v>
      </c>
      <c r="Q12" s="43"/>
      <c r="R12" s="42"/>
      <c r="S12" s="44">
        <f t="shared" si="8"/>
        <v>0</v>
      </c>
      <c r="T12" s="43"/>
      <c r="U12" s="43"/>
      <c r="V12" s="43"/>
      <c r="W12" s="43"/>
      <c r="X12" s="42"/>
      <c r="Y12" s="44">
        <f t="shared" si="9"/>
        <v>0</v>
      </c>
      <c r="Z12" s="307"/>
      <c r="AA12" s="308"/>
      <c r="AB12" s="308"/>
      <c r="AC12" s="39"/>
      <c r="AD12" s="37">
        <v>7143.68</v>
      </c>
      <c r="AE12" s="45"/>
      <c r="AF12" s="22">
        <f t="shared" ref="AF12:AF16" si="21">M12+P12+S12+V12+Y12</f>
        <v>0</v>
      </c>
      <c r="AG12" s="76"/>
      <c r="AH12" s="258">
        <v>790.91</v>
      </c>
      <c r="AI12" s="50"/>
      <c r="AJ12" s="25">
        <f>AG12+AI12+AH12+AD12</f>
        <v>7934.59</v>
      </c>
      <c r="AK12" s="26">
        <f t="shared" si="12"/>
        <v>1824.9557000000002</v>
      </c>
      <c r="AL12" s="84"/>
      <c r="AM12" s="339"/>
      <c r="AN12" s="84">
        <v>6109.63</v>
      </c>
      <c r="AO12" s="48"/>
      <c r="AP12" s="67"/>
      <c r="AQ12" s="48"/>
      <c r="AR12" s="48"/>
      <c r="AS12" s="84"/>
      <c r="AT12" s="84"/>
      <c r="AU12" s="27">
        <f>AJ12-AK12-AL12-AT12-AN12-AR12-AM12-AS12-AO12</f>
        <v>4.2999999996027327E-3</v>
      </c>
      <c r="AV12" s="28">
        <f t="shared" si="13"/>
        <v>6109.63</v>
      </c>
      <c r="AW12" s="28"/>
      <c r="AX12" s="28"/>
      <c r="AY12" s="28">
        <f t="shared" si="14"/>
        <v>1824.9557000000002</v>
      </c>
      <c r="AZ12" s="29">
        <f t="shared" si="15"/>
        <v>1745.6098</v>
      </c>
      <c r="BA12" s="30">
        <f t="shared" si="16"/>
        <v>3570.5655000000002</v>
      </c>
      <c r="BB12" s="31">
        <f t="shared" si="17"/>
        <v>0</v>
      </c>
      <c r="BC12" s="56">
        <f t="shared" si="18"/>
        <v>4.2999999996027327E-3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</row>
    <row r="13" spans="1:71" ht="21.75" customHeight="1">
      <c r="A13" s="54"/>
      <c r="B13" s="70" t="s">
        <v>49</v>
      </c>
      <c r="C13" s="59" t="s">
        <v>35</v>
      </c>
      <c r="D13" s="13" t="s">
        <v>48</v>
      </c>
      <c r="E13" s="13">
        <v>15000</v>
      </c>
      <c r="F13" s="305">
        <v>46054</v>
      </c>
      <c r="G13" s="17">
        <f>E13/2</f>
        <v>7500</v>
      </c>
      <c r="H13" s="16">
        <v>22</v>
      </c>
      <c r="I13" s="15" t="s">
        <v>41</v>
      </c>
      <c r="J13" s="17"/>
      <c r="K13" s="17">
        <v>190</v>
      </c>
      <c r="L13" s="17">
        <v>250</v>
      </c>
      <c r="M13" s="15">
        <f t="shared" si="6"/>
        <v>47500</v>
      </c>
      <c r="N13" s="18">
        <v>2</v>
      </c>
      <c r="O13" s="15">
        <v>1500</v>
      </c>
      <c r="P13" s="19">
        <f t="shared" si="7"/>
        <v>3000</v>
      </c>
      <c r="Q13" s="18"/>
      <c r="R13" s="15"/>
      <c r="S13" s="19">
        <f t="shared" si="8"/>
        <v>0</v>
      </c>
      <c r="T13" s="18"/>
      <c r="U13" s="18"/>
      <c r="V13" s="18"/>
      <c r="W13" s="18"/>
      <c r="X13" s="15"/>
      <c r="Y13" s="19">
        <f t="shared" si="9"/>
        <v>0</v>
      </c>
      <c r="Z13" s="238">
        <v>1320</v>
      </c>
      <c r="AA13" s="17">
        <v>1948.05</v>
      </c>
      <c r="AB13" s="15"/>
      <c r="AC13" s="15"/>
      <c r="AD13" s="17"/>
      <c r="AE13" s="20"/>
      <c r="AF13" s="22">
        <f t="shared" si="21"/>
        <v>50500</v>
      </c>
      <c r="AG13" s="23">
        <v>7500</v>
      </c>
      <c r="AH13" s="24"/>
      <c r="AI13" s="24">
        <f>(AP13*100)/77</f>
        <v>58084.415584415583</v>
      </c>
      <c r="AJ13" s="25">
        <f>AG13+AI13+AH13+Z13+AA13</f>
        <v>68852.465584415579</v>
      </c>
      <c r="AK13" s="26">
        <f t="shared" si="12"/>
        <v>15836.067084415583</v>
      </c>
      <c r="AL13" s="238">
        <v>2887.5</v>
      </c>
      <c r="AM13" s="20"/>
      <c r="AN13" s="20"/>
      <c r="AO13" s="23"/>
      <c r="AP13" s="67">
        <f>AF13-AT13-AL13</f>
        <v>44725</v>
      </c>
      <c r="AQ13" s="23"/>
      <c r="AR13" s="23"/>
      <c r="AS13" s="238">
        <v>2516.4</v>
      </c>
      <c r="AT13" s="238">
        <f>5403.9-AS13</f>
        <v>2887.4999999999995</v>
      </c>
      <c r="AU13" s="27">
        <f>AJ13-AK13-AL13-AT13-AN13-AR13-AM13-AS13-AP13</f>
        <v>-1.5000000057625584E-3</v>
      </c>
      <c r="AV13" s="28">
        <f t="shared" si="13"/>
        <v>53016.4</v>
      </c>
      <c r="AW13" s="28"/>
      <c r="AX13" s="28"/>
      <c r="AY13" s="28">
        <f t="shared" si="14"/>
        <v>15836.067084415583</v>
      </c>
      <c r="AZ13" s="29">
        <f t="shared" si="15"/>
        <v>15147.542428571427</v>
      </c>
      <c r="BA13" s="30">
        <f t="shared" si="16"/>
        <v>30983.609512987008</v>
      </c>
      <c r="BB13" s="31">
        <f t="shared" si="17"/>
        <v>0</v>
      </c>
      <c r="BC13" s="56">
        <f t="shared" si="18"/>
        <v>-1.5000000057625584E-3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</row>
    <row r="14" spans="1:71" ht="21.75" customHeight="1">
      <c r="A14" s="54" t="s">
        <v>245</v>
      </c>
      <c r="B14" s="228" t="s">
        <v>49</v>
      </c>
      <c r="C14" s="34" t="s">
        <v>40</v>
      </c>
      <c r="D14" s="35" t="s">
        <v>48</v>
      </c>
      <c r="E14" s="35">
        <v>8700</v>
      </c>
      <c r="F14" s="55">
        <v>46113</v>
      </c>
      <c r="G14" s="39">
        <f>E14/4</f>
        <v>2175</v>
      </c>
      <c r="H14" s="38">
        <v>22</v>
      </c>
      <c r="I14" s="39" t="s">
        <v>41</v>
      </c>
      <c r="J14" s="37"/>
      <c r="K14" s="37"/>
      <c r="L14" s="41">
        <v>200</v>
      </c>
      <c r="M14" s="42">
        <f t="shared" si="6"/>
        <v>0</v>
      </c>
      <c r="N14" s="43"/>
      <c r="O14" s="42"/>
      <c r="P14" s="44">
        <f t="shared" si="7"/>
        <v>0</v>
      </c>
      <c r="Q14" s="43"/>
      <c r="R14" s="42"/>
      <c r="S14" s="44">
        <f t="shared" si="8"/>
        <v>0</v>
      </c>
      <c r="T14" s="43"/>
      <c r="U14" s="43"/>
      <c r="V14" s="43"/>
      <c r="W14" s="43"/>
      <c r="X14" s="42"/>
      <c r="Y14" s="44">
        <f t="shared" si="9"/>
        <v>0</v>
      </c>
      <c r="Z14" s="152"/>
      <c r="AA14" s="39"/>
      <c r="AB14" s="39"/>
      <c r="AC14" s="39"/>
      <c r="AD14" s="37">
        <v>22080.9</v>
      </c>
      <c r="AE14" s="45"/>
      <c r="AF14" s="22">
        <f t="shared" si="21"/>
        <v>0</v>
      </c>
      <c r="AG14" s="76"/>
      <c r="AH14" s="258">
        <v>363.8</v>
      </c>
      <c r="AI14" s="50"/>
      <c r="AJ14" s="25">
        <f>AG14+AI14+AH14+AD14</f>
        <v>22444.7</v>
      </c>
      <c r="AK14" s="26">
        <f t="shared" si="12"/>
        <v>5162.2809999999999</v>
      </c>
      <c r="AL14" s="84"/>
      <c r="AM14" s="339"/>
      <c r="AN14" s="84">
        <v>17282.41</v>
      </c>
      <c r="AO14" s="48"/>
      <c r="AP14" s="67"/>
      <c r="AQ14" s="48"/>
      <c r="AR14" s="48"/>
      <c r="AS14" s="84"/>
      <c r="AT14" s="84"/>
      <c r="AU14" s="27">
        <f>AJ14-AK14-AL14-AT14-AN14-AR14-AM14-AS14</f>
        <v>9.0000000018335413E-3</v>
      </c>
      <c r="AV14" s="28">
        <f t="shared" si="13"/>
        <v>17282.41</v>
      </c>
      <c r="AW14" s="28"/>
      <c r="AX14" s="28"/>
      <c r="AY14" s="28">
        <f t="shared" si="14"/>
        <v>5162.2809999999999</v>
      </c>
      <c r="AZ14" s="29">
        <f t="shared" si="15"/>
        <v>4937.8339999999998</v>
      </c>
      <c r="BA14" s="30">
        <f t="shared" si="16"/>
        <v>10100.115</v>
      </c>
      <c r="BB14" s="31">
        <f t="shared" si="17"/>
        <v>0</v>
      </c>
      <c r="BC14" s="56">
        <f t="shared" si="18"/>
        <v>9.0000000018335413E-3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</row>
    <row r="15" spans="1:71" ht="27.6">
      <c r="A15" s="54" t="s">
        <v>202</v>
      </c>
      <c r="B15" s="73" t="s">
        <v>51</v>
      </c>
      <c r="C15" s="59" t="s">
        <v>35</v>
      </c>
      <c r="D15" s="74" t="s">
        <v>52</v>
      </c>
      <c r="E15" s="74">
        <v>8647</v>
      </c>
      <c r="F15" s="60">
        <v>46113</v>
      </c>
      <c r="G15" s="61">
        <f>8647/4</f>
        <v>2161.75</v>
      </c>
      <c r="H15" s="62">
        <v>8.41</v>
      </c>
      <c r="I15" s="64" t="s">
        <v>39</v>
      </c>
      <c r="J15" s="231"/>
      <c r="K15" s="232">
        <v>138</v>
      </c>
      <c r="L15" s="64">
        <v>250</v>
      </c>
      <c r="M15" s="61">
        <f t="shared" si="6"/>
        <v>34500</v>
      </c>
      <c r="N15" s="63"/>
      <c r="O15" s="61"/>
      <c r="P15" s="65">
        <f t="shared" si="7"/>
        <v>0</v>
      </c>
      <c r="Q15" s="63"/>
      <c r="R15" s="61"/>
      <c r="S15" s="65">
        <f t="shared" si="8"/>
        <v>0</v>
      </c>
      <c r="T15" s="63"/>
      <c r="U15" s="63"/>
      <c r="V15" s="63"/>
      <c r="W15" s="63"/>
      <c r="X15" s="61"/>
      <c r="Y15" s="65">
        <f t="shared" si="9"/>
        <v>0</v>
      </c>
      <c r="Z15" s="66"/>
      <c r="AA15" s="64"/>
      <c r="AB15" s="64"/>
      <c r="AC15" s="64"/>
      <c r="AD15" s="64"/>
      <c r="AE15" s="66"/>
      <c r="AF15" s="22">
        <f t="shared" si="21"/>
        <v>34500</v>
      </c>
      <c r="AG15" s="67">
        <v>14422.45</v>
      </c>
      <c r="AH15" s="72"/>
      <c r="AI15" s="66">
        <f>(AP15*100)/77</f>
        <v>30382.740259740262</v>
      </c>
      <c r="AJ15" s="25">
        <f>AG15+AI15+AH15</f>
        <v>44805.190259740266</v>
      </c>
      <c r="AK15" s="26">
        <f t="shared" si="12"/>
        <v>10305.193759740261</v>
      </c>
      <c r="AL15" s="67">
        <v>5330.29</v>
      </c>
      <c r="AM15" s="67"/>
      <c r="AN15" s="67"/>
      <c r="AO15" s="67"/>
      <c r="AP15" s="67">
        <f>AF15-AT15-AL15</f>
        <v>23394.71</v>
      </c>
      <c r="AQ15" s="67"/>
      <c r="AR15" s="67"/>
      <c r="AS15" s="72"/>
      <c r="AT15" s="67">
        <v>5775</v>
      </c>
      <c r="AU15" s="27">
        <f>AJ15-AK15-AL15-AT15-AN15-AR15-AM15-AS15-AP15</f>
        <v>-3.4999999916180968E-3</v>
      </c>
      <c r="AV15" s="28">
        <f t="shared" si="13"/>
        <v>34500</v>
      </c>
      <c r="AW15" s="75"/>
      <c r="AX15" s="75"/>
      <c r="AY15" s="75">
        <f t="shared" si="14"/>
        <v>10305.193759740261</v>
      </c>
      <c r="AZ15" s="76">
        <f t="shared" si="15"/>
        <v>3768.1165008441567</v>
      </c>
      <c r="BA15" s="30">
        <f t="shared" si="16"/>
        <v>14073.310260584418</v>
      </c>
      <c r="BB15" s="31">
        <f t="shared" si="17"/>
        <v>0</v>
      </c>
      <c r="BC15" s="56">
        <f t="shared" si="18"/>
        <v>-3.4999999916180968E-3</v>
      </c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</row>
    <row r="16" spans="1:71" ht="27.6">
      <c r="A16" s="54" t="s">
        <v>245</v>
      </c>
      <c r="B16" s="234" t="s">
        <v>51</v>
      </c>
      <c r="C16" s="34" t="s">
        <v>40</v>
      </c>
      <c r="D16" s="77" t="s">
        <v>52</v>
      </c>
      <c r="E16" s="78">
        <v>8700</v>
      </c>
      <c r="F16" s="78">
        <v>1</v>
      </c>
      <c r="G16" s="38">
        <v>8700</v>
      </c>
      <c r="H16" s="40">
        <v>22</v>
      </c>
      <c r="I16" s="39" t="s">
        <v>41</v>
      </c>
      <c r="J16" s="37"/>
      <c r="K16" s="37"/>
      <c r="L16" s="41">
        <v>200</v>
      </c>
      <c r="M16" s="42">
        <f t="shared" si="6"/>
        <v>0</v>
      </c>
      <c r="N16" s="43"/>
      <c r="O16" s="42"/>
      <c r="P16" s="44">
        <f t="shared" si="7"/>
        <v>0</v>
      </c>
      <c r="Q16" s="43"/>
      <c r="R16" s="42"/>
      <c r="S16" s="44">
        <f t="shared" si="8"/>
        <v>0</v>
      </c>
      <c r="T16" s="43"/>
      <c r="U16" s="43"/>
      <c r="V16" s="43"/>
      <c r="W16" s="43"/>
      <c r="X16" s="42"/>
      <c r="Y16" s="44">
        <f t="shared" si="9"/>
        <v>0</v>
      </c>
      <c r="Z16" s="45"/>
      <c r="AA16" s="38"/>
      <c r="AB16" s="38"/>
      <c r="AC16" s="38"/>
      <c r="AD16" s="38">
        <v>8368.2999999999993</v>
      </c>
      <c r="AE16" s="45"/>
      <c r="AF16" s="22">
        <f t="shared" si="21"/>
        <v>0</v>
      </c>
      <c r="AG16" s="76"/>
      <c r="AH16" s="92">
        <v>1186.3599999999999</v>
      </c>
      <c r="AI16" s="50"/>
      <c r="AJ16" s="25">
        <f>AG16+AI16+AH16+AD16</f>
        <v>9554.66</v>
      </c>
      <c r="AK16" s="26">
        <f t="shared" si="12"/>
        <v>2197.5718000000002</v>
      </c>
      <c r="AL16" s="84"/>
      <c r="AM16" s="339"/>
      <c r="AN16" s="84">
        <v>7357.09</v>
      </c>
      <c r="AO16" s="48"/>
      <c r="AP16" s="48"/>
      <c r="AQ16" s="48"/>
      <c r="AR16" s="48"/>
      <c r="AS16" s="84"/>
      <c r="AT16" s="84"/>
      <c r="AU16" s="27">
        <f>AJ16-AK16-AL16-AT16-AN16</f>
        <v>-1.8000000000029104E-3</v>
      </c>
      <c r="AV16" s="28">
        <f t="shared" si="13"/>
        <v>7357.09</v>
      </c>
      <c r="AW16" s="80"/>
      <c r="AX16" s="75"/>
      <c r="AY16" s="75">
        <f t="shared" si="14"/>
        <v>2197.5718000000002</v>
      </c>
      <c r="AZ16" s="76">
        <f t="shared" si="15"/>
        <v>2102.0252</v>
      </c>
      <c r="BA16" s="30">
        <f t="shared" si="16"/>
        <v>4299.5969999999998</v>
      </c>
      <c r="BB16" s="31">
        <f t="shared" si="17"/>
        <v>0</v>
      </c>
      <c r="BC16" s="56">
        <f t="shared" si="18"/>
        <v>-1.8000000000029104E-3</v>
      </c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</row>
    <row r="17" spans="1:71" ht="27.6">
      <c r="A17" s="54"/>
      <c r="B17" s="310" t="s">
        <v>53</v>
      </c>
      <c r="C17" s="59" t="s">
        <v>35</v>
      </c>
      <c r="D17" s="311" t="s">
        <v>48</v>
      </c>
      <c r="E17" s="312">
        <v>15000</v>
      </c>
      <c r="F17" s="312">
        <v>1</v>
      </c>
      <c r="G17" s="313">
        <v>15000</v>
      </c>
      <c r="H17" s="313">
        <v>22</v>
      </c>
      <c r="I17" s="314" t="s">
        <v>41</v>
      </c>
      <c r="J17" s="37"/>
      <c r="K17" s="37">
        <v>168</v>
      </c>
      <c r="L17" s="64">
        <v>250</v>
      </c>
      <c r="M17" s="61">
        <f t="shared" si="6"/>
        <v>42000</v>
      </c>
      <c r="N17" s="62">
        <v>11</v>
      </c>
      <c r="O17" s="64">
        <v>120</v>
      </c>
      <c r="P17" s="65">
        <f t="shared" si="7"/>
        <v>1320</v>
      </c>
      <c r="Q17" s="63"/>
      <c r="R17" s="61"/>
      <c r="S17" s="65">
        <f t="shared" si="8"/>
        <v>0</v>
      </c>
      <c r="T17" s="63"/>
      <c r="U17" s="62">
        <v>800</v>
      </c>
      <c r="V17" s="63"/>
      <c r="W17" s="63"/>
      <c r="X17" s="61"/>
      <c r="Y17" s="65">
        <f t="shared" si="9"/>
        <v>0</v>
      </c>
      <c r="Z17" s="238">
        <v>1320</v>
      </c>
      <c r="AA17" s="17">
        <v>1948.05</v>
      </c>
      <c r="AB17" s="62"/>
      <c r="AC17" s="62"/>
      <c r="AD17" s="62"/>
      <c r="AE17" s="66"/>
      <c r="AF17" s="22">
        <f>M17+P17+S17+V17+Y17+U17</f>
        <v>44120</v>
      </c>
      <c r="AG17" s="23">
        <v>15000</v>
      </c>
      <c r="AH17" s="24"/>
      <c r="AI17" s="23">
        <f>(AP17*100)/77</f>
        <v>42298.688311688311</v>
      </c>
      <c r="AJ17" s="25">
        <f>AG17+AI17+AH17+Z17+AA17</f>
        <v>60566.738311688314</v>
      </c>
      <c r="AK17" s="26">
        <f t="shared" si="12"/>
        <v>13930.349811688313</v>
      </c>
      <c r="AL17" s="238">
        <v>5775</v>
      </c>
      <c r="AM17" s="20"/>
      <c r="AN17" s="20"/>
      <c r="AO17" s="23"/>
      <c r="AP17" s="67">
        <f>AF17-AT17-AL17</f>
        <v>32569.989999999998</v>
      </c>
      <c r="AQ17" s="23"/>
      <c r="AR17" s="23"/>
      <c r="AS17" s="238">
        <v>2516.4</v>
      </c>
      <c r="AT17" s="238">
        <f>8291.4-2516.39</f>
        <v>5775.01</v>
      </c>
      <c r="AU17" s="27">
        <f>AJ17-AK17-AL17-AT17-AN17-AR17-AM17-AS17-AP17</f>
        <v>-1.1500000000523869E-2</v>
      </c>
      <c r="AV17" s="28">
        <f t="shared" si="13"/>
        <v>46636.4</v>
      </c>
      <c r="AW17" s="28"/>
      <c r="AX17" s="28"/>
      <c r="AY17" s="28">
        <f t="shared" si="14"/>
        <v>13930.349811688313</v>
      </c>
      <c r="AZ17" s="29">
        <f t="shared" si="15"/>
        <v>13324.682428571428</v>
      </c>
      <c r="BA17" s="30">
        <f t="shared" si="16"/>
        <v>27255.032240259741</v>
      </c>
      <c r="BB17" s="31">
        <f t="shared" si="17"/>
        <v>0</v>
      </c>
      <c r="BC17" s="56">
        <f t="shared" si="18"/>
        <v>-1.1500000000523869E-2</v>
      </c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 spans="1:71" ht="27.6">
      <c r="A18" s="54" t="s">
        <v>245</v>
      </c>
      <c r="B18" s="235" t="s">
        <v>53</v>
      </c>
      <c r="C18" s="34" t="s">
        <v>40</v>
      </c>
      <c r="D18" s="83" t="s">
        <v>48</v>
      </c>
      <c r="E18" s="78">
        <v>8700</v>
      </c>
      <c r="F18" s="78">
        <v>1</v>
      </c>
      <c r="G18" s="38">
        <v>8700</v>
      </c>
      <c r="H18" s="38">
        <v>22</v>
      </c>
      <c r="I18" s="39" t="s">
        <v>41</v>
      </c>
      <c r="J18" s="37"/>
      <c r="K18" s="37"/>
      <c r="L18" s="41">
        <v>200</v>
      </c>
      <c r="M18" s="42">
        <f t="shared" si="6"/>
        <v>0</v>
      </c>
      <c r="N18" s="43"/>
      <c r="O18" s="42"/>
      <c r="P18" s="44">
        <f t="shared" si="7"/>
        <v>0</v>
      </c>
      <c r="Q18" s="43"/>
      <c r="R18" s="42"/>
      <c r="S18" s="44">
        <f t="shared" si="8"/>
        <v>0</v>
      </c>
      <c r="T18" s="43"/>
      <c r="U18" s="43"/>
      <c r="V18" s="43"/>
      <c r="W18" s="43"/>
      <c r="X18" s="42"/>
      <c r="Y18" s="44">
        <f t="shared" si="9"/>
        <v>0</v>
      </c>
      <c r="Z18" s="45"/>
      <c r="AA18" s="38"/>
      <c r="AB18" s="38"/>
      <c r="AC18" s="38"/>
      <c r="AD18" s="38">
        <v>22282.92</v>
      </c>
      <c r="AE18" s="45"/>
      <c r="AF18" s="22">
        <f t="shared" ref="AF18:AF52" si="22">M18+P18+S18+V18+Y18</f>
        <v>0</v>
      </c>
      <c r="AG18" s="76"/>
      <c r="AH18" s="258">
        <v>669.23</v>
      </c>
      <c r="AI18" s="50"/>
      <c r="AJ18" s="25">
        <f t="shared" ref="AJ18:AJ20" si="23">AG18+AI18+AH18+AD18</f>
        <v>22952.149999999998</v>
      </c>
      <c r="AK18" s="26">
        <f t="shared" si="12"/>
        <v>5278.9944999999998</v>
      </c>
      <c r="AL18" s="84"/>
      <c r="AM18" s="339"/>
      <c r="AN18" s="84">
        <v>17673.150000000001</v>
      </c>
      <c r="AO18" s="48"/>
      <c r="AP18" s="48"/>
      <c r="AQ18" s="48"/>
      <c r="AR18" s="48"/>
      <c r="AS18" s="84"/>
      <c r="AT18" s="84"/>
      <c r="AU18" s="27">
        <f t="shared" ref="AU18:AU20" si="24">AJ18-AK18-AL18-AT18-AN18-AR18-AM18-AS18</f>
        <v>5.4999999956635293E-3</v>
      </c>
      <c r="AV18" s="28">
        <f t="shared" si="13"/>
        <v>17673.150000000001</v>
      </c>
      <c r="AW18" s="28"/>
      <c r="AX18" s="28"/>
      <c r="AY18" s="28">
        <f t="shared" si="14"/>
        <v>5278.9944999999998</v>
      </c>
      <c r="AZ18" s="29">
        <f t="shared" si="15"/>
        <v>5049.473</v>
      </c>
      <c r="BA18" s="30">
        <f t="shared" si="16"/>
        <v>10328.467499999999</v>
      </c>
      <c r="BB18" s="31">
        <f t="shared" si="17"/>
        <v>0</v>
      </c>
      <c r="BC18" s="56">
        <f t="shared" si="18"/>
        <v>5.4999999956635293E-3</v>
      </c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</row>
    <row r="19" spans="1:71" ht="27.6">
      <c r="A19" s="340" t="s">
        <v>243</v>
      </c>
      <c r="B19" s="85" t="s">
        <v>54</v>
      </c>
      <c r="C19" s="59" t="s">
        <v>35</v>
      </c>
      <c r="D19" s="86" t="s">
        <v>55</v>
      </c>
      <c r="E19" s="87">
        <v>8647</v>
      </c>
      <c r="F19" s="60">
        <v>46113</v>
      </c>
      <c r="G19" s="61">
        <f>8647/4</f>
        <v>2161.75</v>
      </c>
      <c r="H19" s="64">
        <v>22</v>
      </c>
      <c r="I19" s="61" t="s">
        <v>41</v>
      </c>
      <c r="J19" s="232"/>
      <c r="K19" s="232"/>
      <c r="L19" s="64">
        <v>200</v>
      </c>
      <c r="M19" s="61">
        <f t="shared" si="6"/>
        <v>0</v>
      </c>
      <c r="N19" s="64"/>
      <c r="O19" s="61"/>
      <c r="P19" s="65">
        <f t="shared" si="7"/>
        <v>0</v>
      </c>
      <c r="Q19" s="62"/>
      <c r="R19" s="61"/>
      <c r="S19" s="65">
        <f t="shared" si="8"/>
        <v>0</v>
      </c>
      <c r="T19" s="63"/>
      <c r="U19" s="63"/>
      <c r="V19" s="63"/>
      <c r="W19" s="63"/>
      <c r="X19" s="61"/>
      <c r="Y19" s="65">
        <f t="shared" si="9"/>
        <v>0</v>
      </c>
      <c r="Z19" s="66"/>
      <c r="AA19" s="61"/>
      <c r="AB19" s="61"/>
      <c r="AC19" s="61"/>
      <c r="AD19" s="64">
        <v>576.48</v>
      </c>
      <c r="AE19" s="66"/>
      <c r="AF19" s="22">
        <f t="shared" si="22"/>
        <v>0</v>
      </c>
      <c r="AG19" s="67">
        <v>7014.7</v>
      </c>
      <c r="AH19" s="66"/>
      <c r="AI19" s="66"/>
      <c r="AJ19" s="25">
        <f t="shared" si="23"/>
        <v>7591.18</v>
      </c>
      <c r="AK19" s="26">
        <f t="shared" si="12"/>
        <v>1745.9714000000001</v>
      </c>
      <c r="AL19" s="67">
        <v>2513.81</v>
      </c>
      <c r="AM19" s="67"/>
      <c r="AN19" s="67">
        <v>3331.4</v>
      </c>
      <c r="AO19" s="67"/>
      <c r="AP19" s="67"/>
      <c r="AQ19" s="67"/>
      <c r="AR19" s="67"/>
      <c r="AS19" s="72"/>
      <c r="AT19" s="67"/>
      <c r="AU19" s="27">
        <f t="shared" si="24"/>
        <v>-1.4000000001033186E-3</v>
      </c>
      <c r="AV19" s="28">
        <f t="shared" si="13"/>
        <v>5845.21</v>
      </c>
      <c r="AW19" s="75"/>
      <c r="AX19" s="75"/>
      <c r="AY19" s="75">
        <f t="shared" si="14"/>
        <v>1745.9714000000001</v>
      </c>
      <c r="AZ19" s="76">
        <f t="shared" si="15"/>
        <v>1670.0596</v>
      </c>
      <c r="BA19" s="30">
        <f t="shared" si="16"/>
        <v>3416.0309999999999</v>
      </c>
      <c r="BB19" s="31">
        <f t="shared" si="17"/>
        <v>0</v>
      </c>
      <c r="BC19" s="56">
        <f t="shared" si="18"/>
        <v>-1.4000000001033186E-3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 spans="1:71" ht="27.6">
      <c r="A20" s="340" t="s">
        <v>245</v>
      </c>
      <c r="B20" s="234" t="s">
        <v>54</v>
      </c>
      <c r="C20" s="34" t="s">
        <v>40</v>
      </c>
      <c r="D20" s="83" t="s">
        <v>55</v>
      </c>
      <c r="E20" s="83">
        <v>8700</v>
      </c>
      <c r="F20" s="88">
        <v>46054</v>
      </c>
      <c r="G20" s="89">
        <f>E20/2</f>
        <v>4350</v>
      </c>
      <c r="H20" s="89">
        <v>22</v>
      </c>
      <c r="I20" s="42" t="s">
        <v>41</v>
      </c>
      <c r="J20" s="90"/>
      <c r="K20" s="90"/>
      <c r="L20" s="41">
        <v>200</v>
      </c>
      <c r="M20" s="42">
        <f t="shared" si="6"/>
        <v>0</v>
      </c>
      <c r="N20" s="43"/>
      <c r="O20" s="42"/>
      <c r="P20" s="44">
        <f t="shared" si="7"/>
        <v>0</v>
      </c>
      <c r="Q20" s="43"/>
      <c r="R20" s="42"/>
      <c r="S20" s="44">
        <f t="shared" si="8"/>
        <v>0</v>
      </c>
      <c r="T20" s="43"/>
      <c r="U20" s="43"/>
      <c r="V20" s="43"/>
      <c r="W20" s="43"/>
      <c r="X20" s="42"/>
      <c r="Y20" s="44">
        <f t="shared" si="9"/>
        <v>0</v>
      </c>
      <c r="Z20" s="45"/>
      <c r="AA20" s="90"/>
      <c r="AB20" s="90"/>
      <c r="AC20" s="90"/>
      <c r="AD20" s="90">
        <v>11852.2</v>
      </c>
      <c r="AE20" s="45"/>
      <c r="AF20" s="22">
        <f t="shared" si="22"/>
        <v>0</v>
      </c>
      <c r="AG20" s="53"/>
      <c r="AH20" s="258">
        <v>519.71</v>
      </c>
      <c r="AI20" s="50"/>
      <c r="AJ20" s="25">
        <f t="shared" si="23"/>
        <v>12371.91</v>
      </c>
      <c r="AK20" s="26">
        <f t="shared" si="12"/>
        <v>2845.5392999999999</v>
      </c>
      <c r="AL20" s="84"/>
      <c r="AM20" s="339"/>
      <c r="AN20" s="84">
        <v>9526.43</v>
      </c>
      <c r="AO20" s="48"/>
      <c r="AP20" s="48"/>
      <c r="AQ20" s="48"/>
      <c r="AR20" s="48"/>
      <c r="AS20" s="84"/>
      <c r="AT20" s="84"/>
      <c r="AU20" s="27">
        <f t="shared" si="24"/>
        <v>-5.9300000000803266E-2</v>
      </c>
      <c r="AV20" s="28">
        <f t="shared" si="13"/>
        <v>9526.43</v>
      </c>
      <c r="AW20" s="28"/>
      <c r="AX20" s="28"/>
      <c r="AY20" s="28">
        <f t="shared" si="14"/>
        <v>2845.5392999999999</v>
      </c>
      <c r="AZ20" s="29">
        <f t="shared" si="15"/>
        <v>2721.8202000000001</v>
      </c>
      <c r="BA20" s="30">
        <f t="shared" si="16"/>
        <v>5567.3595000000005</v>
      </c>
      <c r="BB20" s="31">
        <f t="shared" si="17"/>
        <v>0</v>
      </c>
      <c r="BC20" s="56">
        <f t="shared" si="18"/>
        <v>-5.9300000000803266E-2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 spans="1:71" s="449" customFormat="1" ht="37.799999999999997" customHeight="1">
      <c r="A21" s="422"/>
      <c r="B21" s="423" t="s">
        <v>56</v>
      </c>
      <c r="C21" s="424" t="s">
        <v>35</v>
      </c>
      <c r="D21" s="425"/>
      <c r="E21" s="425"/>
      <c r="F21" s="426"/>
      <c r="G21" s="427"/>
      <c r="H21" s="427"/>
      <c r="I21" s="427"/>
      <c r="J21" s="428"/>
      <c r="K21" s="428">
        <v>127</v>
      </c>
      <c r="L21" s="427">
        <v>250</v>
      </c>
      <c r="M21" s="429">
        <f t="shared" si="6"/>
        <v>31750</v>
      </c>
      <c r="N21" s="430">
        <v>3</v>
      </c>
      <c r="O21" s="427">
        <v>120</v>
      </c>
      <c r="P21" s="431">
        <f t="shared" si="7"/>
        <v>360</v>
      </c>
      <c r="Q21" s="430"/>
      <c r="R21" s="427"/>
      <c r="S21" s="432"/>
      <c r="T21" s="430"/>
      <c r="U21" s="430"/>
      <c r="V21" s="430"/>
      <c r="W21" s="430"/>
      <c r="X21" s="427"/>
      <c r="Y21" s="432"/>
      <c r="Z21" s="433">
        <v>1320</v>
      </c>
      <c r="AA21" s="434">
        <v>1948.05</v>
      </c>
      <c r="AB21" s="427"/>
      <c r="AC21" s="427"/>
      <c r="AD21" s="427"/>
      <c r="AE21" s="435"/>
      <c r="AF21" s="436">
        <f t="shared" si="22"/>
        <v>32110</v>
      </c>
      <c r="AG21" s="437">
        <v>10000.5</v>
      </c>
      <c r="AH21" s="437"/>
      <c r="AI21" s="438">
        <f>(AP21*100)/77</f>
        <v>31700.805194805202</v>
      </c>
      <c r="AJ21" s="439">
        <f>AG21+AI21+AH21+Z21+AA21</f>
        <v>44969.355194805205</v>
      </c>
      <c r="AK21" s="440">
        <f t="shared" si="12"/>
        <v>10342.951694805197</v>
      </c>
      <c r="AL21" s="441">
        <v>3850.19</v>
      </c>
      <c r="AM21" s="441"/>
      <c r="AN21" s="441"/>
      <c r="AO21" s="437"/>
      <c r="AP21" s="323">
        <f>AF21-AL21-AT21</f>
        <v>24409.620000000003</v>
      </c>
      <c r="AQ21" s="437"/>
      <c r="AR21" s="437"/>
      <c r="AS21" s="441">
        <v>2516.4</v>
      </c>
      <c r="AT21" s="441">
        <f>6366.59-AS21</f>
        <v>3850.19</v>
      </c>
      <c r="AU21" s="442">
        <f>AJ21-AK21-AL21-AT21-AN21-AR21-AM21-AS21-AP21</f>
        <v>3.5000000061700121E-3</v>
      </c>
      <c r="AV21" s="443">
        <f>AL21+AM21+AN21+AO21+AP21+AR21+AS21+AT21</f>
        <v>34626.400000000001</v>
      </c>
      <c r="AW21" s="443"/>
      <c r="AX21" s="443"/>
      <c r="AY21" s="443">
        <f t="shared" si="14"/>
        <v>10342.951694805197</v>
      </c>
      <c r="AZ21" s="444">
        <f t="shared" si="15"/>
        <v>0</v>
      </c>
      <c r="BA21" s="445">
        <f t="shared" si="16"/>
        <v>10342.951694805197</v>
      </c>
      <c r="BB21" s="446">
        <f t="shared" si="17"/>
        <v>0</v>
      </c>
      <c r="BC21" s="447">
        <f t="shared" si="18"/>
        <v>3.5000000061700121E-3</v>
      </c>
      <c r="BD21" s="448"/>
      <c r="BE21" s="448"/>
      <c r="BF21" s="448"/>
      <c r="BG21" s="448"/>
      <c r="BH21" s="448"/>
      <c r="BI21" s="448"/>
      <c r="BJ21" s="448"/>
      <c r="BK21" s="448"/>
      <c r="BL21" s="448"/>
      <c r="BM21" s="448"/>
      <c r="BN21" s="448"/>
      <c r="BO21" s="448"/>
      <c r="BP21" s="448"/>
      <c r="BQ21" s="448"/>
      <c r="BR21" s="448"/>
      <c r="BS21" s="448"/>
    </row>
    <row r="22" spans="1:71" ht="30" customHeight="1">
      <c r="A22" s="54" t="s">
        <v>245</v>
      </c>
      <c r="B22" s="236" t="s">
        <v>56</v>
      </c>
      <c r="C22" s="34" t="s">
        <v>40</v>
      </c>
      <c r="D22" s="83" t="s">
        <v>48</v>
      </c>
      <c r="E22" s="83">
        <v>8700</v>
      </c>
      <c r="F22" s="88">
        <v>46115</v>
      </c>
      <c r="G22" s="91">
        <v>8700</v>
      </c>
      <c r="H22" s="89">
        <v>22</v>
      </c>
      <c r="I22" s="42" t="s">
        <v>41</v>
      </c>
      <c r="J22" s="140"/>
      <c r="K22" s="140"/>
      <c r="L22" s="41">
        <v>200</v>
      </c>
      <c r="M22" s="42">
        <f t="shared" si="6"/>
        <v>0</v>
      </c>
      <c r="N22" s="43"/>
      <c r="O22" s="42"/>
      <c r="P22" s="44">
        <f t="shared" si="7"/>
        <v>0</v>
      </c>
      <c r="Q22" s="43"/>
      <c r="R22" s="42"/>
      <c r="S22" s="44">
        <f t="shared" ref="S22:S40" si="25">Q22*R22</f>
        <v>0</v>
      </c>
      <c r="T22" s="43"/>
      <c r="U22" s="43"/>
      <c r="V22" s="43"/>
      <c r="W22" s="43"/>
      <c r="X22" s="42"/>
      <c r="Y22" s="44">
        <f t="shared" ref="Y22:Y40" si="26">W22*X22</f>
        <v>0</v>
      </c>
      <c r="Z22" s="45"/>
      <c r="AA22" s="90"/>
      <c r="AB22" s="90"/>
      <c r="AC22" s="90"/>
      <c r="AD22" s="90">
        <v>7669.68</v>
      </c>
      <c r="AE22" s="45"/>
      <c r="AF22" s="22">
        <f t="shared" si="22"/>
        <v>0</v>
      </c>
      <c r="AG22" s="76"/>
      <c r="AH22" s="258">
        <v>790.91</v>
      </c>
      <c r="AI22" s="50"/>
      <c r="AJ22" s="25">
        <f>AG22+AI22+AH22+AD22</f>
        <v>8460.59</v>
      </c>
      <c r="AK22" s="26">
        <f t="shared" si="12"/>
        <v>1945.9357000000002</v>
      </c>
      <c r="AL22" s="84"/>
      <c r="AM22" s="339"/>
      <c r="AN22" s="84">
        <v>6514.65</v>
      </c>
      <c r="AO22" s="48"/>
      <c r="AP22" s="48"/>
      <c r="AQ22" s="48"/>
      <c r="AR22" s="48"/>
      <c r="AS22" s="84"/>
      <c r="AT22" s="84"/>
      <c r="AU22" s="27">
        <f>AJ22-AK22-AL22-AT22-AN22-AR22-AM22-AS22</f>
        <v>4.3000000005122274E-3</v>
      </c>
      <c r="AV22" s="28">
        <f t="shared" si="13"/>
        <v>6514.65</v>
      </c>
      <c r="AW22" s="28"/>
      <c r="AX22" s="28"/>
      <c r="AY22" s="28">
        <f t="shared" si="14"/>
        <v>1945.9357000000002</v>
      </c>
      <c r="AZ22" s="29">
        <f t="shared" si="15"/>
        <v>1861.3298</v>
      </c>
      <c r="BA22" s="30">
        <f t="shared" si="16"/>
        <v>3807.2655000000004</v>
      </c>
      <c r="BB22" s="31">
        <f t="shared" si="17"/>
        <v>0</v>
      </c>
      <c r="BC22" s="56">
        <f t="shared" si="18"/>
        <v>4.3000000005122274E-3</v>
      </c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spans="1:71" ht="27.6">
      <c r="A23" s="54"/>
      <c r="B23" s="317" t="s">
        <v>57</v>
      </c>
      <c r="C23" s="59" t="s">
        <v>35</v>
      </c>
      <c r="D23" s="306" t="s">
        <v>58</v>
      </c>
      <c r="E23" s="86">
        <v>15000</v>
      </c>
      <c r="F23" s="316">
        <v>46054</v>
      </c>
      <c r="G23" s="63">
        <f>E23/2</f>
        <v>7500</v>
      </c>
      <c r="H23" s="62">
        <v>22</v>
      </c>
      <c r="I23" s="61" t="s">
        <v>41</v>
      </c>
      <c r="J23" s="140"/>
      <c r="K23" s="140">
        <v>172</v>
      </c>
      <c r="L23" s="64">
        <v>250</v>
      </c>
      <c r="M23" s="61">
        <f t="shared" si="6"/>
        <v>43000</v>
      </c>
      <c r="N23" s="63"/>
      <c r="O23" s="61"/>
      <c r="P23" s="65">
        <f t="shared" si="7"/>
        <v>0</v>
      </c>
      <c r="Q23" s="63"/>
      <c r="R23" s="61"/>
      <c r="S23" s="65">
        <f t="shared" si="25"/>
        <v>0</v>
      </c>
      <c r="T23" s="63"/>
      <c r="U23" s="63"/>
      <c r="V23" s="63"/>
      <c r="W23" s="63"/>
      <c r="X23" s="61"/>
      <c r="Y23" s="65">
        <f t="shared" si="26"/>
        <v>0</v>
      </c>
      <c r="Z23" s="66"/>
      <c r="AA23" s="63"/>
      <c r="AB23" s="63"/>
      <c r="AC23" s="63"/>
      <c r="AD23" s="63"/>
      <c r="AE23" s="66"/>
      <c r="AF23" s="22">
        <f t="shared" si="22"/>
        <v>43000</v>
      </c>
      <c r="AG23" s="67">
        <v>7500</v>
      </c>
      <c r="AH23" s="68"/>
      <c r="AI23" s="68">
        <f>(AP23*100)/77</f>
        <v>48344.155844155845</v>
      </c>
      <c r="AJ23" s="25">
        <f>AG23+AI23+AH23</f>
        <v>55844.155844155845</v>
      </c>
      <c r="AK23" s="26">
        <f t="shared" si="12"/>
        <v>12844.155844155845</v>
      </c>
      <c r="AL23" s="72">
        <v>2887.5</v>
      </c>
      <c r="AM23" s="66"/>
      <c r="AN23" s="66"/>
      <c r="AO23" s="67"/>
      <c r="AP23" s="67">
        <f>AF23-AL23-AT23</f>
        <v>37225</v>
      </c>
      <c r="AQ23" s="67"/>
      <c r="AR23" s="67"/>
      <c r="AS23" s="72"/>
      <c r="AT23" s="72">
        <v>2887.5</v>
      </c>
      <c r="AU23" s="27">
        <f>AJ23-AK23-AL23-AT23-AN23-AR23-AM23-AS23-AP23</f>
        <v>0</v>
      </c>
      <c r="AV23" s="28">
        <f t="shared" si="13"/>
        <v>43000</v>
      </c>
      <c r="AW23" s="28"/>
      <c r="AX23" s="28"/>
      <c r="AY23" s="28">
        <f t="shared" si="14"/>
        <v>12844.155844155845</v>
      </c>
      <c r="AZ23" s="29">
        <f t="shared" si="15"/>
        <v>12285.714285714286</v>
      </c>
      <c r="BA23" s="30">
        <f t="shared" si="16"/>
        <v>25129.870129870131</v>
      </c>
      <c r="BB23" s="31">
        <f t="shared" si="17"/>
        <v>0</v>
      </c>
      <c r="BC23" s="56">
        <f t="shared" si="18"/>
        <v>0</v>
      </c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spans="1:71" ht="27.6">
      <c r="A24" s="54" t="s">
        <v>245</v>
      </c>
      <c r="B24" s="237" t="s">
        <v>57</v>
      </c>
      <c r="C24" s="34" t="s">
        <v>40</v>
      </c>
      <c r="D24" s="83" t="s">
        <v>58</v>
      </c>
      <c r="E24" s="83">
        <v>8700</v>
      </c>
      <c r="F24" s="55">
        <v>46113</v>
      </c>
      <c r="G24" s="79">
        <f>E24/4</f>
        <v>2175</v>
      </c>
      <c r="H24" s="89">
        <v>22</v>
      </c>
      <c r="I24" s="42" t="s">
        <v>41</v>
      </c>
      <c r="J24" s="140"/>
      <c r="K24" s="140"/>
      <c r="L24" s="41">
        <v>200</v>
      </c>
      <c r="M24" s="42">
        <f t="shared" si="6"/>
        <v>0</v>
      </c>
      <c r="N24" s="43"/>
      <c r="O24" s="42"/>
      <c r="P24" s="44">
        <f t="shared" si="7"/>
        <v>0</v>
      </c>
      <c r="Q24" s="43"/>
      <c r="R24" s="42"/>
      <c r="S24" s="44">
        <f t="shared" si="25"/>
        <v>0</v>
      </c>
      <c r="T24" s="43"/>
      <c r="U24" s="43"/>
      <c r="V24" s="43"/>
      <c r="W24" s="43"/>
      <c r="X24" s="42"/>
      <c r="Y24" s="44">
        <f t="shared" si="26"/>
        <v>0</v>
      </c>
      <c r="Z24" s="45"/>
      <c r="AA24" s="79"/>
      <c r="AB24" s="79"/>
      <c r="AC24" s="79"/>
      <c r="AD24" s="38">
        <v>18793.060000000001</v>
      </c>
      <c r="AE24" s="45"/>
      <c r="AF24" s="22">
        <f t="shared" si="22"/>
        <v>0</v>
      </c>
      <c r="AG24" s="76"/>
      <c r="AH24" s="258">
        <v>205.43</v>
      </c>
      <c r="AI24" s="50"/>
      <c r="AJ24" s="25">
        <f>AG24+AI24+AH24+AD24</f>
        <v>18998.490000000002</v>
      </c>
      <c r="AK24" s="26">
        <f t="shared" si="12"/>
        <v>4369.6527000000006</v>
      </c>
      <c r="AL24" s="84"/>
      <c r="AM24" s="339"/>
      <c r="AN24" s="84">
        <v>14628.84</v>
      </c>
      <c r="AO24" s="48"/>
      <c r="AP24" s="48"/>
      <c r="AQ24" s="48"/>
      <c r="AR24" s="48"/>
      <c r="AS24" s="84"/>
      <c r="AT24" s="84"/>
      <c r="AU24" s="27">
        <f>AJ24-AK24-AL24-AT24-AN24-AR24-AM24-AS24</f>
        <v>-2.6999999990948709E-3</v>
      </c>
      <c r="AV24" s="28">
        <f t="shared" si="13"/>
        <v>14628.84</v>
      </c>
      <c r="AW24" s="28"/>
      <c r="AX24" s="28"/>
      <c r="AY24" s="28">
        <f t="shared" si="14"/>
        <v>4369.6527000000006</v>
      </c>
      <c r="AZ24" s="29">
        <f t="shared" si="15"/>
        <v>4179.6678000000002</v>
      </c>
      <c r="BA24" s="30">
        <f t="shared" si="16"/>
        <v>8549.3205000000016</v>
      </c>
      <c r="BB24" s="31">
        <f t="shared" si="17"/>
        <v>0</v>
      </c>
      <c r="BC24" s="56">
        <f t="shared" si="18"/>
        <v>-2.6999999990948709E-3</v>
      </c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spans="1:71" ht="13.8">
      <c r="A25" s="54"/>
      <c r="B25" s="93" t="s">
        <v>59</v>
      </c>
      <c r="C25" s="13" t="s">
        <v>35</v>
      </c>
      <c r="D25" s="94" t="s">
        <v>52</v>
      </c>
      <c r="E25" s="94">
        <v>8647</v>
      </c>
      <c r="F25" s="14">
        <v>46113</v>
      </c>
      <c r="G25" s="15">
        <f>8647/4</f>
        <v>2161.75</v>
      </c>
      <c r="H25" s="17">
        <v>22</v>
      </c>
      <c r="I25" s="16" t="s">
        <v>37</v>
      </c>
      <c r="J25" s="40"/>
      <c r="K25" s="40">
        <v>131</v>
      </c>
      <c r="L25" s="17">
        <v>250</v>
      </c>
      <c r="M25" s="15">
        <f t="shared" si="6"/>
        <v>32750</v>
      </c>
      <c r="N25" s="16">
        <v>12</v>
      </c>
      <c r="O25" s="17">
        <v>120</v>
      </c>
      <c r="P25" s="19">
        <f t="shared" si="7"/>
        <v>1440</v>
      </c>
      <c r="Q25" s="18"/>
      <c r="R25" s="15"/>
      <c r="S25" s="19">
        <f t="shared" si="25"/>
        <v>0</v>
      </c>
      <c r="T25" s="18"/>
      <c r="U25" s="18"/>
      <c r="V25" s="18"/>
      <c r="W25" s="18"/>
      <c r="X25" s="15"/>
      <c r="Y25" s="19">
        <f t="shared" si="26"/>
        <v>0</v>
      </c>
      <c r="Z25" s="20"/>
      <c r="AA25" s="21"/>
      <c r="AB25" s="21"/>
      <c r="AC25" s="21"/>
      <c r="AD25" s="21"/>
      <c r="AE25" s="20"/>
      <c r="AF25" s="22">
        <f t="shared" si="22"/>
        <v>34190</v>
      </c>
      <c r="AG25" s="67">
        <v>7014.7</v>
      </c>
      <c r="AH25" s="20"/>
      <c r="AI25" s="20">
        <f>(AP25*100)/77</f>
        <v>37387.909090909088</v>
      </c>
      <c r="AJ25" s="25">
        <f>AG25+AI25+AH25</f>
        <v>44402.609090909085</v>
      </c>
      <c r="AK25" s="26">
        <f t="shared" si="12"/>
        <v>10212.600090909091</v>
      </c>
      <c r="AL25" s="67">
        <v>2513.81</v>
      </c>
      <c r="AM25" s="67"/>
      <c r="AN25" s="67"/>
      <c r="AO25" s="67"/>
      <c r="AP25" s="67">
        <f>AF25-AT25-AL25</f>
        <v>28788.69</v>
      </c>
      <c r="AQ25" s="67"/>
      <c r="AR25" s="67"/>
      <c r="AS25" s="72"/>
      <c r="AT25" s="67">
        <v>2887.5</v>
      </c>
      <c r="AU25" s="27">
        <f>AJ25-AK25-AL25-AT25-AN25-AR25-AM25-AS25-AP25</f>
        <v>8.9999999909196049E-3</v>
      </c>
      <c r="AV25" s="28">
        <f t="shared" si="13"/>
        <v>34190</v>
      </c>
      <c r="AW25" s="28"/>
      <c r="AX25" s="28"/>
      <c r="AY25" s="28">
        <f t="shared" si="14"/>
        <v>10212.600090909091</v>
      </c>
      <c r="AZ25" s="29">
        <f t="shared" si="15"/>
        <v>9768.5739999999987</v>
      </c>
      <c r="BA25" s="30">
        <f t="shared" si="16"/>
        <v>19981.174090909088</v>
      </c>
      <c r="BB25" s="31">
        <f t="shared" si="17"/>
        <v>0</v>
      </c>
      <c r="BC25" s="56">
        <f t="shared" si="18"/>
        <v>8.9999999909196049E-3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spans="1:71" ht="27.6">
      <c r="A26" s="54" t="s">
        <v>214</v>
      </c>
      <c r="B26" s="239" t="s">
        <v>59</v>
      </c>
      <c r="C26" s="34" t="s">
        <v>40</v>
      </c>
      <c r="D26" s="38" t="s">
        <v>58</v>
      </c>
      <c r="E26" s="78">
        <v>8700</v>
      </c>
      <c r="F26" s="88">
        <v>46054</v>
      </c>
      <c r="G26" s="79">
        <f t="shared" ref="G26:G27" si="27">E26/2</f>
        <v>4350</v>
      </c>
      <c r="H26" s="38">
        <v>22</v>
      </c>
      <c r="I26" s="42" t="s">
        <v>41</v>
      </c>
      <c r="J26" s="140"/>
      <c r="K26" s="140"/>
      <c r="L26" s="41">
        <v>200</v>
      </c>
      <c r="M26" s="42">
        <f t="shared" si="6"/>
        <v>0</v>
      </c>
      <c r="N26" s="43"/>
      <c r="O26" s="42"/>
      <c r="P26" s="44">
        <f t="shared" si="7"/>
        <v>0</v>
      </c>
      <c r="Q26" s="43"/>
      <c r="R26" s="42"/>
      <c r="S26" s="44">
        <f t="shared" si="25"/>
        <v>0</v>
      </c>
      <c r="T26" s="43"/>
      <c r="U26" s="43"/>
      <c r="V26" s="43"/>
      <c r="W26" s="43"/>
      <c r="X26" s="42"/>
      <c r="Y26" s="44">
        <f t="shared" si="26"/>
        <v>0</v>
      </c>
      <c r="Z26" s="45"/>
      <c r="AA26" s="38"/>
      <c r="AB26" s="38"/>
      <c r="AC26" s="38"/>
      <c r="AD26" s="38">
        <v>12220.92</v>
      </c>
      <c r="AE26" s="45"/>
      <c r="AF26" s="22">
        <f t="shared" si="22"/>
        <v>0</v>
      </c>
      <c r="AG26" s="29"/>
      <c r="AH26" s="258">
        <v>395.45</v>
      </c>
      <c r="AI26" s="50"/>
      <c r="AJ26" s="25">
        <f>AG26+AI26+AH26+AD26</f>
        <v>12616.37</v>
      </c>
      <c r="AK26" s="26">
        <f t="shared" si="12"/>
        <v>2901.7651000000005</v>
      </c>
      <c r="AL26" s="84"/>
      <c r="AM26" s="339"/>
      <c r="AN26" s="84">
        <v>9714.6</v>
      </c>
      <c r="AO26" s="48"/>
      <c r="AP26" s="48"/>
      <c r="AQ26" s="48"/>
      <c r="AR26" s="48"/>
      <c r="AS26" s="84"/>
      <c r="AT26" s="84"/>
      <c r="AU26" s="27">
        <f>AJ26-AK26-AL26-AT26-AN26-AR26-AM26-AS26</f>
        <v>4.8999999999068677E-3</v>
      </c>
      <c r="AV26" s="28">
        <f t="shared" si="13"/>
        <v>9714.6</v>
      </c>
      <c r="AW26" s="28"/>
      <c r="AX26" s="28"/>
      <c r="AY26" s="28">
        <f t="shared" si="14"/>
        <v>2901.7651000000005</v>
      </c>
      <c r="AZ26" s="29">
        <f t="shared" si="15"/>
        <v>2775.6014</v>
      </c>
      <c r="BA26" s="30">
        <f t="shared" si="16"/>
        <v>5677.3665000000001</v>
      </c>
      <c r="BB26" s="31">
        <f t="shared" si="17"/>
        <v>0</v>
      </c>
      <c r="BC26" s="56">
        <f t="shared" si="18"/>
        <v>4.8999999999068677E-3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ht="27.6">
      <c r="B27" s="318" t="s">
        <v>60</v>
      </c>
      <c r="C27" s="13" t="s">
        <v>35</v>
      </c>
      <c r="D27" s="62" t="s">
        <v>48</v>
      </c>
      <c r="E27" s="86">
        <v>15000</v>
      </c>
      <c r="F27" s="316">
        <v>46054</v>
      </c>
      <c r="G27" s="63">
        <f t="shared" si="27"/>
        <v>7500</v>
      </c>
      <c r="H27" s="62">
        <v>22</v>
      </c>
      <c r="I27" s="61" t="s">
        <v>41</v>
      </c>
      <c r="J27" s="140"/>
      <c r="K27" s="140">
        <v>120</v>
      </c>
      <c r="L27" s="64">
        <v>250</v>
      </c>
      <c r="M27" s="61">
        <f t="shared" si="6"/>
        <v>30000</v>
      </c>
      <c r="N27" s="62">
        <v>8</v>
      </c>
      <c r="O27" s="64">
        <v>120</v>
      </c>
      <c r="P27" s="65">
        <f t="shared" si="7"/>
        <v>960</v>
      </c>
      <c r="Q27" s="63"/>
      <c r="R27" s="61"/>
      <c r="S27" s="65">
        <f t="shared" si="25"/>
        <v>0</v>
      </c>
      <c r="T27" s="63"/>
      <c r="U27" s="63"/>
      <c r="V27" s="63"/>
      <c r="W27" s="63"/>
      <c r="X27" s="61"/>
      <c r="Y27" s="65">
        <f t="shared" si="26"/>
        <v>0</v>
      </c>
      <c r="Z27" s="66"/>
      <c r="AA27" s="62"/>
      <c r="AB27" s="62"/>
      <c r="AC27" s="62"/>
      <c r="AD27" s="63"/>
      <c r="AE27" s="66"/>
      <c r="AF27" s="22">
        <f t="shared" si="22"/>
        <v>30960</v>
      </c>
      <c r="AG27" s="67">
        <v>7500</v>
      </c>
      <c r="AH27" s="68"/>
      <c r="AI27" s="50">
        <f t="shared" ref="AI27:AI29" si="28">(AP27*100)/77</f>
        <v>32707.792207792209</v>
      </c>
      <c r="AJ27" s="25">
        <f>AG27+AI27+AH27</f>
        <v>40207.792207792212</v>
      </c>
      <c r="AK27" s="26">
        <f t="shared" si="12"/>
        <v>9247.7922077922085</v>
      </c>
      <c r="AL27" s="72">
        <v>2887.5</v>
      </c>
      <c r="AM27" s="66"/>
      <c r="AN27" s="66"/>
      <c r="AO27" s="67"/>
      <c r="AP27" s="47">
        <f>AF27-AL27-AT27-AS27</f>
        <v>25185</v>
      </c>
      <c r="AQ27" s="67"/>
      <c r="AR27" s="67"/>
      <c r="AS27" s="72"/>
      <c r="AT27" s="72">
        <v>2887.5</v>
      </c>
      <c r="AU27" s="27">
        <f>AJ27-AK27-AL27-AT27-AN27-AR27-AM27-AS27-AP27</f>
        <v>0</v>
      </c>
      <c r="AV27" s="28">
        <f t="shared" si="13"/>
        <v>30960</v>
      </c>
      <c r="AW27" s="28"/>
      <c r="AX27" s="28"/>
      <c r="AY27" s="28">
        <f t="shared" si="14"/>
        <v>9247.7922077922085</v>
      </c>
      <c r="AZ27" s="29">
        <f t="shared" si="15"/>
        <v>8845.7142857142862</v>
      </c>
      <c r="BA27" s="30">
        <f t="shared" si="16"/>
        <v>18093.506493506495</v>
      </c>
      <c r="BB27" s="31">
        <f t="shared" si="17"/>
        <v>0</v>
      </c>
      <c r="BC27" s="56">
        <f t="shared" si="18"/>
        <v>0</v>
      </c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spans="1:71" ht="27.6">
      <c r="A28" s="54" t="s">
        <v>245</v>
      </c>
      <c r="B28" s="237" t="s">
        <v>60</v>
      </c>
      <c r="C28" s="34" t="s">
        <v>40</v>
      </c>
      <c r="D28" s="38" t="s">
        <v>48</v>
      </c>
      <c r="E28" s="83">
        <v>8700</v>
      </c>
      <c r="F28" s="55">
        <v>46113</v>
      </c>
      <c r="G28" s="79">
        <f>E28/4</f>
        <v>2175</v>
      </c>
      <c r="H28" s="38">
        <v>22</v>
      </c>
      <c r="I28" s="42" t="s">
        <v>41</v>
      </c>
      <c r="J28" s="140"/>
      <c r="K28" s="140"/>
      <c r="L28" s="41">
        <v>200</v>
      </c>
      <c r="M28" s="42">
        <f t="shared" si="6"/>
        <v>0</v>
      </c>
      <c r="N28" s="43"/>
      <c r="O28" s="42"/>
      <c r="P28" s="44">
        <f t="shared" si="7"/>
        <v>0</v>
      </c>
      <c r="Q28" s="43"/>
      <c r="R28" s="42"/>
      <c r="S28" s="44">
        <f t="shared" si="25"/>
        <v>0</v>
      </c>
      <c r="T28" s="43"/>
      <c r="U28" s="43"/>
      <c r="V28" s="43"/>
      <c r="W28" s="43"/>
      <c r="X28" s="42"/>
      <c r="Y28" s="44">
        <f t="shared" si="26"/>
        <v>0</v>
      </c>
      <c r="Z28" s="45"/>
      <c r="AA28" s="38"/>
      <c r="AB28" s="38"/>
      <c r="AC28" s="38"/>
      <c r="AD28" s="38">
        <v>6644.4</v>
      </c>
      <c r="AE28" s="45"/>
      <c r="AF28" s="22">
        <f t="shared" si="22"/>
        <v>0</v>
      </c>
      <c r="AG28" s="29"/>
      <c r="AH28" s="258">
        <v>205.43</v>
      </c>
      <c r="AI28" s="50">
        <f t="shared" si="28"/>
        <v>0</v>
      </c>
      <c r="AJ28" s="25">
        <f>AG28+AI28+AH28+AD28</f>
        <v>6849.83</v>
      </c>
      <c r="AK28" s="26">
        <f t="shared" si="12"/>
        <v>1575.4609</v>
      </c>
      <c r="AL28" s="84"/>
      <c r="AM28" s="339"/>
      <c r="AN28" s="84">
        <v>5274.37</v>
      </c>
      <c r="AO28" s="48"/>
      <c r="AP28" s="48"/>
      <c r="AQ28" s="48"/>
      <c r="AR28" s="48"/>
      <c r="AS28" s="84"/>
      <c r="AT28" s="84"/>
      <c r="AU28" s="27">
        <f>AJ28-AK28-AL28-AT28-AN28-AR28-AM28-AS28</f>
        <v>-9.0000000000145519E-4</v>
      </c>
      <c r="AV28" s="28">
        <f t="shared" si="13"/>
        <v>5274.37</v>
      </c>
      <c r="AW28" s="28"/>
      <c r="AX28" s="28"/>
      <c r="AY28" s="28">
        <f t="shared" si="14"/>
        <v>1575.4609</v>
      </c>
      <c r="AZ28" s="29">
        <f t="shared" si="15"/>
        <v>1506.9626000000001</v>
      </c>
      <c r="BA28" s="30">
        <f t="shared" si="16"/>
        <v>3082.4234999999999</v>
      </c>
      <c r="BB28" s="31">
        <f t="shared" si="17"/>
        <v>0</v>
      </c>
      <c r="BC28" s="56">
        <f t="shared" si="18"/>
        <v>-9.0000000000145519E-4</v>
      </c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ht="27.6">
      <c r="A29" s="54"/>
      <c r="B29" s="319" t="s">
        <v>61</v>
      </c>
      <c r="C29" s="13" t="s">
        <v>35</v>
      </c>
      <c r="D29" s="16" t="s">
        <v>58</v>
      </c>
      <c r="E29" s="306">
        <v>15000</v>
      </c>
      <c r="F29" s="316">
        <v>46054</v>
      </c>
      <c r="G29" s="63">
        <f>E29/2</f>
        <v>7500</v>
      </c>
      <c r="H29" s="62">
        <v>22</v>
      </c>
      <c r="I29" s="61" t="s">
        <v>41</v>
      </c>
      <c r="J29" s="140"/>
      <c r="K29" s="140">
        <v>168</v>
      </c>
      <c r="L29" s="64">
        <v>250</v>
      </c>
      <c r="M29" s="61">
        <f t="shared" si="6"/>
        <v>42000</v>
      </c>
      <c r="N29" s="63"/>
      <c r="O29" s="61"/>
      <c r="P29" s="65">
        <f t="shared" si="7"/>
        <v>0</v>
      </c>
      <c r="Q29" s="63"/>
      <c r="R29" s="61"/>
      <c r="S29" s="65">
        <f t="shared" si="25"/>
        <v>0</v>
      </c>
      <c r="T29" s="63"/>
      <c r="U29" s="63"/>
      <c r="V29" s="63"/>
      <c r="W29" s="63"/>
      <c r="X29" s="61"/>
      <c r="Y29" s="65">
        <f t="shared" si="26"/>
        <v>0</v>
      </c>
      <c r="Z29" s="238">
        <v>1320</v>
      </c>
      <c r="AA29" s="17">
        <v>1948.05</v>
      </c>
      <c r="AB29" s="62"/>
      <c r="AC29" s="62"/>
      <c r="AD29" s="63"/>
      <c r="AE29" s="66"/>
      <c r="AF29" s="22">
        <f t="shared" si="22"/>
        <v>42000</v>
      </c>
      <c r="AG29" s="23">
        <v>7500</v>
      </c>
      <c r="AH29" s="24"/>
      <c r="AI29" s="50">
        <f t="shared" si="28"/>
        <v>54545.454545454544</v>
      </c>
      <c r="AJ29" s="25">
        <f>AG29+AI29+AH29+Z29+AA29</f>
        <v>65313.504545454547</v>
      </c>
      <c r="AK29" s="26">
        <f t="shared" si="12"/>
        <v>15022.106045454546</v>
      </c>
      <c r="AL29" s="72">
        <v>2887.5</v>
      </c>
      <c r="AM29" s="66"/>
      <c r="AN29" s="66"/>
      <c r="AO29" s="67"/>
      <c r="AP29" s="67">
        <f>AF29</f>
        <v>42000</v>
      </c>
      <c r="AQ29" s="67"/>
      <c r="AR29" s="67"/>
      <c r="AS29" s="72">
        <v>2516.4</v>
      </c>
      <c r="AT29" s="72">
        <f>5403.9-AS29</f>
        <v>2887.4999999999995</v>
      </c>
      <c r="AU29" s="27">
        <f>AJ29-AK29-AL29-AT29-AN29-AR29-AM29-AS29-AP29</f>
        <v>-1.4999999984866008E-3</v>
      </c>
      <c r="AV29" s="28">
        <f t="shared" si="13"/>
        <v>50291.4</v>
      </c>
      <c r="AW29" s="28"/>
      <c r="AX29" s="28"/>
      <c r="AY29" s="28">
        <f t="shared" si="14"/>
        <v>15022.106045454546</v>
      </c>
      <c r="AZ29" s="29">
        <f t="shared" si="15"/>
        <v>14368.971</v>
      </c>
      <c r="BA29" s="30">
        <f t="shared" si="16"/>
        <v>29391.077045454545</v>
      </c>
      <c r="BB29" s="31">
        <f t="shared" si="17"/>
        <v>0</v>
      </c>
      <c r="BC29" s="56">
        <f t="shared" si="18"/>
        <v>-1.4999999984866008E-3</v>
      </c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ht="27.6">
      <c r="A30" s="54" t="s">
        <v>214</v>
      </c>
      <c r="B30" s="241" t="s">
        <v>61</v>
      </c>
      <c r="C30" s="34" t="s">
        <v>40</v>
      </c>
      <c r="D30" s="38" t="s">
        <v>58</v>
      </c>
      <c r="E30" s="83">
        <v>8700</v>
      </c>
      <c r="F30" s="55">
        <v>46113</v>
      </c>
      <c r="G30" s="79">
        <f t="shared" ref="G30:G32" si="29">E30/4</f>
        <v>2175</v>
      </c>
      <c r="H30" s="38">
        <v>22</v>
      </c>
      <c r="I30" s="42" t="s">
        <v>41</v>
      </c>
      <c r="J30" s="140"/>
      <c r="K30" s="140"/>
      <c r="L30" s="41">
        <v>200</v>
      </c>
      <c r="M30" s="42">
        <f t="shared" si="6"/>
        <v>0</v>
      </c>
      <c r="N30" s="43"/>
      <c r="O30" s="42"/>
      <c r="P30" s="44">
        <f t="shared" si="7"/>
        <v>0</v>
      </c>
      <c r="Q30" s="43"/>
      <c r="R30" s="42"/>
      <c r="S30" s="44">
        <f t="shared" si="25"/>
        <v>0</v>
      </c>
      <c r="T30" s="43"/>
      <c r="U30" s="43"/>
      <c r="V30" s="43"/>
      <c r="W30" s="43"/>
      <c r="X30" s="42"/>
      <c r="Y30" s="44">
        <f t="shared" si="26"/>
        <v>0</v>
      </c>
      <c r="Z30" s="45"/>
      <c r="AA30" s="38"/>
      <c r="AB30" s="38"/>
      <c r="AC30" s="38"/>
      <c r="AD30" s="38">
        <v>20284.2</v>
      </c>
      <c r="AE30" s="45"/>
      <c r="AF30" s="22">
        <f t="shared" si="22"/>
        <v>0</v>
      </c>
      <c r="AG30" s="29"/>
      <c r="AH30" s="258">
        <v>381.47</v>
      </c>
      <c r="AI30" s="50"/>
      <c r="AJ30" s="25">
        <f t="shared" ref="AJ30:AJ34" si="30">AG30+AI30+AH30+AD30</f>
        <v>20665.670000000002</v>
      </c>
      <c r="AK30" s="26">
        <f t="shared" si="12"/>
        <v>4753.1041000000005</v>
      </c>
      <c r="AL30" s="84"/>
      <c r="AM30" s="339"/>
      <c r="AN30" s="84">
        <v>15912.57</v>
      </c>
      <c r="AO30" s="48"/>
      <c r="AP30" s="48"/>
      <c r="AQ30" s="48"/>
      <c r="AR30" s="48"/>
      <c r="AS30" s="84"/>
      <c r="AT30" s="84"/>
      <c r="AU30" s="27">
        <f t="shared" ref="AU30:AU31" si="31">AJ30-AK30-AL30-AT30-AN30-AR30-AM30-AS30</f>
        <v>-4.0999999982886948E-3</v>
      </c>
      <c r="AV30" s="28">
        <f t="shared" si="13"/>
        <v>15912.57</v>
      </c>
      <c r="AW30" s="28"/>
      <c r="AX30" s="28"/>
      <c r="AY30" s="28">
        <f t="shared" si="14"/>
        <v>4753.1041000000005</v>
      </c>
      <c r="AZ30" s="29">
        <f t="shared" si="15"/>
        <v>4546.4474</v>
      </c>
      <c r="BA30" s="30">
        <f t="shared" si="16"/>
        <v>9299.5515000000014</v>
      </c>
      <c r="BB30" s="31">
        <f t="shared" si="17"/>
        <v>0</v>
      </c>
      <c r="BC30" s="56">
        <f t="shared" si="18"/>
        <v>-4.0999999982886948E-3</v>
      </c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ht="27.6">
      <c r="A31" s="54"/>
      <c r="B31" s="315" t="s">
        <v>246</v>
      </c>
      <c r="C31" s="13" t="s">
        <v>35</v>
      </c>
      <c r="D31" s="62" t="s">
        <v>80</v>
      </c>
      <c r="E31" s="74">
        <v>15000</v>
      </c>
      <c r="F31" s="60">
        <v>46113</v>
      </c>
      <c r="G31" s="61">
        <f t="shared" si="29"/>
        <v>3750</v>
      </c>
      <c r="H31" s="62">
        <v>22</v>
      </c>
      <c r="I31" s="64" t="s">
        <v>41</v>
      </c>
      <c r="J31" s="96"/>
      <c r="K31" s="62">
        <v>3</v>
      </c>
      <c r="L31" s="64">
        <v>250</v>
      </c>
      <c r="M31" s="61">
        <f t="shared" si="6"/>
        <v>750</v>
      </c>
      <c r="N31" s="63"/>
      <c r="O31" s="61"/>
      <c r="P31" s="65">
        <f t="shared" si="7"/>
        <v>0</v>
      </c>
      <c r="Q31" s="63"/>
      <c r="R31" s="61"/>
      <c r="S31" s="65">
        <f t="shared" si="25"/>
        <v>0</v>
      </c>
      <c r="T31" s="63"/>
      <c r="U31" s="63"/>
      <c r="V31" s="63"/>
      <c r="W31" s="63"/>
      <c r="X31" s="61"/>
      <c r="Y31" s="65">
        <f t="shared" si="26"/>
        <v>0</v>
      </c>
      <c r="Z31" s="66"/>
      <c r="AA31" s="96"/>
      <c r="AB31" s="96"/>
      <c r="AC31" s="96"/>
      <c r="AD31" s="62"/>
      <c r="AE31" s="66"/>
      <c r="AF31" s="22">
        <f t="shared" si="22"/>
        <v>750</v>
      </c>
      <c r="AG31" s="67">
        <v>3750</v>
      </c>
      <c r="AH31" s="66"/>
      <c r="AI31" s="66"/>
      <c r="AJ31" s="25">
        <f t="shared" si="30"/>
        <v>3750</v>
      </c>
      <c r="AK31" s="26">
        <f t="shared" si="12"/>
        <v>862.5</v>
      </c>
      <c r="AL31" s="23">
        <v>1443.75</v>
      </c>
      <c r="AM31" s="67"/>
      <c r="AN31" s="67"/>
      <c r="AO31" s="67"/>
      <c r="AP31" s="67"/>
      <c r="AQ31" s="67"/>
      <c r="AR31" s="67"/>
      <c r="AS31" s="72"/>
      <c r="AT31" s="67">
        <v>1443.75</v>
      </c>
      <c r="AU31" s="27">
        <f t="shared" si="31"/>
        <v>0</v>
      </c>
      <c r="AV31" s="28">
        <f t="shared" si="13"/>
        <v>2887.5</v>
      </c>
      <c r="AW31" s="28"/>
      <c r="AX31" s="28"/>
      <c r="AY31" s="28">
        <f t="shared" si="14"/>
        <v>862.5</v>
      </c>
      <c r="AZ31" s="29">
        <f t="shared" si="15"/>
        <v>825</v>
      </c>
      <c r="BA31" s="30">
        <f t="shared" si="16"/>
        <v>1687.5</v>
      </c>
      <c r="BB31" s="31">
        <f t="shared" si="17"/>
        <v>0</v>
      </c>
      <c r="BC31" s="56">
        <f t="shared" si="18"/>
        <v>0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ht="27.6">
      <c r="A32" s="54"/>
      <c r="B32" s="315" t="s">
        <v>247</v>
      </c>
      <c r="C32" s="13" t="s">
        <v>35</v>
      </c>
      <c r="D32" s="62" t="s">
        <v>248</v>
      </c>
      <c r="E32" s="74">
        <v>15000</v>
      </c>
      <c r="F32" s="60">
        <v>46113</v>
      </c>
      <c r="G32" s="61">
        <f t="shared" si="29"/>
        <v>3750</v>
      </c>
      <c r="H32" s="62">
        <v>22</v>
      </c>
      <c r="I32" s="64" t="s">
        <v>41</v>
      </c>
      <c r="J32" s="96"/>
      <c r="K32" s="62">
        <v>39</v>
      </c>
      <c r="L32" s="64">
        <v>250</v>
      </c>
      <c r="M32" s="61">
        <f t="shared" si="6"/>
        <v>9750</v>
      </c>
      <c r="N32" s="63"/>
      <c r="O32" s="61"/>
      <c r="P32" s="65">
        <f t="shared" si="7"/>
        <v>0</v>
      </c>
      <c r="Q32" s="63"/>
      <c r="R32" s="61"/>
      <c r="S32" s="65">
        <f t="shared" si="25"/>
        <v>0</v>
      </c>
      <c r="T32" s="63"/>
      <c r="U32" s="63"/>
      <c r="V32" s="63"/>
      <c r="W32" s="62">
        <v>22</v>
      </c>
      <c r="X32" s="64">
        <v>160</v>
      </c>
      <c r="Y32" s="65">
        <f t="shared" si="26"/>
        <v>3520</v>
      </c>
      <c r="Z32" s="66"/>
      <c r="AA32" s="96"/>
      <c r="AB32" s="96"/>
      <c r="AC32" s="96"/>
      <c r="AD32" s="62"/>
      <c r="AE32" s="66"/>
      <c r="AF32" s="22">
        <f t="shared" si="22"/>
        <v>13270</v>
      </c>
      <c r="AG32" s="67">
        <v>2897.73</v>
      </c>
      <c r="AH32" s="50">
        <f>(AQ32*100)/77</f>
        <v>4571.4285714285716</v>
      </c>
      <c r="AI32" s="50">
        <f>(AP32*100)/77</f>
        <v>14336.038961038961</v>
      </c>
      <c r="AJ32" s="25">
        <f t="shared" si="30"/>
        <v>21805.197532467533</v>
      </c>
      <c r="AK32" s="26">
        <f t="shared" si="12"/>
        <v>5015.1954324675326</v>
      </c>
      <c r="AL32" s="23">
        <v>787.5</v>
      </c>
      <c r="AM32" s="67"/>
      <c r="AN32" s="67"/>
      <c r="AO32" s="67"/>
      <c r="AP32" s="47">
        <f>AF32-AL32-AT32</f>
        <v>11038.75</v>
      </c>
      <c r="AQ32" s="67">
        <f>Y32</f>
        <v>3520</v>
      </c>
      <c r="AR32" s="67"/>
      <c r="AS32" s="72"/>
      <c r="AT32" s="67">
        <v>1443.75</v>
      </c>
      <c r="AU32" s="27">
        <f>AJ32-AK32-AL32-AT32-AN32-AR32-AM32-AS32-AP32-AQ32</f>
        <v>2.1000000015192199E-3</v>
      </c>
      <c r="AV32" s="28">
        <f>AL32+AM32+AN32+AO32+AP32+AR32+AS32+AT32+AQ32</f>
        <v>16790</v>
      </c>
      <c r="AW32" s="28"/>
      <c r="AX32" s="28"/>
      <c r="AY32" s="28">
        <f t="shared" si="14"/>
        <v>5015.1954324675326</v>
      </c>
      <c r="AZ32" s="29">
        <f t="shared" si="15"/>
        <v>4797.1434571428572</v>
      </c>
      <c r="BA32" s="30">
        <f t="shared" si="16"/>
        <v>9812.3388896103897</v>
      </c>
      <c r="BB32" s="31">
        <f t="shared" si="17"/>
        <v>0</v>
      </c>
      <c r="BC32" s="56">
        <f t="shared" si="18"/>
        <v>2.1000000015192199E-3</v>
      </c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spans="1:71" ht="27.6">
      <c r="A33" s="54"/>
      <c r="B33" s="315" t="s">
        <v>249</v>
      </c>
      <c r="C33" s="13" t="s">
        <v>35</v>
      </c>
      <c r="D33" s="13" t="s">
        <v>36</v>
      </c>
      <c r="E33" s="306">
        <v>15000</v>
      </c>
      <c r="F33" s="316">
        <v>46054</v>
      </c>
      <c r="G33" s="63">
        <f>E33/2</f>
        <v>7500</v>
      </c>
      <c r="H33" s="62">
        <v>22</v>
      </c>
      <c r="I33" s="61" t="s">
        <v>41</v>
      </c>
      <c r="J33" s="96"/>
      <c r="K33" s="96"/>
      <c r="L33" s="64">
        <v>200</v>
      </c>
      <c r="M33" s="61">
        <f t="shared" si="6"/>
        <v>0</v>
      </c>
      <c r="N33" s="63"/>
      <c r="O33" s="61"/>
      <c r="P33" s="65">
        <f t="shared" si="7"/>
        <v>0</v>
      </c>
      <c r="Q33" s="63"/>
      <c r="R33" s="61"/>
      <c r="S33" s="65">
        <f t="shared" si="25"/>
        <v>0</v>
      </c>
      <c r="T33" s="63"/>
      <c r="U33" s="63"/>
      <c r="V33" s="63"/>
      <c r="W33" s="63"/>
      <c r="X33" s="61"/>
      <c r="Y33" s="65">
        <f t="shared" si="26"/>
        <v>0</v>
      </c>
      <c r="Z33" s="66"/>
      <c r="AA33" s="96"/>
      <c r="AB33" s="96"/>
      <c r="AC33" s="96"/>
      <c r="AD33" s="62"/>
      <c r="AE33" s="66"/>
      <c r="AF33" s="22">
        <f t="shared" si="22"/>
        <v>0</v>
      </c>
      <c r="AG33" s="67">
        <v>681.82</v>
      </c>
      <c r="AH33" s="66"/>
      <c r="AI33" s="66"/>
      <c r="AJ33" s="25">
        <f t="shared" si="30"/>
        <v>681.82</v>
      </c>
      <c r="AK33" s="26">
        <f t="shared" si="12"/>
        <v>156.81860000000003</v>
      </c>
      <c r="AL33" s="67"/>
      <c r="AM33" s="67"/>
      <c r="AN33" s="67"/>
      <c r="AO33" s="67"/>
      <c r="AP33" s="67"/>
      <c r="AQ33" s="67"/>
      <c r="AR33" s="67"/>
      <c r="AS33" s="72"/>
      <c r="AT33" s="67">
        <v>525</v>
      </c>
      <c r="AU33" s="27">
        <f t="shared" ref="AU33:AU44" si="32">AJ33-AK33-AL33-AT33-AN33-AR33-AM33-AS33</f>
        <v>1.3999999999896318E-3</v>
      </c>
      <c r="AV33" s="28">
        <f>AL33+AM33+AN33+AO33+AP33+AR33+AS33+AT33</f>
        <v>525</v>
      </c>
      <c r="AW33" s="28"/>
      <c r="AX33" s="28"/>
      <c r="AY33" s="28">
        <f t="shared" si="14"/>
        <v>156.81860000000003</v>
      </c>
      <c r="AZ33" s="29">
        <f t="shared" si="15"/>
        <v>150.00040000000001</v>
      </c>
      <c r="BA33" s="30">
        <f t="shared" si="16"/>
        <v>306.81900000000007</v>
      </c>
      <c r="BB33" s="31">
        <f t="shared" si="17"/>
        <v>0</v>
      </c>
      <c r="BC33" s="56">
        <f t="shared" si="18"/>
        <v>1.3999999999896318E-3</v>
      </c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spans="1:71" ht="13.8">
      <c r="A34" s="54" t="s">
        <v>244</v>
      </c>
      <c r="B34" s="81" t="s">
        <v>62</v>
      </c>
      <c r="C34" s="59" t="s">
        <v>35</v>
      </c>
      <c r="D34" s="62" t="s">
        <v>63</v>
      </c>
      <c r="E34" s="62">
        <v>8647</v>
      </c>
      <c r="F34" s="60">
        <v>46113</v>
      </c>
      <c r="G34" s="61">
        <f>8647/4</f>
        <v>2161.75</v>
      </c>
      <c r="H34" s="62">
        <v>22</v>
      </c>
      <c r="I34" s="62" t="s">
        <v>37</v>
      </c>
      <c r="J34" s="96"/>
      <c r="K34" s="96"/>
      <c r="L34" s="64">
        <v>200</v>
      </c>
      <c r="M34" s="61">
        <f t="shared" si="6"/>
        <v>0</v>
      </c>
      <c r="N34" s="63"/>
      <c r="O34" s="61"/>
      <c r="P34" s="65">
        <f t="shared" si="7"/>
        <v>0</v>
      </c>
      <c r="Q34" s="63"/>
      <c r="R34" s="61"/>
      <c r="S34" s="65">
        <f t="shared" si="25"/>
        <v>0</v>
      </c>
      <c r="T34" s="63"/>
      <c r="U34" s="63"/>
      <c r="V34" s="63"/>
      <c r="W34" s="63"/>
      <c r="X34" s="61"/>
      <c r="Y34" s="65">
        <f t="shared" si="26"/>
        <v>0</v>
      </c>
      <c r="Z34" s="66"/>
      <c r="AA34" s="96"/>
      <c r="AB34" s="96"/>
      <c r="AC34" s="96"/>
      <c r="AD34" s="62">
        <v>9191</v>
      </c>
      <c r="AE34" s="66"/>
      <c r="AF34" s="22">
        <f t="shared" si="22"/>
        <v>0</v>
      </c>
      <c r="AG34" s="67">
        <v>3832.88</v>
      </c>
      <c r="AH34" s="66"/>
      <c r="AI34" s="66"/>
      <c r="AJ34" s="25">
        <f t="shared" si="30"/>
        <v>13023.880000000001</v>
      </c>
      <c r="AK34" s="26">
        <f t="shared" si="12"/>
        <v>2995.4924000000005</v>
      </c>
      <c r="AL34" s="48"/>
      <c r="AM34" s="48"/>
      <c r="AN34" s="48">
        <v>10028.39</v>
      </c>
      <c r="AO34" s="48"/>
      <c r="AP34" s="48"/>
      <c r="AQ34" s="48"/>
      <c r="AR34" s="48"/>
      <c r="AS34" s="84"/>
      <c r="AT34" s="48"/>
      <c r="AU34" s="27">
        <f t="shared" si="32"/>
        <v>-2.3999999993975507E-3</v>
      </c>
      <c r="AV34" s="28">
        <f t="shared" ref="AV34:AV35" si="33">AL34+AM34+AN34+AR34+AS34+AT34</f>
        <v>10028.39</v>
      </c>
      <c r="AW34" s="28"/>
      <c r="AX34" s="28"/>
      <c r="AY34" s="28">
        <f t="shared" si="14"/>
        <v>2995.4924000000005</v>
      </c>
      <c r="AZ34" s="29">
        <f t="shared" si="15"/>
        <v>2865.2536000000005</v>
      </c>
      <c r="BA34" s="30">
        <f t="shared" si="16"/>
        <v>5860.746000000001</v>
      </c>
      <c r="BB34" s="31">
        <f t="shared" si="17"/>
        <v>0</v>
      </c>
      <c r="BC34" s="56">
        <f t="shared" si="18"/>
        <v>-2.3999999993975507E-3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 spans="1:71" ht="27.6">
      <c r="A35" s="54" t="s">
        <v>245</v>
      </c>
      <c r="B35" s="242" t="s">
        <v>62</v>
      </c>
      <c r="C35" s="34" t="s">
        <v>40</v>
      </c>
      <c r="D35" s="38" t="s">
        <v>63</v>
      </c>
      <c r="E35" s="38">
        <v>8700</v>
      </c>
      <c r="F35" s="36">
        <v>1</v>
      </c>
      <c r="G35" s="37">
        <v>8700</v>
      </c>
      <c r="H35" s="38">
        <v>22</v>
      </c>
      <c r="I35" s="42" t="s">
        <v>41</v>
      </c>
      <c r="J35" s="90">
        <v>13500</v>
      </c>
      <c r="K35" s="243"/>
      <c r="L35" s="41">
        <v>200</v>
      </c>
      <c r="M35" s="42">
        <f t="shared" si="6"/>
        <v>0</v>
      </c>
      <c r="N35" s="43"/>
      <c r="O35" s="42"/>
      <c r="P35" s="44">
        <f t="shared" si="7"/>
        <v>0</v>
      </c>
      <c r="Q35" s="43"/>
      <c r="R35" s="42"/>
      <c r="S35" s="44">
        <f t="shared" si="25"/>
        <v>0</v>
      </c>
      <c r="T35" s="43"/>
      <c r="U35" s="43"/>
      <c r="V35" s="43"/>
      <c r="W35" s="43"/>
      <c r="X35" s="42"/>
      <c r="Y35" s="44">
        <f t="shared" si="26"/>
        <v>0</v>
      </c>
      <c r="Z35" s="45"/>
      <c r="AA35" s="51"/>
      <c r="AB35" s="51"/>
      <c r="AC35" s="84"/>
      <c r="AD35" s="38">
        <v>4296.96</v>
      </c>
      <c r="AE35" s="45"/>
      <c r="AF35" s="22">
        <f t="shared" si="22"/>
        <v>0</v>
      </c>
      <c r="AG35" s="29"/>
      <c r="AH35" s="92">
        <v>696.42</v>
      </c>
      <c r="AI35" s="45"/>
      <c r="AJ35" s="25">
        <f>AG35+AI35+AH35+AC35+AD35</f>
        <v>4993.38</v>
      </c>
      <c r="AK35" s="26">
        <f t="shared" si="12"/>
        <v>1148.4774</v>
      </c>
      <c r="AL35" s="270"/>
      <c r="AM35" s="341"/>
      <c r="AN35" s="48">
        <v>3844.9</v>
      </c>
      <c r="AO35" s="48"/>
      <c r="AP35" s="48"/>
      <c r="AQ35" s="48"/>
      <c r="AR35" s="48"/>
      <c r="AS35" s="84"/>
      <c r="AT35" s="270"/>
      <c r="AU35" s="27">
        <f t="shared" si="32"/>
        <v>2.6000000002568413E-3</v>
      </c>
      <c r="AV35" s="28">
        <f t="shared" si="33"/>
        <v>3844.9</v>
      </c>
      <c r="AW35" s="28"/>
      <c r="AX35" s="28"/>
      <c r="AY35" s="28">
        <f t="shared" si="14"/>
        <v>1148.4774</v>
      </c>
      <c r="AZ35" s="29">
        <f t="shared" si="15"/>
        <v>1098.5436</v>
      </c>
      <c r="BA35" s="30">
        <f t="shared" si="16"/>
        <v>2247.0209999999997</v>
      </c>
      <c r="BB35" s="31">
        <f t="shared" si="17"/>
        <v>0</v>
      </c>
      <c r="BC35" s="56">
        <f t="shared" si="18"/>
        <v>2.6000000002568413E-3</v>
      </c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 spans="1:71" ht="13.8">
      <c r="A36" s="54" t="s">
        <v>244</v>
      </c>
      <c r="B36" s="99" t="s">
        <v>64</v>
      </c>
      <c r="C36" s="59" t="s">
        <v>35</v>
      </c>
      <c r="D36" s="62" t="s">
        <v>63</v>
      </c>
      <c r="E36" s="62">
        <v>8647</v>
      </c>
      <c r="F36" s="60">
        <v>46113</v>
      </c>
      <c r="G36" s="64">
        <v>786.09</v>
      </c>
      <c r="H36" s="62">
        <v>22</v>
      </c>
      <c r="I36" s="62" t="s">
        <v>37</v>
      </c>
      <c r="J36" s="244">
        <v>1665</v>
      </c>
      <c r="K36" s="244"/>
      <c r="L36" s="64">
        <v>200</v>
      </c>
      <c r="M36" s="61">
        <f t="shared" si="6"/>
        <v>0</v>
      </c>
      <c r="N36" s="63"/>
      <c r="O36" s="61"/>
      <c r="P36" s="65">
        <f t="shared" si="7"/>
        <v>0</v>
      </c>
      <c r="Q36" s="63"/>
      <c r="R36" s="61"/>
      <c r="S36" s="65">
        <f t="shared" si="25"/>
        <v>0</v>
      </c>
      <c r="T36" s="63"/>
      <c r="U36" s="63"/>
      <c r="V36" s="63"/>
      <c r="W36" s="63"/>
      <c r="X36" s="61"/>
      <c r="Y36" s="65">
        <f t="shared" si="26"/>
        <v>0</v>
      </c>
      <c r="Z36" s="66"/>
      <c r="AA36" s="62"/>
      <c r="AB36" s="62"/>
      <c r="AC36" s="62"/>
      <c r="AD36" s="62">
        <v>439.68</v>
      </c>
      <c r="AE36" s="66"/>
      <c r="AF36" s="22">
        <f t="shared" si="22"/>
        <v>0</v>
      </c>
      <c r="AG36" s="67">
        <v>1080.8800000000001</v>
      </c>
      <c r="AH36" s="66"/>
      <c r="AI36" s="66"/>
      <c r="AJ36" s="25">
        <f>AG36+AI36+AH36+AD36</f>
        <v>1520.5600000000002</v>
      </c>
      <c r="AK36" s="26">
        <f t="shared" si="12"/>
        <v>349.72880000000004</v>
      </c>
      <c r="AL36" s="48"/>
      <c r="AM36" s="48"/>
      <c r="AN36" s="48">
        <v>1170</v>
      </c>
      <c r="AO36" s="48"/>
      <c r="AP36" s="48"/>
      <c r="AQ36" s="48"/>
      <c r="AR36" s="48"/>
      <c r="AS36" s="84"/>
      <c r="AT36" s="48"/>
      <c r="AU36" s="27">
        <f t="shared" si="32"/>
        <v>0.83120000000008076</v>
      </c>
      <c r="AV36" s="28">
        <f>AL36+AM36+AN36+AR36+AS36+AT36+AO36+AP36</f>
        <v>1170</v>
      </c>
      <c r="AW36" s="28"/>
      <c r="AX36" s="28"/>
      <c r="AY36" s="28">
        <f t="shared" si="14"/>
        <v>349.72880000000004</v>
      </c>
      <c r="AZ36" s="29">
        <f t="shared" si="15"/>
        <v>334.52320000000003</v>
      </c>
      <c r="BA36" s="30">
        <f t="shared" si="16"/>
        <v>684.25200000000007</v>
      </c>
      <c r="BB36" s="31">
        <f t="shared" si="17"/>
        <v>0</v>
      </c>
      <c r="BC36" s="56">
        <f t="shared" si="18"/>
        <v>0.83120000000008076</v>
      </c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</row>
    <row r="37" spans="1:71" ht="13.8">
      <c r="A37" s="54" t="s">
        <v>203</v>
      </c>
      <c r="B37" s="81" t="s">
        <v>65</v>
      </c>
      <c r="C37" s="59" t="s">
        <v>35</v>
      </c>
      <c r="D37" s="62" t="s">
        <v>63</v>
      </c>
      <c r="E37" s="82">
        <v>8650</v>
      </c>
      <c r="F37" s="74">
        <v>1</v>
      </c>
      <c r="G37" s="62">
        <v>8647</v>
      </c>
      <c r="H37" s="62">
        <v>8.41</v>
      </c>
      <c r="I37" s="62" t="s">
        <v>37</v>
      </c>
      <c r="J37" s="244">
        <v>13500</v>
      </c>
      <c r="K37" s="233"/>
      <c r="L37" s="64">
        <v>200</v>
      </c>
      <c r="M37" s="61">
        <f t="shared" si="6"/>
        <v>0</v>
      </c>
      <c r="N37" s="63"/>
      <c r="O37" s="61"/>
      <c r="P37" s="65">
        <f t="shared" si="7"/>
        <v>0</v>
      </c>
      <c r="Q37" s="63"/>
      <c r="R37" s="61"/>
      <c r="S37" s="65">
        <f t="shared" si="25"/>
        <v>0</v>
      </c>
      <c r="T37" s="63"/>
      <c r="U37" s="63"/>
      <c r="V37" s="63"/>
      <c r="W37" s="63"/>
      <c r="X37" s="61"/>
      <c r="Y37" s="65">
        <f t="shared" si="26"/>
        <v>0</v>
      </c>
      <c r="Z37" s="66"/>
      <c r="AA37" s="96"/>
      <c r="AB37" s="96"/>
      <c r="AC37" s="62">
        <v>8186</v>
      </c>
      <c r="AD37" s="96"/>
      <c r="AE37" s="66"/>
      <c r="AF37" s="22">
        <f t="shared" si="22"/>
        <v>0</v>
      </c>
      <c r="AG37" s="67">
        <v>8650</v>
      </c>
      <c r="AH37" s="66"/>
      <c r="AI37" s="66"/>
      <c r="AJ37" s="25">
        <f>AG37+AI37+AH37+AC37</f>
        <v>16836</v>
      </c>
      <c r="AK37" s="26">
        <f t="shared" si="12"/>
        <v>3872.28</v>
      </c>
      <c r="AL37" s="67">
        <v>3330.25</v>
      </c>
      <c r="AM37" s="67"/>
      <c r="AN37" s="67"/>
      <c r="AO37" s="67"/>
      <c r="AP37" s="67"/>
      <c r="AQ37" s="67"/>
      <c r="AR37" s="67">
        <v>6303.22</v>
      </c>
      <c r="AS37" s="72"/>
      <c r="AT37" s="67">
        <v>3330.25</v>
      </c>
      <c r="AU37" s="27">
        <f t="shared" si="32"/>
        <v>-9.0949470177292824E-13</v>
      </c>
      <c r="AV37" s="28">
        <f>AL37+AM37+AN37+AR37+AS37+AT37</f>
        <v>12963.720000000001</v>
      </c>
      <c r="AW37" s="28"/>
      <c r="AX37" s="28"/>
      <c r="AY37" s="28">
        <f t="shared" si="14"/>
        <v>3872.28</v>
      </c>
      <c r="AZ37" s="29">
        <f t="shared" ref="AZ37:AZ57" si="34">AJ37*H37%</f>
        <v>1415.9076000000002</v>
      </c>
      <c r="BA37" s="30">
        <f t="shared" si="16"/>
        <v>5288.1876000000002</v>
      </c>
      <c r="BB37" s="31">
        <f t="shared" si="17"/>
        <v>0</v>
      </c>
      <c r="BC37" s="56">
        <f t="shared" si="18"/>
        <v>0</v>
      </c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</row>
    <row r="38" spans="1:71" ht="27.6">
      <c r="A38" s="54" t="s">
        <v>245</v>
      </c>
      <c r="B38" s="242" t="s">
        <v>65</v>
      </c>
      <c r="C38" s="34" t="s">
        <v>40</v>
      </c>
      <c r="D38" s="38" t="s">
        <v>63</v>
      </c>
      <c r="E38" s="38">
        <v>8700</v>
      </c>
      <c r="F38" s="36">
        <v>1</v>
      </c>
      <c r="G38" s="37">
        <v>8700</v>
      </c>
      <c r="H38" s="38">
        <v>8.41</v>
      </c>
      <c r="I38" s="42" t="s">
        <v>41</v>
      </c>
      <c r="J38" s="90"/>
      <c r="K38" s="243"/>
      <c r="L38" s="41">
        <v>200</v>
      </c>
      <c r="M38" s="42">
        <f t="shared" si="6"/>
        <v>0</v>
      </c>
      <c r="N38" s="43"/>
      <c r="O38" s="42"/>
      <c r="P38" s="44">
        <f t="shared" si="7"/>
        <v>0</v>
      </c>
      <c r="Q38" s="43"/>
      <c r="R38" s="42"/>
      <c r="S38" s="44">
        <f t="shared" si="25"/>
        <v>0</v>
      </c>
      <c r="T38" s="43"/>
      <c r="U38" s="43"/>
      <c r="V38" s="43"/>
      <c r="W38" s="43"/>
      <c r="X38" s="42"/>
      <c r="Y38" s="44">
        <f t="shared" si="26"/>
        <v>0</v>
      </c>
      <c r="Z38" s="45"/>
      <c r="AA38" s="40"/>
      <c r="AB38" s="40"/>
      <c r="AC38" s="162"/>
      <c r="AD38" s="38">
        <v>4015.2</v>
      </c>
      <c r="AE38" s="45"/>
      <c r="AF38" s="22">
        <f t="shared" si="22"/>
        <v>0</v>
      </c>
      <c r="AG38" s="29"/>
      <c r="AH38" s="92">
        <v>696.42</v>
      </c>
      <c r="AI38" s="45"/>
      <c r="AJ38" s="25">
        <f>AG38+AI38+AH38+AD38</f>
        <v>4711.62</v>
      </c>
      <c r="AK38" s="26">
        <f t="shared" si="12"/>
        <v>1083.6726000000001</v>
      </c>
      <c r="AL38" s="270"/>
      <c r="AM38" s="48"/>
      <c r="AN38" s="48">
        <v>3627.95</v>
      </c>
      <c r="AO38" s="48"/>
      <c r="AP38" s="48"/>
      <c r="AQ38" s="48"/>
      <c r="AR38" s="48"/>
      <c r="AS38" s="84"/>
      <c r="AT38" s="48"/>
      <c r="AU38" s="27">
        <f t="shared" si="32"/>
        <v>-2.599999999802094E-3</v>
      </c>
      <c r="AV38" s="28">
        <f>AL38+AM38+AN38+AR38+AS38</f>
        <v>3627.95</v>
      </c>
      <c r="AW38" s="28"/>
      <c r="AX38" s="28"/>
      <c r="AY38" s="28">
        <f t="shared" si="14"/>
        <v>1083.6726000000001</v>
      </c>
      <c r="AZ38" s="29">
        <f t="shared" si="34"/>
        <v>396.24724200000003</v>
      </c>
      <c r="BA38" s="30">
        <f t="shared" si="16"/>
        <v>1479.9198420000002</v>
      </c>
      <c r="BB38" s="31">
        <f t="shared" si="17"/>
        <v>0</v>
      </c>
      <c r="BC38" s="56">
        <f t="shared" si="18"/>
        <v>-2.599999999802094E-3</v>
      </c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</row>
    <row r="39" spans="1:71" ht="13.8">
      <c r="A39" s="54" t="s">
        <v>204</v>
      </c>
      <c r="B39" s="99" t="s">
        <v>66</v>
      </c>
      <c r="C39" s="59" t="s">
        <v>35</v>
      </c>
      <c r="D39" s="62" t="s">
        <v>63</v>
      </c>
      <c r="E39" s="62">
        <v>8647</v>
      </c>
      <c r="F39" s="60">
        <v>46113</v>
      </c>
      <c r="G39" s="61">
        <f t="shared" ref="G39:G41" si="35">8647/4</f>
        <v>2161.75</v>
      </c>
      <c r="H39" s="62">
        <v>22</v>
      </c>
      <c r="I39" s="62" t="s">
        <v>37</v>
      </c>
      <c r="J39" s="244">
        <v>1665</v>
      </c>
      <c r="K39" s="233"/>
      <c r="L39" s="64">
        <v>200</v>
      </c>
      <c r="M39" s="61">
        <f t="shared" si="6"/>
        <v>0</v>
      </c>
      <c r="N39" s="63"/>
      <c r="O39" s="61"/>
      <c r="P39" s="65">
        <f t="shared" si="7"/>
        <v>0</v>
      </c>
      <c r="Q39" s="63"/>
      <c r="R39" s="61"/>
      <c r="S39" s="65">
        <f t="shared" si="25"/>
        <v>0</v>
      </c>
      <c r="T39" s="63"/>
      <c r="U39" s="63"/>
      <c r="V39" s="63"/>
      <c r="W39" s="63"/>
      <c r="X39" s="61"/>
      <c r="Y39" s="65">
        <f t="shared" si="26"/>
        <v>0</v>
      </c>
      <c r="Z39" s="66"/>
      <c r="AA39" s="96"/>
      <c r="AB39" s="96"/>
      <c r="AC39" s="96"/>
      <c r="AD39" s="96"/>
      <c r="AE39" s="66"/>
      <c r="AF39" s="22">
        <f t="shared" si="22"/>
        <v>0</v>
      </c>
      <c r="AG39" s="67">
        <v>2161.75</v>
      </c>
      <c r="AH39" s="66"/>
      <c r="AI39" s="66"/>
      <c r="AJ39" s="25">
        <f t="shared" ref="AJ39:AJ40" si="36">AG39+AI39+AH39</f>
        <v>2161.75</v>
      </c>
      <c r="AK39" s="26">
        <f t="shared" si="12"/>
        <v>497.20250000000004</v>
      </c>
      <c r="AL39" s="67">
        <v>832.28</v>
      </c>
      <c r="AM39" s="67"/>
      <c r="AN39" s="67"/>
      <c r="AO39" s="67"/>
      <c r="AP39" s="67"/>
      <c r="AQ39" s="67"/>
      <c r="AR39" s="67"/>
      <c r="AS39" s="72"/>
      <c r="AT39" s="67">
        <v>832.26</v>
      </c>
      <c r="AU39" s="27">
        <f t="shared" si="32"/>
        <v>7.4999999999363354E-3</v>
      </c>
      <c r="AV39" s="28">
        <f t="shared" ref="AV39:AV44" si="37">AL39+AM39+AN39+AR39+AS39+AT39</f>
        <v>1664.54</v>
      </c>
      <c r="AW39" s="28"/>
      <c r="AX39" s="28"/>
      <c r="AY39" s="28">
        <f t="shared" si="14"/>
        <v>497.20250000000004</v>
      </c>
      <c r="AZ39" s="29">
        <f t="shared" si="34"/>
        <v>475.58499999999998</v>
      </c>
      <c r="BA39" s="30">
        <f t="shared" si="16"/>
        <v>972.78750000000002</v>
      </c>
      <c r="BB39" s="31">
        <f t="shared" si="17"/>
        <v>0</v>
      </c>
      <c r="BC39" s="56">
        <f t="shared" si="18"/>
        <v>7.4999999999363354E-3</v>
      </c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</row>
    <row r="40" spans="1:71" ht="13.8">
      <c r="A40" s="57">
        <f>A39+1</f>
        <v>22</v>
      </c>
      <c r="B40" s="99" t="s">
        <v>67</v>
      </c>
      <c r="C40" s="59" t="s">
        <v>35</v>
      </c>
      <c r="D40" s="62" t="s">
        <v>63</v>
      </c>
      <c r="E40" s="62">
        <v>8647</v>
      </c>
      <c r="F40" s="60">
        <v>46113</v>
      </c>
      <c r="G40" s="61">
        <f t="shared" si="35"/>
        <v>2161.75</v>
      </c>
      <c r="H40" s="62">
        <v>8.41</v>
      </c>
      <c r="I40" s="62" t="s">
        <v>37</v>
      </c>
      <c r="J40" s="244">
        <v>1665</v>
      </c>
      <c r="K40" s="233"/>
      <c r="L40" s="64">
        <v>200</v>
      </c>
      <c r="M40" s="61">
        <f t="shared" si="6"/>
        <v>0</v>
      </c>
      <c r="N40" s="63"/>
      <c r="O40" s="61"/>
      <c r="P40" s="65">
        <f t="shared" si="7"/>
        <v>0</v>
      </c>
      <c r="Q40" s="63"/>
      <c r="R40" s="61"/>
      <c r="S40" s="65">
        <f t="shared" si="25"/>
        <v>0</v>
      </c>
      <c r="T40" s="63"/>
      <c r="U40" s="63"/>
      <c r="V40" s="63"/>
      <c r="W40" s="63"/>
      <c r="X40" s="61"/>
      <c r="Y40" s="65">
        <f t="shared" si="26"/>
        <v>0</v>
      </c>
      <c r="Z40" s="66"/>
      <c r="AA40" s="96"/>
      <c r="AB40" s="96"/>
      <c r="AC40" s="96"/>
      <c r="AD40" s="96"/>
      <c r="AE40" s="66"/>
      <c r="AF40" s="22">
        <f t="shared" si="22"/>
        <v>0</v>
      </c>
      <c r="AG40" s="67">
        <v>2161.75</v>
      </c>
      <c r="AH40" s="66"/>
      <c r="AI40" s="66"/>
      <c r="AJ40" s="25">
        <f t="shared" si="36"/>
        <v>2161.75</v>
      </c>
      <c r="AK40" s="26">
        <f t="shared" si="12"/>
        <v>497.20250000000004</v>
      </c>
      <c r="AL40" s="67">
        <v>832.28</v>
      </c>
      <c r="AM40" s="67"/>
      <c r="AN40" s="67"/>
      <c r="AO40" s="67"/>
      <c r="AP40" s="67"/>
      <c r="AQ40" s="67"/>
      <c r="AR40" s="67"/>
      <c r="AS40" s="72"/>
      <c r="AT40" s="67">
        <v>832.26</v>
      </c>
      <c r="AU40" s="27">
        <f t="shared" si="32"/>
        <v>7.4999999999363354E-3</v>
      </c>
      <c r="AV40" s="28">
        <f t="shared" si="37"/>
        <v>1664.54</v>
      </c>
      <c r="AW40" s="28"/>
      <c r="AX40" s="28"/>
      <c r="AY40" s="28">
        <f t="shared" si="14"/>
        <v>497.20250000000004</v>
      </c>
      <c r="AZ40" s="29">
        <f t="shared" si="34"/>
        <v>181.80317500000001</v>
      </c>
      <c r="BA40" s="30">
        <f t="shared" si="16"/>
        <v>679.00567500000011</v>
      </c>
      <c r="BB40" s="31">
        <f t="shared" si="17"/>
        <v>0</v>
      </c>
      <c r="BC40" s="56">
        <f t="shared" si="18"/>
        <v>7.4999999999363354E-3</v>
      </c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</row>
    <row r="41" spans="1:71" ht="27.6">
      <c r="A41" s="54" t="s">
        <v>250</v>
      </c>
      <c r="B41" s="317" t="s">
        <v>68</v>
      </c>
      <c r="C41" s="59" t="s">
        <v>35</v>
      </c>
      <c r="D41" s="62" t="s">
        <v>63</v>
      </c>
      <c r="E41" s="16">
        <v>10000</v>
      </c>
      <c r="F41" s="60">
        <v>46113</v>
      </c>
      <c r="G41" s="61">
        <f t="shared" si="35"/>
        <v>2161.75</v>
      </c>
      <c r="H41" s="16">
        <v>22</v>
      </c>
      <c r="I41" s="17" t="s">
        <v>41</v>
      </c>
      <c r="J41" s="90"/>
      <c r="K41" s="243"/>
      <c r="L41" s="17"/>
      <c r="M41" s="15"/>
      <c r="N41" s="18"/>
      <c r="O41" s="15"/>
      <c r="P41" s="19"/>
      <c r="Q41" s="18"/>
      <c r="R41" s="15"/>
      <c r="S41" s="19"/>
      <c r="T41" s="18"/>
      <c r="U41" s="18"/>
      <c r="V41" s="18"/>
      <c r="W41" s="18"/>
      <c r="X41" s="15"/>
      <c r="Y41" s="19"/>
      <c r="Z41" s="20"/>
      <c r="AA41" s="16"/>
      <c r="AB41" s="16"/>
      <c r="AC41" s="16"/>
      <c r="AD41" s="16">
        <v>410.96</v>
      </c>
      <c r="AE41" s="20"/>
      <c r="AF41" s="22">
        <f t="shared" si="22"/>
        <v>0</v>
      </c>
      <c r="AG41" s="23">
        <v>5454.54</v>
      </c>
      <c r="AH41" s="23"/>
      <c r="AI41" s="20"/>
      <c r="AJ41" s="25">
        <f>AG41+AI41+AH41+AD41</f>
        <v>5865.5</v>
      </c>
      <c r="AK41" s="26">
        <f t="shared" si="12"/>
        <v>1349.0650000000001</v>
      </c>
      <c r="AL41" s="270">
        <v>763.29</v>
      </c>
      <c r="AM41" s="48"/>
      <c r="AN41" s="48">
        <v>3753.14</v>
      </c>
      <c r="AO41" s="48"/>
      <c r="AP41" s="48"/>
      <c r="AQ41" s="48"/>
      <c r="AR41" s="48"/>
      <c r="AS41" s="84"/>
      <c r="AT41" s="48"/>
      <c r="AU41" s="27">
        <f t="shared" si="32"/>
        <v>4.999999999654392E-3</v>
      </c>
      <c r="AV41" s="28">
        <f t="shared" si="37"/>
        <v>4516.43</v>
      </c>
      <c r="AW41" s="28"/>
      <c r="AX41" s="28"/>
      <c r="AY41" s="28">
        <f t="shared" si="14"/>
        <v>1349.0650000000001</v>
      </c>
      <c r="AZ41" s="29">
        <f t="shared" si="34"/>
        <v>1290.4100000000001</v>
      </c>
      <c r="BA41" s="30">
        <f t="shared" si="16"/>
        <v>2639.4750000000004</v>
      </c>
      <c r="BB41" s="31">
        <f t="shared" si="17"/>
        <v>0</v>
      </c>
      <c r="BC41" s="56">
        <f t="shared" si="18"/>
        <v>4.9999999991996447E-3</v>
      </c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</row>
    <row r="42" spans="1:71" ht="27.6">
      <c r="A42" s="54" t="s">
        <v>245</v>
      </c>
      <c r="B42" s="245" t="s">
        <v>68</v>
      </c>
      <c r="C42" s="34" t="s">
        <v>40</v>
      </c>
      <c r="D42" s="38" t="s">
        <v>63</v>
      </c>
      <c r="E42" s="38">
        <v>8700</v>
      </c>
      <c r="F42" s="36">
        <v>1</v>
      </c>
      <c r="G42" s="37">
        <v>8700</v>
      </c>
      <c r="H42" s="38">
        <v>22</v>
      </c>
      <c r="I42" s="42" t="s">
        <v>41</v>
      </c>
      <c r="J42" s="90">
        <v>13500</v>
      </c>
      <c r="K42" s="243"/>
      <c r="L42" s="41">
        <v>200</v>
      </c>
      <c r="M42" s="42">
        <f>K42*L42</f>
        <v>0</v>
      </c>
      <c r="N42" s="43"/>
      <c r="O42" s="42"/>
      <c r="P42" s="44">
        <f t="shared" ref="P42:P43" si="38">N42*O42</f>
        <v>0</v>
      </c>
      <c r="Q42" s="43"/>
      <c r="R42" s="42"/>
      <c r="S42" s="44">
        <f t="shared" ref="S42:S43" si="39">Q42*R42</f>
        <v>0</v>
      </c>
      <c r="T42" s="43"/>
      <c r="U42" s="43"/>
      <c r="V42" s="43"/>
      <c r="W42" s="43"/>
      <c r="X42" s="42"/>
      <c r="Y42" s="44">
        <f t="shared" ref="Y42:Y43" si="40">W42*X42</f>
        <v>0</v>
      </c>
      <c r="Z42" s="45"/>
      <c r="AA42" s="40"/>
      <c r="AB42" s="40"/>
      <c r="AC42" s="162"/>
      <c r="AD42" s="38">
        <v>4257.12</v>
      </c>
      <c r="AE42" s="45"/>
      <c r="AF42" s="22">
        <f t="shared" si="22"/>
        <v>0</v>
      </c>
      <c r="AG42" s="29"/>
      <c r="AH42" s="92">
        <v>696.42</v>
      </c>
      <c r="AI42" s="45"/>
      <c r="AJ42" s="25">
        <f>AG42+AI42+AH42+AC42+AD42</f>
        <v>4953.54</v>
      </c>
      <c r="AK42" s="26">
        <f t="shared" si="12"/>
        <v>1139.3142</v>
      </c>
      <c r="AL42" s="270"/>
      <c r="AM42" s="48"/>
      <c r="AN42" s="48">
        <v>3814.22</v>
      </c>
      <c r="AO42" s="48"/>
      <c r="AP42" s="48"/>
      <c r="AQ42" s="48"/>
      <c r="AR42" s="48"/>
      <c r="AS42" s="84"/>
      <c r="AT42" s="48">
        <v>2776</v>
      </c>
      <c r="AU42" s="27">
        <f t="shared" si="32"/>
        <v>-2775.9941999999996</v>
      </c>
      <c r="AV42" s="28">
        <f t="shared" si="37"/>
        <v>6590.2199999999993</v>
      </c>
      <c r="AW42" s="28"/>
      <c r="AX42" s="28"/>
      <c r="AY42" s="28">
        <f t="shared" si="14"/>
        <v>1139.3142</v>
      </c>
      <c r="AZ42" s="29">
        <f t="shared" si="34"/>
        <v>1089.7788</v>
      </c>
      <c r="BA42" s="30">
        <f t="shared" si="16"/>
        <v>2229.0929999999998</v>
      </c>
      <c r="BB42" s="31">
        <f t="shared" si="17"/>
        <v>0</v>
      </c>
      <c r="BC42" s="56">
        <f t="shared" si="18"/>
        <v>-2775.9941999999992</v>
      </c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</row>
    <row r="43" spans="1:71" ht="13.8">
      <c r="A43" s="57"/>
      <c r="B43" s="100" t="s">
        <v>69</v>
      </c>
      <c r="C43" s="59" t="s">
        <v>35</v>
      </c>
      <c r="D43" s="62" t="s">
        <v>63</v>
      </c>
      <c r="E43" s="62">
        <v>8647</v>
      </c>
      <c r="F43" s="60">
        <v>46113</v>
      </c>
      <c r="G43" s="61">
        <f t="shared" ref="G43:G44" si="41">8647/4</f>
        <v>2161.75</v>
      </c>
      <c r="H43" s="62">
        <v>22</v>
      </c>
      <c r="I43" s="62" t="s">
        <v>37</v>
      </c>
      <c r="J43" s="62"/>
      <c r="K43" s="62"/>
      <c r="L43" s="64">
        <v>250</v>
      </c>
      <c r="M43" s="61">
        <f>K43*L43</f>
        <v>0</v>
      </c>
      <c r="N43" s="63"/>
      <c r="O43" s="61"/>
      <c r="P43" s="65">
        <f t="shared" si="38"/>
        <v>0</v>
      </c>
      <c r="Q43" s="63"/>
      <c r="R43" s="61"/>
      <c r="S43" s="65">
        <f t="shared" si="39"/>
        <v>0</v>
      </c>
      <c r="T43" s="63"/>
      <c r="U43" s="63"/>
      <c r="V43" s="63"/>
      <c r="W43" s="63"/>
      <c r="X43" s="61"/>
      <c r="Y43" s="65">
        <f t="shared" si="40"/>
        <v>0</v>
      </c>
      <c r="Z43" s="66"/>
      <c r="AA43" s="96"/>
      <c r="AB43" s="96"/>
      <c r="AC43" s="96"/>
      <c r="AD43" s="96"/>
      <c r="AE43" s="66"/>
      <c r="AF43" s="22">
        <f t="shared" si="22"/>
        <v>0</v>
      </c>
      <c r="AG43" s="67">
        <v>2161.75</v>
      </c>
      <c r="AH43" s="66"/>
      <c r="AI43" s="66">
        <f>(AP43*100)/77</f>
        <v>0</v>
      </c>
      <c r="AJ43" s="25">
        <f t="shared" ref="AJ43:AJ44" si="42">AG43+AI43+AH43</f>
        <v>2161.75</v>
      </c>
      <c r="AK43" s="26">
        <f t="shared" si="12"/>
        <v>497.20250000000004</v>
      </c>
      <c r="AL43" s="67">
        <v>832.28</v>
      </c>
      <c r="AM43" s="67"/>
      <c r="AN43" s="67"/>
      <c r="AO43" s="67"/>
      <c r="AP43" s="67"/>
      <c r="AQ43" s="67"/>
      <c r="AR43" s="67"/>
      <c r="AS43" s="72"/>
      <c r="AT43" s="67">
        <v>832.26</v>
      </c>
      <c r="AU43" s="27">
        <f t="shared" si="32"/>
        <v>7.4999999999363354E-3</v>
      </c>
      <c r="AV43" s="28">
        <f t="shared" si="37"/>
        <v>1664.54</v>
      </c>
      <c r="AW43" s="28"/>
      <c r="AX43" s="28"/>
      <c r="AY43" s="28">
        <f t="shared" si="14"/>
        <v>497.20250000000004</v>
      </c>
      <c r="AZ43" s="29">
        <f t="shared" si="34"/>
        <v>475.58499999999998</v>
      </c>
      <c r="BA43" s="30">
        <f t="shared" si="16"/>
        <v>972.78750000000002</v>
      </c>
      <c r="BB43" s="31">
        <f t="shared" si="17"/>
        <v>0</v>
      </c>
      <c r="BC43" s="56">
        <f t="shared" si="18"/>
        <v>7.4999999999363354E-3</v>
      </c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</row>
    <row r="44" spans="1:71" ht="13.8">
      <c r="A44" s="57"/>
      <c r="B44" s="246" t="s">
        <v>251</v>
      </c>
      <c r="C44" s="59" t="s">
        <v>35</v>
      </c>
      <c r="D44" s="62" t="s">
        <v>63</v>
      </c>
      <c r="E44" s="62">
        <v>8647</v>
      </c>
      <c r="F44" s="60">
        <v>46113</v>
      </c>
      <c r="G44" s="61">
        <f t="shared" si="41"/>
        <v>2161.75</v>
      </c>
      <c r="H44" s="62">
        <v>22</v>
      </c>
      <c r="I44" s="62" t="s">
        <v>37</v>
      </c>
      <c r="J44" s="64"/>
      <c r="K44" s="342"/>
      <c r="L44" s="64"/>
      <c r="M44" s="61"/>
      <c r="N44" s="63"/>
      <c r="O44" s="61"/>
      <c r="P44" s="65"/>
      <c r="Q44" s="63"/>
      <c r="R44" s="61"/>
      <c r="S44" s="65"/>
      <c r="T44" s="63"/>
      <c r="U44" s="63"/>
      <c r="V44" s="63"/>
      <c r="W44" s="63"/>
      <c r="X44" s="61"/>
      <c r="Y44" s="65"/>
      <c r="Z44" s="66"/>
      <c r="AA44" s="343"/>
      <c r="AB44" s="343"/>
      <c r="AC44" s="247"/>
      <c r="AD44" s="62"/>
      <c r="AE44" s="66"/>
      <c r="AF44" s="22">
        <f t="shared" si="22"/>
        <v>0</v>
      </c>
      <c r="AG44" s="69">
        <v>2500</v>
      </c>
      <c r="AH44" s="92"/>
      <c r="AI44" s="45"/>
      <c r="AJ44" s="25">
        <f t="shared" si="42"/>
        <v>2500</v>
      </c>
      <c r="AK44" s="26">
        <f t="shared" si="12"/>
        <v>575</v>
      </c>
      <c r="AL44" s="344">
        <v>962.5</v>
      </c>
      <c r="AM44" s="53"/>
      <c r="AN44" s="53"/>
      <c r="AO44" s="53"/>
      <c r="AP44" s="53"/>
      <c r="AQ44" s="53"/>
      <c r="AR44" s="53"/>
      <c r="AS44" s="51"/>
      <c r="AT44" s="53">
        <v>962.5</v>
      </c>
      <c r="AU44" s="27">
        <f t="shared" si="32"/>
        <v>0</v>
      </c>
      <c r="AV44" s="28">
        <f t="shared" si="37"/>
        <v>1925</v>
      </c>
      <c r="AW44" s="28"/>
      <c r="AX44" s="28"/>
      <c r="AY44" s="28">
        <f t="shared" si="14"/>
        <v>575</v>
      </c>
      <c r="AZ44" s="29">
        <f t="shared" si="34"/>
        <v>550</v>
      </c>
      <c r="BA44" s="30">
        <f t="shared" si="16"/>
        <v>1125</v>
      </c>
      <c r="BB44" s="31">
        <f t="shared" si="17"/>
        <v>0</v>
      </c>
      <c r="BC44" s="56">
        <f t="shared" si="18"/>
        <v>0</v>
      </c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</row>
    <row r="45" spans="1:71" ht="27.6">
      <c r="A45" s="57"/>
      <c r="B45" s="321" t="s">
        <v>215</v>
      </c>
      <c r="C45" s="13" t="s">
        <v>35</v>
      </c>
      <c r="D45" s="16" t="s">
        <v>80</v>
      </c>
      <c r="E45" s="94">
        <v>15000</v>
      </c>
      <c r="F45" s="14">
        <v>46113</v>
      </c>
      <c r="G45" s="16">
        <f t="shared" ref="G45:G46" si="43">E45/4</f>
        <v>3750</v>
      </c>
      <c r="H45" s="16">
        <v>22</v>
      </c>
      <c r="I45" s="15" t="s">
        <v>41</v>
      </c>
      <c r="J45" s="17"/>
      <c r="K45" s="17">
        <v>64</v>
      </c>
      <c r="L45" s="17">
        <v>250</v>
      </c>
      <c r="M45" s="15">
        <f>K45*L45</f>
        <v>16000</v>
      </c>
      <c r="N45" s="18"/>
      <c r="O45" s="15"/>
      <c r="P45" s="19">
        <f>N45*O45</f>
        <v>0</v>
      </c>
      <c r="Q45" s="18"/>
      <c r="R45" s="15"/>
      <c r="S45" s="19">
        <f>Q45*R45</f>
        <v>0</v>
      </c>
      <c r="T45" s="18"/>
      <c r="U45" s="18"/>
      <c r="V45" s="18"/>
      <c r="W45" s="18"/>
      <c r="X45" s="15"/>
      <c r="Y45" s="19">
        <f>W45*X45</f>
        <v>0</v>
      </c>
      <c r="Z45" s="20"/>
      <c r="AA45" s="320">
        <v>1948.05</v>
      </c>
      <c r="AB45" s="320">
        <v>1320</v>
      </c>
      <c r="AC45" s="320"/>
      <c r="AD45" s="16"/>
      <c r="AE45" s="20"/>
      <c r="AF45" s="22">
        <f t="shared" si="22"/>
        <v>16000</v>
      </c>
      <c r="AG45" s="23">
        <v>3750</v>
      </c>
      <c r="AH45" s="20"/>
      <c r="AI45" s="252">
        <f>(AP45*100)/77</f>
        <v>17029.220779220781</v>
      </c>
      <c r="AJ45" s="25">
        <f>AG45+AI45+AH45+AB45+AA45</f>
        <v>24047.27077922078</v>
      </c>
      <c r="AK45" s="26">
        <f t="shared" si="12"/>
        <v>5530.87227922078</v>
      </c>
      <c r="AL45" s="23">
        <v>1443.75</v>
      </c>
      <c r="AM45" s="23"/>
      <c r="AN45" s="23"/>
      <c r="AO45" s="23"/>
      <c r="AP45" s="67">
        <f>AF45-AL45-AT45-AN45</f>
        <v>13112.5</v>
      </c>
      <c r="AQ45" s="23"/>
      <c r="AR45" s="23"/>
      <c r="AS45" s="238">
        <v>2516.4</v>
      </c>
      <c r="AT45" s="23">
        <f>3960.15-AS45</f>
        <v>1443.75</v>
      </c>
      <c r="AU45" s="27">
        <f>AJ45-AK45-AL45-AT45-AN45-AR45-AM45-AS45-AP45</f>
        <v>-1.5000000003055902E-3</v>
      </c>
      <c r="AV45" s="28">
        <f>AL45+AM45+AN45+AR45+AS45+AT45+AP45</f>
        <v>18516.400000000001</v>
      </c>
      <c r="AW45" s="28"/>
      <c r="AX45" s="28"/>
      <c r="AY45" s="28">
        <f t="shared" si="14"/>
        <v>5530.87227922078</v>
      </c>
      <c r="AZ45" s="29">
        <f t="shared" si="34"/>
        <v>5290.399571428572</v>
      </c>
      <c r="BA45" s="30">
        <f t="shared" si="16"/>
        <v>10821.271850649351</v>
      </c>
      <c r="BB45" s="31">
        <f t="shared" si="17"/>
        <v>0</v>
      </c>
      <c r="BC45" s="56">
        <f t="shared" si="18"/>
        <v>-1.5000000021245796E-3</v>
      </c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</row>
    <row r="46" spans="1:71" ht="27.6">
      <c r="A46" s="57"/>
      <c r="B46" s="321" t="s">
        <v>216</v>
      </c>
      <c r="C46" s="13" t="s">
        <v>35</v>
      </c>
      <c r="D46" s="16" t="s">
        <v>217</v>
      </c>
      <c r="E46" s="94">
        <v>8700</v>
      </c>
      <c r="F46" s="14">
        <v>46113</v>
      </c>
      <c r="G46" s="16">
        <f t="shared" si="43"/>
        <v>2175</v>
      </c>
      <c r="H46" s="16">
        <v>22</v>
      </c>
      <c r="I46" s="15" t="s">
        <v>41</v>
      </c>
      <c r="J46" s="17"/>
      <c r="K46" s="33"/>
      <c r="L46" s="15"/>
      <c r="M46" s="15"/>
      <c r="N46" s="18"/>
      <c r="O46" s="15"/>
      <c r="P46" s="19"/>
      <c r="Q46" s="18"/>
      <c r="R46" s="15"/>
      <c r="S46" s="19"/>
      <c r="T46" s="18"/>
      <c r="U46" s="18"/>
      <c r="V46" s="18"/>
      <c r="W46" s="18"/>
      <c r="X46" s="15"/>
      <c r="Y46" s="19"/>
      <c r="Z46" s="20"/>
      <c r="AA46" s="320"/>
      <c r="AB46" s="320"/>
      <c r="AC46" s="320">
        <v>8215</v>
      </c>
      <c r="AD46" s="16"/>
      <c r="AE46" s="20"/>
      <c r="AF46" s="22">
        <f t="shared" si="22"/>
        <v>0</v>
      </c>
      <c r="AG46" s="67">
        <v>2175</v>
      </c>
      <c r="AH46" s="72"/>
      <c r="AI46" s="66"/>
      <c r="AJ46" s="25">
        <f>AG46+AI46+AH46+AC46</f>
        <v>10390</v>
      </c>
      <c r="AK46" s="26">
        <f t="shared" si="12"/>
        <v>2389.7000000000003</v>
      </c>
      <c r="AL46" s="23">
        <v>837.37</v>
      </c>
      <c r="AM46" s="23"/>
      <c r="AN46" s="23"/>
      <c r="AO46" s="23"/>
      <c r="AP46" s="23"/>
      <c r="AQ46" s="23"/>
      <c r="AR46" s="23">
        <v>6325.55</v>
      </c>
      <c r="AS46" s="238"/>
      <c r="AT46" s="23">
        <v>837.38</v>
      </c>
      <c r="AU46" s="27">
        <f>AJ46-AK46-AL46-AT46-AN46-AR46-AM46-AS46</f>
        <v>-9.0949470177292824E-13</v>
      </c>
      <c r="AV46" s="28">
        <f t="shared" ref="AV46:AV47" si="44">AL46+AM46+AN46+AR46+AS46+AT46</f>
        <v>8000.3</v>
      </c>
      <c r="AW46" s="141"/>
      <c r="AX46" s="28"/>
      <c r="AY46" s="28">
        <f t="shared" si="14"/>
        <v>2389.7000000000003</v>
      </c>
      <c r="AZ46" s="29">
        <f t="shared" si="34"/>
        <v>2285.8000000000002</v>
      </c>
      <c r="BA46" s="30">
        <f t="shared" si="16"/>
        <v>4675.5</v>
      </c>
      <c r="BB46" s="31">
        <f t="shared" si="17"/>
        <v>0</v>
      </c>
      <c r="BC46" s="56">
        <f t="shared" si="18"/>
        <v>0</v>
      </c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</row>
    <row r="47" spans="1:71" ht="27.6">
      <c r="A47" s="54" t="s">
        <v>245</v>
      </c>
      <c r="B47" s="248" t="s">
        <v>71</v>
      </c>
      <c r="C47" s="34" t="s">
        <v>40</v>
      </c>
      <c r="D47" s="38" t="s">
        <v>72</v>
      </c>
      <c r="E47" s="38">
        <v>30000</v>
      </c>
      <c r="F47" s="38">
        <v>1</v>
      </c>
      <c r="G47" s="38">
        <v>30000</v>
      </c>
      <c r="H47" s="38">
        <v>22</v>
      </c>
      <c r="I47" s="42" t="s">
        <v>41</v>
      </c>
      <c r="J47" s="90">
        <v>30000</v>
      </c>
      <c r="K47" s="243"/>
      <c r="L47" s="2"/>
      <c r="M47" s="42"/>
      <c r="N47" s="43"/>
      <c r="O47" s="42"/>
      <c r="P47" s="44"/>
      <c r="Q47" s="43"/>
      <c r="R47" s="42"/>
      <c r="S47" s="44"/>
      <c r="T47" s="43"/>
      <c r="U47" s="43"/>
      <c r="V47" s="43"/>
      <c r="W47" s="43"/>
      <c r="X47" s="42"/>
      <c r="Y47" s="44"/>
      <c r="Z47" s="45"/>
      <c r="AA47" s="101"/>
      <c r="AB47" s="101"/>
      <c r="AC47" s="101"/>
      <c r="AD47" s="38">
        <v>8796.56</v>
      </c>
      <c r="AE47" s="45"/>
      <c r="AF47" s="22">
        <f t="shared" si="22"/>
        <v>0</v>
      </c>
      <c r="AG47" s="29"/>
      <c r="AH47" s="275">
        <v>2727.27</v>
      </c>
      <c r="AI47" s="45"/>
      <c r="AJ47" s="25">
        <f>AG47+AI47+AH47+AD47</f>
        <v>11523.83</v>
      </c>
      <c r="AK47" s="26">
        <f t="shared" si="12"/>
        <v>2650.4809</v>
      </c>
      <c r="AL47" s="48"/>
      <c r="AM47" s="48"/>
      <c r="AN47" s="48">
        <v>8873.35</v>
      </c>
      <c r="AO47" s="48"/>
      <c r="AP47" s="48"/>
      <c r="AQ47" s="48"/>
      <c r="AR47" s="48"/>
      <c r="AS47" s="84"/>
      <c r="AT47" s="48"/>
      <c r="AU47" s="27">
        <f>AJ47-AK47-AL47-AT47-AN47-AR47-AM47-AS47-AP47</f>
        <v>-9.0000000091094989E-4</v>
      </c>
      <c r="AV47" s="28">
        <f t="shared" si="44"/>
        <v>8873.35</v>
      </c>
      <c r="AW47" s="28"/>
      <c r="AX47" s="28"/>
      <c r="AY47" s="28">
        <f t="shared" si="14"/>
        <v>2650.4809</v>
      </c>
      <c r="AZ47" s="29">
        <f t="shared" si="34"/>
        <v>2535.2426</v>
      </c>
      <c r="BA47" s="30">
        <f t="shared" si="16"/>
        <v>5185.7235000000001</v>
      </c>
      <c r="BB47" s="31">
        <f t="shared" si="17"/>
        <v>0</v>
      </c>
      <c r="BC47" s="56">
        <f t="shared" si="18"/>
        <v>-9.0000000091094989E-4</v>
      </c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</row>
    <row r="48" spans="1:71" ht="13.8">
      <c r="A48" s="54"/>
      <c r="B48" s="248" t="s">
        <v>71</v>
      </c>
      <c r="C48" s="59" t="s">
        <v>35</v>
      </c>
      <c r="D48" s="62" t="s">
        <v>115</v>
      </c>
      <c r="E48" s="62">
        <v>8647</v>
      </c>
      <c r="F48" s="62">
        <v>1</v>
      </c>
      <c r="G48" s="62">
        <v>30000</v>
      </c>
      <c r="H48" s="62">
        <v>22</v>
      </c>
      <c r="I48" s="62" t="s">
        <v>37</v>
      </c>
      <c r="J48" s="63"/>
      <c r="K48" s="62">
        <v>502</v>
      </c>
      <c r="L48" s="64">
        <v>100</v>
      </c>
      <c r="M48" s="61">
        <f>K48*L48</f>
        <v>50200</v>
      </c>
      <c r="N48" s="63"/>
      <c r="O48" s="61"/>
      <c r="P48" s="65"/>
      <c r="Q48" s="63"/>
      <c r="R48" s="61"/>
      <c r="S48" s="65"/>
      <c r="T48" s="63"/>
      <c r="U48" s="63"/>
      <c r="V48" s="63"/>
      <c r="W48" s="63"/>
      <c r="X48" s="61"/>
      <c r="Y48" s="65"/>
      <c r="Z48" s="66"/>
      <c r="AA48" s="64"/>
      <c r="AB48" s="64"/>
      <c r="AC48" s="64">
        <v>1613</v>
      </c>
      <c r="AD48" s="64"/>
      <c r="AE48" s="66"/>
      <c r="AF48" s="22">
        <f t="shared" si="22"/>
        <v>50200</v>
      </c>
      <c r="AG48" s="67">
        <v>8647</v>
      </c>
      <c r="AH48" s="66"/>
      <c r="AI48" s="309">
        <f>(AR48*100)/77</f>
        <v>66807.818181818177</v>
      </c>
      <c r="AJ48" s="25">
        <f>AG48+AI48+AH48</f>
        <v>75454.818181818177</v>
      </c>
      <c r="AK48" s="26">
        <f t="shared" si="12"/>
        <v>17354.608181818181</v>
      </c>
      <c r="AL48" s="67">
        <v>3329.09</v>
      </c>
      <c r="AM48" s="67"/>
      <c r="AN48" s="67"/>
      <c r="AO48" s="67"/>
      <c r="AP48" s="67"/>
      <c r="AQ48" s="67"/>
      <c r="AR48" s="67">
        <f>AF48+1242.02</f>
        <v>51442.02</v>
      </c>
      <c r="AS48" s="67"/>
      <c r="AT48" s="67">
        <v>3329.1</v>
      </c>
      <c r="AU48" s="27">
        <f>AJ48-AK48-AL48-AT48-AN48-AR48-AM48</f>
        <v>0</v>
      </c>
      <c r="AV48" s="28">
        <f>AL48+AM48+AR48+AT48</f>
        <v>58100.21</v>
      </c>
      <c r="AW48" s="28"/>
      <c r="AX48" s="28"/>
      <c r="AY48" s="28">
        <f t="shared" si="14"/>
        <v>17354.608181818181</v>
      </c>
      <c r="AZ48" s="29">
        <f t="shared" si="34"/>
        <v>16600.059999999998</v>
      </c>
      <c r="BA48" s="30">
        <f t="shared" si="16"/>
        <v>33954.668181818182</v>
      </c>
      <c r="BB48" s="31">
        <f t="shared" si="17"/>
        <v>0</v>
      </c>
      <c r="BC48" s="56">
        <f t="shared" si="18"/>
        <v>0</v>
      </c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</row>
    <row r="49" spans="1:71" ht="27.6">
      <c r="A49" s="54" t="s">
        <v>205</v>
      </c>
      <c r="B49" s="249" t="s">
        <v>73</v>
      </c>
      <c r="C49" s="59" t="s">
        <v>35</v>
      </c>
      <c r="D49" s="62" t="s">
        <v>74</v>
      </c>
      <c r="E49" s="62">
        <v>12900</v>
      </c>
      <c r="F49" s="62">
        <v>1</v>
      </c>
      <c r="G49" s="62">
        <v>12900</v>
      </c>
      <c r="H49" s="62">
        <v>22</v>
      </c>
      <c r="I49" s="62" t="s">
        <v>37</v>
      </c>
      <c r="J49" s="62">
        <v>13000</v>
      </c>
      <c r="K49" s="96"/>
      <c r="L49" s="61"/>
      <c r="M49" s="61"/>
      <c r="N49" s="63"/>
      <c r="O49" s="61"/>
      <c r="P49" s="65"/>
      <c r="Q49" s="63"/>
      <c r="R49" s="61"/>
      <c r="S49" s="65"/>
      <c r="T49" s="63"/>
      <c r="U49" s="63"/>
      <c r="V49" s="63"/>
      <c r="W49" s="63"/>
      <c r="X49" s="61"/>
      <c r="Y49" s="65"/>
      <c r="Z49" s="66"/>
      <c r="AA49" s="62"/>
      <c r="AB49" s="62">
        <v>720</v>
      </c>
      <c r="AC49" s="62">
        <v>3819</v>
      </c>
      <c r="AD49" s="62">
        <v>5978.98</v>
      </c>
      <c r="AE49" s="66"/>
      <c r="AF49" s="22">
        <f t="shared" si="22"/>
        <v>0</v>
      </c>
      <c r="AG49" s="67">
        <v>7085.45</v>
      </c>
      <c r="AH49" s="275"/>
      <c r="AI49" s="66"/>
      <c r="AJ49" s="25">
        <f>AG49+AI49+AH49+AD49+AC49+AB49</f>
        <v>17603.43</v>
      </c>
      <c r="AK49" s="26">
        <f t="shared" si="12"/>
        <v>4048.7889000000005</v>
      </c>
      <c r="AL49" s="67">
        <v>3637.2</v>
      </c>
      <c r="AM49" s="67">
        <v>4603.8100000000004</v>
      </c>
      <c r="AN49" s="67"/>
      <c r="AO49" s="67"/>
      <c r="AP49" s="67"/>
      <c r="AQ49" s="67"/>
      <c r="AR49" s="67">
        <f>2940.59+2477.14</f>
        <v>5417.73</v>
      </c>
      <c r="AS49" s="72"/>
      <c r="AT49" s="67">
        <v>2373.04</v>
      </c>
      <c r="AU49" s="27">
        <f>AJ49-AK49-AL49-AT49-AN49-AR49-AM49-AS49-AP49</f>
        <v>-2477.1388999999999</v>
      </c>
      <c r="AV49" s="28">
        <f>AL49+AM49+AN49+AR49+AS49+AT49+AO49+AP49</f>
        <v>16031.779999999999</v>
      </c>
      <c r="AW49" s="28"/>
      <c r="AX49" s="28"/>
      <c r="AY49" s="28">
        <f t="shared" si="14"/>
        <v>4048.7889000000005</v>
      </c>
      <c r="AZ49" s="29">
        <f t="shared" si="34"/>
        <v>3872.7546000000002</v>
      </c>
      <c r="BA49" s="30">
        <f t="shared" si="16"/>
        <v>7921.5435000000007</v>
      </c>
      <c r="BB49" s="31">
        <f t="shared" si="17"/>
        <v>0</v>
      </c>
      <c r="BC49" s="56">
        <f t="shared" si="18"/>
        <v>-2477.1388999999981</v>
      </c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</row>
    <row r="50" spans="1:71" ht="27.6">
      <c r="A50" s="54"/>
      <c r="B50" s="249" t="s">
        <v>252</v>
      </c>
      <c r="C50" s="59" t="s">
        <v>35</v>
      </c>
      <c r="D50" s="62" t="s">
        <v>74</v>
      </c>
      <c r="E50" s="62">
        <v>10000</v>
      </c>
      <c r="F50" s="60">
        <v>46113</v>
      </c>
      <c r="G50" s="62">
        <f>E50/4</f>
        <v>2500</v>
      </c>
      <c r="H50" s="62">
        <v>22</v>
      </c>
      <c r="I50" s="61" t="s">
        <v>41</v>
      </c>
      <c r="J50" s="64">
        <f>(28000/22)*17</f>
        <v>21636.363636363636</v>
      </c>
      <c r="K50" s="342"/>
      <c r="L50" s="61"/>
      <c r="M50" s="61"/>
      <c r="N50" s="63"/>
      <c r="O50" s="61"/>
      <c r="P50" s="65"/>
      <c r="Q50" s="63"/>
      <c r="R50" s="61"/>
      <c r="S50" s="65"/>
      <c r="T50" s="63"/>
      <c r="U50" s="63"/>
      <c r="V50" s="63"/>
      <c r="W50" s="63"/>
      <c r="X50" s="61"/>
      <c r="Y50" s="65"/>
      <c r="Z50" s="72">
        <v>1020</v>
      </c>
      <c r="AA50" s="62">
        <v>1505.27</v>
      </c>
      <c r="AB50" s="62"/>
      <c r="AC50" s="62">
        <v>23643</v>
      </c>
      <c r="AD50" s="63"/>
      <c r="AE50" s="66"/>
      <c r="AF50" s="22">
        <f t="shared" si="22"/>
        <v>0</v>
      </c>
      <c r="AG50" s="67">
        <v>1931.82</v>
      </c>
      <c r="AH50" s="275"/>
      <c r="AI50" s="66"/>
      <c r="AJ50" s="25">
        <f>AG50+AI50+AH50+AD50+AC50+Z50+AA50</f>
        <v>28100.09</v>
      </c>
      <c r="AK50" s="26">
        <f t="shared" si="12"/>
        <v>6463.0207</v>
      </c>
      <c r="AL50" s="67">
        <v>525</v>
      </c>
      <c r="AM50" s="67"/>
      <c r="AN50" s="67"/>
      <c r="AO50" s="67"/>
      <c r="AP50" s="67"/>
      <c r="AQ50" s="67"/>
      <c r="AR50" s="67">
        <v>18205</v>
      </c>
      <c r="AS50" s="72"/>
      <c r="AT50" s="67">
        <v>2906.96</v>
      </c>
      <c r="AU50" s="27">
        <f>AJ50-AK50-AL50-AT50-AN50-AR50-AM50-AS50</f>
        <v>0.10930000000007567</v>
      </c>
      <c r="AV50" s="28">
        <f t="shared" ref="AV50:AV52" si="45">AL50+AM50+AN50+AR50+AS50+AT50+AO50</f>
        <v>21636.959999999999</v>
      </c>
      <c r="AW50" s="28"/>
      <c r="AX50" s="28"/>
      <c r="AY50" s="28">
        <f t="shared" si="14"/>
        <v>6463.0207</v>
      </c>
      <c r="AZ50" s="29">
        <f t="shared" si="34"/>
        <v>6182.0198</v>
      </c>
      <c r="BA50" s="30">
        <f t="shared" si="16"/>
        <v>12645.040499999999</v>
      </c>
      <c r="BB50" s="31">
        <f t="shared" si="17"/>
        <v>0</v>
      </c>
      <c r="BC50" s="56">
        <f t="shared" si="18"/>
        <v>0.10930000000007567</v>
      </c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</row>
    <row r="51" spans="1:71" ht="27.6">
      <c r="A51" s="54" t="s">
        <v>245</v>
      </c>
      <c r="B51" s="249" t="s">
        <v>75</v>
      </c>
      <c r="C51" s="34" t="s">
        <v>40</v>
      </c>
      <c r="D51" s="38" t="s">
        <v>76</v>
      </c>
      <c r="E51" s="38">
        <v>8700</v>
      </c>
      <c r="F51" s="38">
        <v>1</v>
      </c>
      <c r="G51" s="38">
        <v>8700</v>
      </c>
      <c r="H51" s="38">
        <v>22</v>
      </c>
      <c r="I51" s="42" t="s">
        <v>41</v>
      </c>
      <c r="J51" s="90"/>
      <c r="K51" s="243"/>
      <c r="L51" s="2"/>
      <c r="M51" s="42"/>
      <c r="N51" s="43"/>
      <c r="O51" s="42"/>
      <c r="P51" s="44"/>
      <c r="Q51" s="43"/>
      <c r="R51" s="42"/>
      <c r="S51" s="44"/>
      <c r="T51" s="43"/>
      <c r="U51" s="43"/>
      <c r="V51" s="43"/>
      <c r="W51" s="43"/>
      <c r="X51" s="42"/>
      <c r="Y51" s="44"/>
      <c r="Z51" s="45"/>
      <c r="AA51" s="40"/>
      <c r="AB51" s="40"/>
      <c r="AC51" s="162"/>
      <c r="AD51" s="38">
        <f>8482.86+7.94</f>
        <v>8490.8000000000011</v>
      </c>
      <c r="AE51" s="45"/>
      <c r="AF51" s="22">
        <f t="shared" si="22"/>
        <v>0</v>
      </c>
      <c r="AG51" s="53"/>
      <c r="AH51" s="69">
        <v>669.23</v>
      </c>
      <c r="AI51" s="29"/>
      <c r="AJ51" s="25">
        <f t="shared" ref="AJ51:AJ52" si="46">AG51+AI51+AH51+AD51+AC51</f>
        <v>9160.0300000000007</v>
      </c>
      <c r="AK51" s="26">
        <f t="shared" si="12"/>
        <v>2106.8069</v>
      </c>
      <c r="AL51" s="345"/>
      <c r="AM51" s="346"/>
      <c r="AN51" s="347">
        <v>7053.22</v>
      </c>
      <c r="AO51" s="348"/>
      <c r="AP51" s="347"/>
      <c r="AQ51" s="347"/>
      <c r="AR51" s="347"/>
      <c r="AS51" s="347"/>
      <c r="AT51" s="347"/>
      <c r="AU51" s="27">
        <f t="shared" ref="AU51:AU52" si="47">AJ51-AK51-AL51-AT51-AN51-AR51-AM51-AS51-AO51</f>
        <v>3.1000000008134521E-3</v>
      </c>
      <c r="AV51" s="28">
        <f t="shared" si="45"/>
        <v>7053.22</v>
      </c>
      <c r="AW51" s="51"/>
      <c r="AX51" s="53"/>
      <c r="AY51" s="28">
        <f t="shared" si="14"/>
        <v>2106.8069</v>
      </c>
      <c r="AZ51" s="29">
        <f t="shared" si="34"/>
        <v>2015.2066000000002</v>
      </c>
      <c r="BA51" s="30">
        <f t="shared" si="16"/>
        <v>4122.0135</v>
      </c>
      <c r="BB51" s="31">
        <f t="shared" si="17"/>
        <v>0</v>
      </c>
      <c r="BC51" s="56">
        <f t="shared" si="18"/>
        <v>3.1000000008134521E-3</v>
      </c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</row>
    <row r="52" spans="1:71" ht="13.8">
      <c r="A52" s="54">
        <f>A49+1</f>
        <v>28</v>
      </c>
      <c r="B52" s="249" t="s">
        <v>75</v>
      </c>
      <c r="C52" s="59" t="s">
        <v>35</v>
      </c>
      <c r="D52" s="62" t="s">
        <v>76</v>
      </c>
      <c r="E52" s="62">
        <v>8700</v>
      </c>
      <c r="F52" s="62">
        <v>1</v>
      </c>
      <c r="G52" s="62">
        <v>8700</v>
      </c>
      <c r="H52" s="62">
        <v>22</v>
      </c>
      <c r="I52" s="62" t="s">
        <v>37</v>
      </c>
      <c r="J52" s="64">
        <v>13000</v>
      </c>
      <c r="K52" s="342"/>
      <c r="L52" s="61"/>
      <c r="M52" s="61"/>
      <c r="N52" s="63"/>
      <c r="O52" s="61"/>
      <c r="P52" s="65"/>
      <c r="Q52" s="63"/>
      <c r="R52" s="61"/>
      <c r="S52" s="65"/>
      <c r="T52" s="63"/>
      <c r="U52" s="63"/>
      <c r="V52" s="63"/>
      <c r="W52" s="63"/>
      <c r="X52" s="61"/>
      <c r="Y52" s="65"/>
      <c r="Z52" s="66"/>
      <c r="AA52" s="62"/>
      <c r="AB52" s="62"/>
      <c r="AC52" s="62">
        <v>8974</v>
      </c>
      <c r="AD52" s="63"/>
      <c r="AE52" s="66"/>
      <c r="AF52" s="22">
        <f t="shared" si="22"/>
        <v>0</v>
      </c>
      <c r="AG52" s="69">
        <v>7909.09</v>
      </c>
      <c r="AH52" s="275"/>
      <c r="AI52" s="45"/>
      <c r="AJ52" s="25">
        <f t="shared" si="46"/>
        <v>16883.09</v>
      </c>
      <c r="AK52" s="26">
        <f t="shared" si="12"/>
        <v>3883.1107000000002</v>
      </c>
      <c r="AL52" s="67">
        <v>2740.5</v>
      </c>
      <c r="AM52" s="67"/>
      <c r="AN52" s="67"/>
      <c r="AO52" s="67"/>
      <c r="AP52" s="67"/>
      <c r="AQ52" s="67"/>
      <c r="AR52" s="67">
        <v>6910</v>
      </c>
      <c r="AS52" s="72"/>
      <c r="AT52" s="67">
        <v>3349.5</v>
      </c>
      <c r="AU52" s="27">
        <f t="shared" si="47"/>
        <v>-2.0700000000942964E-2</v>
      </c>
      <c r="AV52" s="28">
        <f t="shared" si="45"/>
        <v>13000</v>
      </c>
      <c r="AW52" s="28"/>
      <c r="AX52" s="28"/>
      <c r="AY52" s="28">
        <f t="shared" si="14"/>
        <v>3883.1107000000002</v>
      </c>
      <c r="AZ52" s="29">
        <f t="shared" si="34"/>
        <v>3714.2798000000003</v>
      </c>
      <c r="BA52" s="30">
        <f t="shared" si="16"/>
        <v>7597.3905000000004</v>
      </c>
      <c r="BB52" s="31">
        <f t="shared" si="17"/>
        <v>0</v>
      </c>
      <c r="BC52" s="56">
        <f t="shared" si="18"/>
        <v>-2.0700000000942964E-2</v>
      </c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</row>
    <row r="53" spans="1:71" ht="13.8">
      <c r="A53" s="132">
        <f>A94+1</f>
        <v>28</v>
      </c>
      <c r="B53" s="150" t="s">
        <v>113</v>
      </c>
      <c r="C53" s="59" t="s">
        <v>35</v>
      </c>
      <c r="D53" s="62" t="s">
        <v>114</v>
      </c>
      <c r="E53" s="62">
        <v>60000</v>
      </c>
      <c r="F53" s="135">
        <v>46054</v>
      </c>
      <c r="G53" s="62">
        <f t="shared" ref="G53:G54" si="48">E53/2</f>
        <v>30000</v>
      </c>
      <c r="H53" s="62">
        <v>22</v>
      </c>
      <c r="I53" s="62" t="s">
        <v>37</v>
      </c>
      <c r="J53" s="63"/>
      <c r="K53" s="63"/>
      <c r="L53" s="61"/>
      <c r="M53" s="61"/>
      <c r="N53" s="63"/>
      <c r="O53" s="61"/>
      <c r="P53" s="65"/>
      <c r="Q53" s="63"/>
      <c r="R53" s="61"/>
      <c r="S53" s="65"/>
      <c r="T53" s="63"/>
      <c r="U53" s="63"/>
      <c r="V53" s="63"/>
      <c r="W53" s="63"/>
      <c r="X53" s="61"/>
      <c r="Y53" s="65"/>
      <c r="Z53" s="66"/>
      <c r="AA53" s="68"/>
      <c r="AB53" s="68"/>
      <c r="AC53" s="68"/>
      <c r="AD53" s="61"/>
      <c r="AE53" s="66"/>
      <c r="AF53" s="273"/>
      <c r="AG53" s="67">
        <v>30000</v>
      </c>
      <c r="AH53" s="66"/>
      <c r="AI53" s="66"/>
      <c r="AJ53" s="25">
        <f>AG53+AI53</f>
        <v>30000</v>
      </c>
      <c r="AK53" s="26">
        <f t="shared" si="12"/>
        <v>6900</v>
      </c>
      <c r="AL53" s="67">
        <v>11550</v>
      </c>
      <c r="AM53" s="67"/>
      <c r="AN53" s="67"/>
      <c r="AO53" s="67"/>
      <c r="AP53" s="67"/>
      <c r="AQ53" s="67"/>
      <c r="AR53" s="67"/>
      <c r="AS53" s="67"/>
      <c r="AT53" s="67">
        <v>11550</v>
      </c>
      <c r="AU53" s="27">
        <f t="shared" ref="AU53:AU57" si="49">AJ53-AK53-AL53-AT53-AN53-AR53-AM53-AS53-AO53-AP53-AQ53</f>
        <v>0</v>
      </c>
      <c r="AV53" s="28">
        <f t="shared" ref="AV53:AV57" si="50">AL53+AM53+AN53+AR53+AS53+AT53+AO53+AP53+AQ53</f>
        <v>23100</v>
      </c>
      <c r="AW53" s="28"/>
      <c r="AX53" s="28"/>
      <c r="AY53" s="28">
        <f t="shared" si="14"/>
        <v>6900</v>
      </c>
      <c r="AZ53" s="29">
        <f t="shared" si="34"/>
        <v>6600</v>
      </c>
      <c r="BA53" s="30">
        <f t="shared" si="16"/>
        <v>13500</v>
      </c>
      <c r="BB53" s="31">
        <f t="shared" si="17"/>
        <v>0</v>
      </c>
      <c r="BC53" s="56">
        <f t="shared" si="18"/>
        <v>0</v>
      </c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</row>
    <row r="54" spans="1:71" ht="13.8">
      <c r="A54" s="132">
        <f>A99+1</f>
        <v>34</v>
      </c>
      <c r="B54" s="150" t="s">
        <v>118</v>
      </c>
      <c r="C54" s="59" t="s">
        <v>35</v>
      </c>
      <c r="D54" s="62" t="s">
        <v>119</v>
      </c>
      <c r="E54" s="62">
        <v>26000</v>
      </c>
      <c r="F54" s="86" t="s">
        <v>253</v>
      </c>
      <c r="G54" s="64">
        <f t="shared" si="48"/>
        <v>13000</v>
      </c>
      <c r="H54" s="62">
        <v>22</v>
      </c>
      <c r="I54" s="62" t="s">
        <v>37</v>
      </c>
      <c r="J54" s="63"/>
      <c r="K54" s="63"/>
      <c r="L54" s="61"/>
      <c r="M54" s="61"/>
      <c r="N54" s="63"/>
      <c r="O54" s="61"/>
      <c r="P54" s="65"/>
      <c r="Q54" s="63"/>
      <c r="R54" s="61"/>
      <c r="S54" s="65"/>
      <c r="T54" s="63"/>
      <c r="U54" s="63"/>
      <c r="V54" s="63"/>
      <c r="W54" s="63"/>
      <c r="X54" s="61"/>
      <c r="Y54" s="65"/>
      <c r="Z54" s="66"/>
      <c r="AA54" s="68"/>
      <c r="AB54" s="68"/>
      <c r="AC54" s="68"/>
      <c r="AD54" s="61"/>
      <c r="AE54" s="66"/>
      <c r="AF54" s="273"/>
      <c r="AG54" s="67">
        <v>13000</v>
      </c>
      <c r="AH54" s="72"/>
      <c r="AI54" s="72"/>
      <c r="AJ54" s="25">
        <f>AH54+AI54+AG54</f>
        <v>13000</v>
      </c>
      <c r="AK54" s="26">
        <f t="shared" si="12"/>
        <v>2990</v>
      </c>
      <c r="AL54" s="274">
        <v>5005</v>
      </c>
      <c r="AM54" s="274"/>
      <c r="AN54" s="274"/>
      <c r="AO54" s="274"/>
      <c r="AP54" s="274"/>
      <c r="AQ54" s="274"/>
      <c r="AR54" s="274"/>
      <c r="AS54" s="274"/>
      <c r="AT54" s="274">
        <v>5005</v>
      </c>
      <c r="AU54" s="27">
        <f t="shared" si="49"/>
        <v>0</v>
      </c>
      <c r="AV54" s="28">
        <f t="shared" si="50"/>
        <v>10010</v>
      </c>
      <c r="AW54" s="28"/>
      <c r="AX54" s="141"/>
      <c r="AY54" s="28">
        <f t="shared" si="14"/>
        <v>2990</v>
      </c>
      <c r="AZ54" s="29">
        <f t="shared" si="34"/>
        <v>2860</v>
      </c>
      <c r="BA54" s="30">
        <f t="shared" si="16"/>
        <v>5850</v>
      </c>
      <c r="BB54" s="31">
        <f t="shared" si="17"/>
        <v>0</v>
      </c>
      <c r="BC54" s="56">
        <f t="shared" si="18"/>
        <v>0</v>
      </c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</row>
    <row r="55" spans="1:71" ht="13.8">
      <c r="A55" s="132">
        <f>A105+1</f>
        <v>42</v>
      </c>
      <c r="B55" s="249" t="s">
        <v>125</v>
      </c>
      <c r="C55" s="59" t="s">
        <v>35</v>
      </c>
      <c r="D55" s="349"/>
      <c r="E55" s="62">
        <v>26000</v>
      </c>
      <c r="F55" s="350">
        <v>46113</v>
      </c>
      <c r="G55" s="63">
        <f>E55/4</f>
        <v>6500</v>
      </c>
      <c r="H55" s="62">
        <v>22</v>
      </c>
      <c r="I55" s="62" t="s">
        <v>37</v>
      </c>
      <c r="J55" s="63"/>
      <c r="K55" s="63"/>
      <c r="L55" s="61"/>
      <c r="M55" s="61"/>
      <c r="N55" s="63"/>
      <c r="O55" s="61"/>
      <c r="P55" s="65"/>
      <c r="Q55" s="63"/>
      <c r="R55" s="61"/>
      <c r="S55" s="65"/>
      <c r="T55" s="63"/>
      <c r="U55" s="63"/>
      <c r="V55" s="63"/>
      <c r="W55" s="63"/>
      <c r="X55" s="61"/>
      <c r="Y55" s="65"/>
      <c r="Z55" s="66"/>
      <c r="AA55" s="68"/>
      <c r="AB55" s="68"/>
      <c r="AC55" s="67">
        <v>5192</v>
      </c>
      <c r="AD55" s="61"/>
      <c r="AE55" s="66"/>
      <c r="AF55" s="273"/>
      <c r="AG55" s="67">
        <v>3250</v>
      </c>
      <c r="AH55" s="66"/>
      <c r="AI55" s="66"/>
      <c r="AJ55" s="25">
        <f t="shared" ref="AJ55:AJ56" si="51">AH55+AI55+AG55+AC55</f>
        <v>8442</v>
      </c>
      <c r="AK55" s="26">
        <f t="shared" si="12"/>
        <v>1941.66</v>
      </c>
      <c r="AL55" s="67"/>
      <c r="AM55" s="67"/>
      <c r="AN55" s="67"/>
      <c r="AO55" s="67"/>
      <c r="AP55" s="67"/>
      <c r="AQ55" s="67"/>
      <c r="AR55" s="67">
        <v>3997.84</v>
      </c>
      <c r="AS55" s="67"/>
      <c r="AT55" s="67">
        <v>2502.5</v>
      </c>
      <c r="AU55" s="27">
        <f t="shared" si="49"/>
        <v>0</v>
      </c>
      <c r="AV55" s="28">
        <f t="shared" si="50"/>
        <v>6500.34</v>
      </c>
      <c r="AW55" s="28"/>
      <c r="AX55" s="141"/>
      <c r="AY55" s="28">
        <f t="shared" si="14"/>
        <v>1941.66</v>
      </c>
      <c r="AZ55" s="29">
        <f t="shared" si="34"/>
        <v>1857.24</v>
      </c>
      <c r="BA55" s="30">
        <f t="shared" si="16"/>
        <v>3798.9</v>
      </c>
      <c r="BB55" s="31">
        <f t="shared" si="17"/>
        <v>0</v>
      </c>
      <c r="BC55" s="56">
        <f t="shared" si="18"/>
        <v>0</v>
      </c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</row>
    <row r="56" spans="1:71" ht="13.8">
      <c r="A56" s="132"/>
      <c r="B56" s="151" t="s">
        <v>117</v>
      </c>
      <c r="C56" s="59" t="s">
        <v>35</v>
      </c>
      <c r="D56" s="62" t="s">
        <v>254</v>
      </c>
      <c r="E56" s="62">
        <v>26000</v>
      </c>
      <c r="F56" s="86" t="s">
        <v>253</v>
      </c>
      <c r="G56" s="64">
        <f>E56/2</f>
        <v>13000</v>
      </c>
      <c r="H56" s="16">
        <v>8.41</v>
      </c>
      <c r="I56" s="62" t="s">
        <v>37</v>
      </c>
      <c r="J56" s="63"/>
      <c r="K56" s="63"/>
      <c r="L56" s="61"/>
      <c r="M56" s="61"/>
      <c r="N56" s="63"/>
      <c r="O56" s="61"/>
      <c r="P56" s="65"/>
      <c r="Q56" s="63"/>
      <c r="R56" s="61"/>
      <c r="S56" s="65"/>
      <c r="T56" s="63"/>
      <c r="U56" s="63"/>
      <c r="V56" s="63"/>
      <c r="W56" s="63"/>
      <c r="X56" s="61"/>
      <c r="Y56" s="65"/>
      <c r="Z56" s="66"/>
      <c r="AA56" s="68"/>
      <c r="AB56" s="68"/>
      <c r="AC56" s="48">
        <v>12975</v>
      </c>
      <c r="AD56" s="61"/>
      <c r="AE56" s="66"/>
      <c r="AF56" s="273"/>
      <c r="AG56" s="67">
        <v>13000</v>
      </c>
      <c r="AH56" s="72"/>
      <c r="AI56" s="72"/>
      <c r="AJ56" s="25">
        <f t="shared" si="51"/>
        <v>25975</v>
      </c>
      <c r="AK56" s="26">
        <f t="shared" si="12"/>
        <v>5974.25</v>
      </c>
      <c r="AL56" s="274"/>
      <c r="AM56" s="274"/>
      <c r="AN56" s="274"/>
      <c r="AO56" s="274"/>
      <c r="AP56" s="274"/>
      <c r="AQ56" s="274"/>
      <c r="AR56" s="274">
        <v>9990.75</v>
      </c>
      <c r="AS56" s="274"/>
      <c r="AT56" s="274">
        <v>10010</v>
      </c>
      <c r="AU56" s="27">
        <f t="shared" si="49"/>
        <v>0</v>
      </c>
      <c r="AV56" s="28">
        <f t="shared" si="50"/>
        <v>20000.75</v>
      </c>
      <c r="AW56" s="28"/>
      <c r="AX56" s="141"/>
      <c r="AY56" s="28">
        <f t="shared" si="14"/>
        <v>5974.25</v>
      </c>
      <c r="AZ56" s="29">
        <f t="shared" si="34"/>
        <v>2184.4975000000004</v>
      </c>
      <c r="BA56" s="30">
        <f t="shared" si="16"/>
        <v>8158.7475000000004</v>
      </c>
      <c r="BB56" s="31">
        <f t="shared" si="17"/>
        <v>0</v>
      </c>
      <c r="BC56" s="56">
        <f t="shared" si="18"/>
        <v>0</v>
      </c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</row>
    <row r="57" spans="1:71" ht="13.8">
      <c r="A57" s="132">
        <f>A101+1</f>
        <v>37</v>
      </c>
      <c r="B57" s="325" t="s">
        <v>121</v>
      </c>
      <c r="C57" s="59" t="s">
        <v>35</v>
      </c>
      <c r="D57" s="38" t="s">
        <v>122</v>
      </c>
      <c r="E57" s="62">
        <f>19500+6500</f>
        <v>26000</v>
      </c>
      <c r="F57" s="135">
        <v>46113</v>
      </c>
      <c r="G57" s="62">
        <f>4875+6500</f>
        <v>11375</v>
      </c>
      <c r="H57" s="62"/>
      <c r="I57" s="62" t="s">
        <v>37</v>
      </c>
      <c r="J57" s="63"/>
      <c r="K57" s="63"/>
      <c r="L57" s="61"/>
      <c r="M57" s="61"/>
      <c r="N57" s="63"/>
      <c r="O57" s="61"/>
      <c r="P57" s="65"/>
      <c r="Q57" s="63"/>
      <c r="R57" s="61"/>
      <c r="S57" s="65"/>
      <c r="T57" s="63"/>
      <c r="U57" s="63"/>
      <c r="V57" s="63"/>
      <c r="W57" s="63"/>
      <c r="X57" s="61"/>
      <c r="Y57" s="65"/>
      <c r="Z57" s="66"/>
      <c r="AA57" s="68"/>
      <c r="AB57" s="68"/>
      <c r="AC57" s="68"/>
      <c r="AD57" s="61"/>
      <c r="AE57" s="66"/>
      <c r="AF57" s="273"/>
      <c r="AG57" s="67">
        <v>6500</v>
      </c>
      <c r="AH57" s="72"/>
      <c r="AI57" s="66"/>
      <c r="AJ57" s="25">
        <f>AH57+AI57+AG57</f>
        <v>6500</v>
      </c>
      <c r="AK57" s="26">
        <f t="shared" si="12"/>
        <v>1495</v>
      </c>
      <c r="AL57" s="23">
        <v>2499.8000000000002</v>
      </c>
      <c r="AM57" s="23"/>
      <c r="AN57" s="23"/>
      <c r="AO57" s="23"/>
      <c r="AP57" s="23"/>
      <c r="AQ57" s="23"/>
      <c r="AR57" s="23"/>
      <c r="AS57" s="23"/>
      <c r="AT57" s="23">
        <v>2505.1999999999998</v>
      </c>
      <c r="AU57" s="27">
        <f t="shared" si="49"/>
        <v>0</v>
      </c>
      <c r="AV57" s="28">
        <f t="shared" si="50"/>
        <v>5005</v>
      </c>
      <c r="AW57" s="28"/>
      <c r="AX57" s="141"/>
      <c r="AY57" s="28">
        <f t="shared" si="14"/>
        <v>1495</v>
      </c>
      <c r="AZ57" s="29">
        <f t="shared" si="34"/>
        <v>0</v>
      </c>
      <c r="BA57" s="30">
        <f t="shared" si="16"/>
        <v>1495</v>
      </c>
      <c r="BB57" s="31">
        <f t="shared" si="17"/>
        <v>0</v>
      </c>
      <c r="BC57" s="56">
        <f t="shared" si="18"/>
        <v>0</v>
      </c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</row>
    <row r="58" spans="1:71" ht="13.8">
      <c r="A58" s="102"/>
      <c r="B58" s="103" t="s">
        <v>77</v>
      </c>
      <c r="C58" s="104"/>
      <c r="D58" s="104"/>
      <c r="E58" s="104"/>
      <c r="F58" s="104"/>
      <c r="G58" s="105"/>
      <c r="H58" s="104"/>
      <c r="I58" s="104"/>
      <c r="J58" s="105"/>
      <c r="K58" s="105">
        <f>SUM(K5:K57)</f>
        <v>2221</v>
      </c>
      <c r="L58" s="105"/>
      <c r="M58" s="105">
        <f t="shared" ref="M58:N58" si="52">SUM(M5:M57)</f>
        <v>479950</v>
      </c>
      <c r="N58" s="105">
        <f t="shared" si="52"/>
        <v>64</v>
      </c>
      <c r="O58" s="105"/>
      <c r="P58" s="105">
        <f t="shared" ref="P58:Q58" si="53">SUM(P5:P57)</f>
        <v>10440</v>
      </c>
      <c r="Q58" s="105">
        <f t="shared" si="53"/>
        <v>0</v>
      </c>
      <c r="R58" s="105"/>
      <c r="S58" s="105">
        <f t="shared" ref="S58:W58" si="54">SUM(S5:S57)</f>
        <v>0</v>
      </c>
      <c r="T58" s="105">
        <f t="shared" si="54"/>
        <v>0</v>
      </c>
      <c r="U58" s="105">
        <f t="shared" si="54"/>
        <v>1200</v>
      </c>
      <c r="V58" s="105">
        <f t="shared" si="54"/>
        <v>0</v>
      </c>
      <c r="W58" s="105">
        <f t="shared" si="54"/>
        <v>22</v>
      </c>
      <c r="X58" s="105"/>
      <c r="Y58" s="105">
        <f t="shared" ref="Y58:AF58" si="55">SUM(Y5:Y57)</f>
        <v>3520</v>
      </c>
      <c r="Z58" s="106">
        <f t="shared" si="55"/>
        <v>7620</v>
      </c>
      <c r="AA58" s="105">
        <f t="shared" si="55"/>
        <v>15141.619999999999</v>
      </c>
      <c r="AB58" s="105">
        <f t="shared" si="55"/>
        <v>2040</v>
      </c>
      <c r="AC58" s="105">
        <f t="shared" si="55"/>
        <v>72617</v>
      </c>
      <c r="AD58" s="105">
        <f t="shared" si="55"/>
        <v>215822.43</v>
      </c>
      <c r="AE58" s="106">
        <f t="shared" si="55"/>
        <v>0</v>
      </c>
      <c r="AF58" s="106">
        <f t="shared" si="55"/>
        <v>495110</v>
      </c>
      <c r="AG58" s="106">
        <f t="shared" ref="AG58:AI58" si="56">SUM(AG5:AG52)</f>
        <v>189859.32</v>
      </c>
      <c r="AH58" s="106">
        <f t="shared" si="56"/>
        <v>16878.598571428574</v>
      </c>
      <c r="AI58" s="106">
        <f t="shared" si="56"/>
        <v>530639.32467532472</v>
      </c>
      <c r="AJ58" s="106">
        <f t="shared" ref="AJ58:BB58" si="57">SUM(AJ5:AJ57)</f>
        <v>1114755.293246753</v>
      </c>
      <c r="AK58" s="106">
        <f t="shared" si="57"/>
        <v>256393.71744675326</v>
      </c>
      <c r="AL58" s="106">
        <f t="shared" si="57"/>
        <v>87256.04</v>
      </c>
      <c r="AM58" s="106">
        <f t="shared" si="57"/>
        <v>4603.8100000000004</v>
      </c>
      <c r="AN58" s="106">
        <f t="shared" si="57"/>
        <v>187770.65000000002</v>
      </c>
      <c r="AO58" s="106">
        <f t="shared" si="57"/>
        <v>0</v>
      </c>
      <c r="AP58" s="106">
        <f t="shared" si="57"/>
        <v>357150.25999999995</v>
      </c>
      <c r="AQ58" s="106">
        <f t="shared" si="57"/>
        <v>3520</v>
      </c>
      <c r="AR58" s="106">
        <f t="shared" si="57"/>
        <v>108592.10999999999</v>
      </c>
      <c r="AS58" s="106">
        <f t="shared" si="57"/>
        <v>16598.39</v>
      </c>
      <c r="AT58" s="106">
        <f t="shared" si="57"/>
        <v>98122.930000000008</v>
      </c>
      <c r="AU58" s="106">
        <f t="shared" si="57"/>
        <v>-5252.6141999999891</v>
      </c>
      <c r="AV58" s="106">
        <f t="shared" si="57"/>
        <v>863614.19000000006</v>
      </c>
      <c r="AW58" s="106">
        <f t="shared" si="57"/>
        <v>0</v>
      </c>
      <c r="AX58" s="106">
        <f t="shared" si="57"/>
        <v>0</v>
      </c>
      <c r="AY58" s="106">
        <f t="shared" si="57"/>
        <v>256393.71744675326</v>
      </c>
      <c r="AZ58" s="106">
        <f t="shared" si="57"/>
        <v>213283.38386790908</v>
      </c>
      <c r="BA58" s="106">
        <f t="shared" si="57"/>
        <v>469677.10131466232</v>
      </c>
      <c r="BB58" s="106">
        <f t="shared" si="57"/>
        <v>0</v>
      </c>
      <c r="BC58" s="56">
        <f t="shared" si="18"/>
        <v>-5252.6142000003019</v>
      </c>
      <c r="BD58" s="107"/>
      <c r="BE58" s="107"/>
      <c r="BF58" s="107"/>
      <c r="BG58" s="107"/>
      <c r="BH58" s="107"/>
      <c r="BI58" s="107"/>
      <c r="BJ58" s="107"/>
      <c r="BK58" s="107"/>
      <c r="BL58" s="107"/>
      <c r="BM58" s="107"/>
      <c r="BN58" s="107"/>
      <c r="BO58" s="107"/>
      <c r="BP58" s="107"/>
      <c r="BQ58" s="107"/>
      <c r="BR58" s="107"/>
      <c r="BS58" s="107"/>
    </row>
    <row r="59" spans="1:71" ht="13.8">
      <c r="A59" s="108"/>
      <c r="B59" s="7" t="s">
        <v>78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250"/>
      <c r="AJ59" s="8"/>
      <c r="AK59" s="8"/>
      <c r="AL59" s="8"/>
      <c r="AM59" s="8"/>
      <c r="AN59" s="8"/>
      <c r="AO59" s="8"/>
      <c r="AP59" s="250"/>
      <c r="AQ59" s="8"/>
      <c r="AR59" s="8"/>
      <c r="AS59" s="8"/>
      <c r="AT59" s="8"/>
      <c r="AU59" s="8"/>
      <c r="AV59" s="8"/>
      <c r="AW59" s="8"/>
      <c r="AX59" s="8"/>
      <c r="AY59" s="9"/>
      <c r="AZ59" s="10"/>
      <c r="BA59" s="10"/>
      <c r="BB59" s="10"/>
      <c r="BC59" s="32">
        <f t="shared" si="18"/>
        <v>0</v>
      </c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</row>
    <row r="60" spans="1:71" ht="27.6">
      <c r="A60" s="54" t="s">
        <v>245</v>
      </c>
      <c r="B60" s="251" t="s">
        <v>79</v>
      </c>
      <c r="C60" s="34" t="s">
        <v>40</v>
      </c>
      <c r="D60" s="109" t="s">
        <v>80</v>
      </c>
      <c r="E60" s="83">
        <v>8700</v>
      </c>
      <c r="F60" s="55">
        <v>46113</v>
      </c>
      <c r="G60" s="79">
        <f>E60/4</f>
        <v>2175</v>
      </c>
      <c r="H60" s="38">
        <v>22</v>
      </c>
      <c r="I60" s="42" t="s">
        <v>41</v>
      </c>
      <c r="J60" s="90" t="s">
        <v>255</v>
      </c>
      <c r="K60" s="109"/>
      <c r="L60" s="109">
        <v>250</v>
      </c>
      <c r="M60" s="110">
        <f>K60*L60</f>
        <v>0</v>
      </c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09">
        <v>261.54000000000002</v>
      </c>
      <c r="AE60" s="110"/>
      <c r="AF60" s="22">
        <f>M60+P60+S60+V60+Y60</f>
        <v>0</v>
      </c>
      <c r="AG60" s="110"/>
      <c r="AH60" s="258">
        <v>207.89</v>
      </c>
      <c r="AI60" s="252"/>
      <c r="AJ60" s="25">
        <f>AH60+AI60+AD60</f>
        <v>469.43</v>
      </c>
      <c r="AK60" s="26">
        <f t="shared" ref="AK60:AK62" si="58">AJ60*23%</f>
        <v>107.9689</v>
      </c>
      <c r="AL60" s="162"/>
      <c r="AM60" s="351"/>
      <c r="AN60" s="162">
        <v>361.46</v>
      </c>
      <c r="AO60" s="351"/>
      <c r="AP60" s="67"/>
      <c r="AQ60" s="351"/>
      <c r="AR60" s="351"/>
      <c r="AS60" s="351"/>
      <c r="AT60" s="162"/>
      <c r="AU60" s="27">
        <f t="shared" ref="AU60:AU62" si="59">AJ60-AK60-AL60-AT60-AN60-AR60-AM60</f>
        <v>1.1000000000080945E-3</v>
      </c>
      <c r="AV60" s="28">
        <f t="shared" ref="AV60:AV62" si="60">AL60+AM60+AN60+AR60+AS60+AT60</f>
        <v>361.46</v>
      </c>
      <c r="AW60" s="110"/>
      <c r="AX60" s="110"/>
      <c r="AY60" s="28">
        <f t="shared" ref="AY60:AY62" si="61">AJ60*23%</f>
        <v>107.9689</v>
      </c>
      <c r="AZ60" s="29">
        <f>AJ60*H60%</f>
        <v>103.27460000000001</v>
      </c>
      <c r="BA60" s="30">
        <f t="shared" ref="BA60:BA62" si="62">AY60+AZ60</f>
        <v>211.24350000000001</v>
      </c>
      <c r="BB60" s="31">
        <f t="shared" ref="BB60:BB62" si="63">BA60-AZ60-AK60</f>
        <v>0</v>
      </c>
      <c r="BC60" s="56">
        <f t="shared" si="18"/>
        <v>1.1000000000080945E-3</v>
      </c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</row>
    <row r="61" spans="1:71" ht="27.6">
      <c r="A61" s="352"/>
      <c r="B61" s="353" t="s">
        <v>218</v>
      </c>
      <c r="C61" s="59" t="s">
        <v>35</v>
      </c>
      <c r="D61" s="62" t="s">
        <v>63</v>
      </c>
      <c r="E61" s="62">
        <v>10000</v>
      </c>
      <c r="F61" s="60">
        <v>46113</v>
      </c>
      <c r="G61" s="61">
        <f>8647/4</f>
        <v>2161.75</v>
      </c>
      <c r="H61" s="62">
        <v>22</v>
      </c>
      <c r="I61" s="61" t="s">
        <v>41</v>
      </c>
      <c r="J61" s="230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111"/>
      <c r="AG61" s="62">
        <v>2272.73</v>
      </c>
      <c r="AH61" s="67"/>
      <c r="AI61" s="66"/>
      <c r="AJ61" s="25">
        <f>AG61</f>
        <v>2272.73</v>
      </c>
      <c r="AK61" s="26">
        <f t="shared" si="58"/>
        <v>522.72789999999998</v>
      </c>
      <c r="AL61" s="62">
        <v>787.5</v>
      </c>
      <c r="AM61" s="63"/>
      <c r="AN61" s="63"/>
      <c r="AO61" s="63"/>
      <c r="AP61" s="63"/>
      <c r="AQ61" s="63"/>
      <c r="AR61" s="63"/>
      <c r="AS61" s="63"/>
      <c r="AT61" s="62">
        <v>962.5</v>
      </c>
      <c r="AU61" s="27">
        <f t="shared" si="59"/>
        <v>2.1000000001549779E-3</v>
      </c>
      <c r="AV61" s="28">
        <f t="shared" si="60"/>
        <v>1750</v>
      </c>
      <c r="AW61" s="110"/>
      <c r="AX61" s="110"/>
      <c r="AY61" s="28">
        <f t="shared" si="61"/>
        <v>522.72789999999998</v>
      </c>
      <c r="AZ61" s="29">
        <f>AJ61*H61%</f>
        <v>500.00060000000002</v>
      </c>
      <c r="BA61" s="30">
        <f t="shared" si="62"/>
        <v>1022.7284999999999</v>
      </c>
      <c r="BB61" s="31">
        <f t="shared" si="63"/>
        <v>0</v>
      </c>
      <c r="BC61" s="56">
        <f t="shared" si="18"/>
        <v>2.1000000001549779E-3</v>
      </c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</row>
    <row r="62" spans="1:71" ht="27.6">
      <c r="A62" s="54" t="s">
        <v>245</v>
      </c>
      <c r="B62" s="322" t="s">
        <v>218</v>
      </c>
      <c r="C62" s="34" t="s">
        <v>40</v>
      </c>
      <c r="D62" s="109" t="s">
        <v>81</v>
      </c>
      <c r="E62" s="109">
        <v>8700</v>
      </c>
      <c r="F62" s="36">
        <v>0.65</v>
      </c>
      <c r="G62" s="39">
        <f>E62*0.65</f>
        <v>5655</v>
      </c>
      <c r="H62" s="38">
        <v>22</v>
      </c>
      <c r="I62" s="42" t="s">
        <v>41</v>
      </c>
      <c r="J62" s="354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09">
        <v>653.82000000000005</v>
      </c>
      <c r="AE62" s="110"/>
      <c r="AF62" s="111"/>
      <c r="AG62" s="110"/>
      <c r="AH62" s="92">
        <v>519.71</v>
      </c>
      <c r="AI62" s="252"/>
      <c r="AJ62" s="25">
        <f>AH62+AI62+AD62</f>
        <v>1173.5300000000002</v>
      </c>
      <c r="AK62" s="26">
        <f t="shared" si="58"/>
        <v>269.91190000000006</v>
      </c>
      <c r="AL62" s="162"/>
      <c r="AM62" s="351"/>
      <c r="AN62" s="162">
        <v>903.61</v>
      </c>
      <c r="AO62" s="351"/>
      <c r="AP62" s="351"/>
      <c r="AQ62" s="351"/>
      <c r="AR62" s="351"/>
      <c r="AS62" s="351"/>
      <c r="AT62" s="162"/>
      <c r="AU62" s="27">
        <f t="shared" si="59"/>
        <v>8.1000000001267836E-3</v>
      </c>
      <c r="AV62" s="28">
        <f t="shared" si="60"/>
        <v>903.61</v>
      </c>
      <c r="AW62" s="110"/>
      <c r="AX62" s="110"/>
      <c r="AY62" s="28">
        <f t="shared" si="61"/>
        <v>269.91190000000006</v>
      </c>
      <c r="AZ62" s="29">
        <f>AJ62*H62%</f>
        <v>258.17660000000006</v>
      </c>
      <c r="BA62" s="30">
        <f t="shared" si="62"/>
        <v>528.08850000000007</v>
      </c>
      <c r="BB62" s="31">
        <f t="shared" si="63"/>
        <v>0</v>
      </c>
      <c r="BC62" s="56">
        <f t="shared" si="18"/>
        <v>8.1000000001267836E-3</v>
      </c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</row>
    <row r="63" spans="1:71" ht="13.8">
      <c r="A63" s="102"/>
      <c r="B63" s="103" t="s">
        <v>82</v>
      </c>
      <c r="C63" s="104"/>
      <c r="D63" s="104"/>
      <c r="E63" s="104"/>
      <c r="F63" s="104"/>
      <c r="G63" s="104"/>
      <c r="H63" s="104"/>
      <c r="I63" s="104"/>
      <c r="J63" s="104"/>
      <c r="K63" s="104">
        <f>K60+K62+K61</f>
        <v>0</v>
      </c>
      <c r="L63" s="104"/>
      <c r="M63" s="104">
        <f t="shared" ref="M63:N63" si="64">M60+M62+M61</f>
        <v>0</v>
      </c>
      <c r="N63" s="104">
        <f t="shared" si="64"/>
        <v>0</v>
      </c>
      <c r="O63" s="104"/>
      <c r="P63" s="104">
        <f t="shared" ref="P63:Q63" si="65">P60+P62+P61</f>
        <v>0</v>
      </c>
      <c r="Q63" s="104">
        <f t="shared" si="65"/>
        <v>0</v>
      </c>
      <c r="R63" s="104"/>
      <c r="S63" s="104">
        <f t="shared" ref="S63:BB63" si="66">S60+S62+S61</f>
        <v>0</v>
      </c>
      <c r="T63" s="104">
        <f t="shared" si="66"/>
        <v>0</v>
      </c>
      <c r="U63" s="104">
        <f t="shared" si="66"/>
        <v>0</v>
      </c>
      <c r="V63" s="104">
        <f t="shared" si="66"/>
        <v>0</v>
      </c>
      <c r="W63" s="104">
        <f t="shared" si="66"/>
        <v>0</v>
      </c>
      <c r="X63" s="104">
        <f t="shared" si="66"/>
        <v>0</v>
      </c>
      <c r="Y63" s="104">
        <f t="shared" si="66"/>
        <v>0</v>
      </c>
      <c r="Z63" s="104">
        <f t="shared" si="66"/>
        <v>0</v>
      </c>
      <c r="AA63" s="104">
        <f t="shared" si="66"/>
        <v>0</v>
      </c>
      <c r="AB63" s="104">
        <f t="shared" si="66"/>
        <v>0</v>
      </c>
      <c r="AC63" s="104">
        <f t="shared" si="66"/>
        <v>0</v>
      </c>
      <c r="AD63" s="104">
        <f t="shared" si="66"/>
        <v>915.36000000000013</v>
      </c>
      <c r="AE63" s="104">
        <f t="shared" si="66"/>
        <v>0</v>
      </c>
      <c r="AF63" s="112">
        <f t="shared" si="66"/>
        <v>0</v>
      </c>
      <c r="AG63" s="104">
        <f t="shared" si="66"/>
        <v>2272.73</v>
      </c>
      <c r="AH63" s="112">
        <f t="shared" si="66"/>
        <v>727.6</v>
      </c>
      <c r="AI63" s="112">
        <f t="shared" si="66"/>
        <v>0</v>
      </c>
      <c r="AJ63" s="112">
        <f t="shared" si="66"/>
        <v>3915.6900000000005</v>
      </c>
      <c r="AK63" s="112">
        <f t="shared" si="66"/>
        <v>900.6087</v>
      </c>
      <c r="AL63" s="104">
        <f t="shared" si="66"/>
        <v>787.5</v>
      </c>
      <c r="AM63" s="104">
        <f t="shared" si="66"/>
        <v>0</v>
      </c>
      <c r="AN63" s="104">
        <f t="shared" si="66"/>
        <v>1265.07</v>
      </c>
      <c r="AO63" s="104">
        <f t="shared" si="66"/>
        <v>0</v>
      </c>
      <c r="AP63" s="112">
        <f t="shared" si="66"/>
        <v>0</v>
      </c>
      <c r="AQ63" s="104">
        <f t="shared" si="66"/>
        <v>0</v>
      </c>
      <c r="AR63" s="104">
        <f t="shared" si="66"/>
        <v>0</v>
      </c>
      <c r="AS63" s="104">
        <f t="shared" si="66"/>
        <v>0</v>
      </c>
      <c r="AT63" s="104">
        <f t="shared" si="66"/>
        <v>962.5</v>
      </c>
      <c r="AU63" s="112">
        <f t="shared" si="66"/>
        <v>1.1300000000289856E-2</v>
      </c>
      <c r="AV63" s="112">
        <f t="shared" si="66"/>
        <v>3015.0699999999997</v>
      </c>
      <c r="AW63" s="104">
        <f t="shared" si="66"/>
        <v>0</v>
      </c>
      <c r="AX63" s="104">
        <f t="shared" si="66"/>
        <v>0</v>
      </c>
      <c r="AY63" s="112">
        <f t="shared" si="66"/>
        <v>900.6087</v>
      </c>
      <c r="AZ63" s="112">
        <f t="shared" si="66"/>
        <v>861.45180000000005</v>
      </c>
      <c r="BA63" s="112">
        <f t="shared" si="66"/>
        <v>1762.0605</v>
      </c>
      <c r="BB63" s="112">
        <f t="shared" si="66"/>
        <v>0</v>
      </c>
      <c r="BC63" s="56">
        <f t="shared" si="18"/>
        <v>1.130000000102882E-2</v>
      </c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</row>
    <row r="64" spans="1:71" ht="15.6">
      <c r="A64" s="102"/>
      <c r="B64" s="113" t="s">
        <v>83</v>
      </c>
      <c r="C64" s="114"/>
      <c r="D64" s="114"/>
      <c r="E64" s="114"/>
      <c r="F64" s="114"/>
      <c r="G64" s="114"/>
      <c r="H64" s="114"/>
      <c r="I64" s="114"/>
      <c r="J64" s="114"/>
      <c r="K64" s="114">
        <f>K58+K63</f>
        <v>2221</v>
      </c>
      <c r="L64" s="114"/>
      <c r="M64" s="114">
        <f t="shared" ref="M64:N64" si="67">M58+M63</f>
        <v>479950</v>
      </c>
      <c r="N64" s="114">
        <f t="shared" si="67"/>
        <v>64</v>
      </c>
      <c r="O64" s="114"/>
      <c r="P64" s="114">
        <f t="shared" ref="P64:Q64" si="68">P58+P63</f>
        <v>10440</v>
      </c>
      <c r="Q64" s="114">
        <f t="shared" si="68"/>
        <v>0</v>
      </c>
      <c r="R64" s="114"/>
      <c r="S64" s="114">
        <f t="shared" ref="S64:BB64" si="69">S58+S63</f>
        <v>0</v>
      </c>
      <c r="T64" s="114">
        <f t="shared" si="69"/>
        <v>0</v>
      </c>
      <c r="U64" s="114">
        <f t="shared" si="69"/>
        <v>1200</v>
      </c>
      <c r="V64" s="114">
        <f t="shared" si="69"/>
        <v>0</v>
      </c>
      <c r="W64" s="114">
        <f t="shared" si="69"/>
        <v>22</v>
      </c>
      <c r="X64" s="114">
        <f t="shared" si="69"/>
        <v>0</v>
      </c>
      <c r="Y64" s="114">
        <f t="shared" si="69"/>
        <v>3520</v>
      </c>
      <c r="Z64" s="115">
        <f t="shared" si="69"/>
        <v>7620</v>
      </c>
      <c r="AA64" s="114">
        <f t="shared" si="69"/>
        <v>15141.619999999999</v>
      </c>
      <c r="AB64" s="114">
        <f t="shared" si="69"/>
        <v>2040</v>
      </c>
      <c r="AC64" s="114">
        <f t="shared" si="69"/>
        <v>72617</v>
      </c>
      <c r="AD64" s="114">
        <f t="shared" si="69"/>
        <v>216737.78999999998</v>
      </c>
      <c r="AE64" s="115">
        <f t="shared" si="69"/>
        <v>0</v>
      </c>
      <c r="AF64" s="115">
        <f t="shared" si="69"/>
        <v>495110</v>
      </c>
      <c r="AG64" s="115">
        <f t="shared" si="69"/>
        <v>192132.05000000002</v>
      </c>
      <c r="AH64" s="115">
        <f t="shared" si="69"/>
        <v>17606.198571428573</v>
      </c>
      <c r="AI64" s="115">
        <f t="shared" si="69"/>
        <v>530639.32467532472</v>
      </c>
      <c r="AJ64" s="115">
        <f t="shared" si="69"/>
        <v>1118670.983246753</v>
      </c>
      <c r="AK64" s="115">
        <f t="shared" si="69"/>
        <v>257294.32614675327</v>
      </c>
      <c r="AL64" s="115">
        <f t="shared" si="69"/>
        <v>88043.54</v>
      </c>
      <c r="AM64" s="115">
        <f t="shared" si="69"/>
        <v>4603.8100000000004</v>
      </c>
      <c r="AN64" s="115">
        <f t="shared" si="69"/>
        <v>189035.72000000003</v>
      </c>
      <c r="AO64" s="115">
        <f t="shared" si="69"/>
        <v>0</v>
      </c>
      <c r="AP64" s="115">
        <f t="shared" si="69"/>
        <v>357150.25999999995</v>
      </c>
      <c r="AQ64" s="115">
        <f t="shared" si="69"/>
        <v>3520</v>
      </c>
      <c r="AR64" s="115">
        <f t="shared" si="69"/>
        <v>108592.10999999999</v>
      </c>
      <c r="AS64" s="115">
        <f t="shared" si="69"/>
        <v>16598.39</v>
      </c>
      <c r="AT64" s="115">
        <f t="shared" si="69"/>
        <v>99085.430000000008</v>
      </c>
      <c r="AU64" s="115">
        <f t="shared" si="69"/>
        <v>-5252.6028999999889</v>
      </c>
      <c r="AV64" s="115">
        <f t="shared" si="69"/>
        <v>866629.26</v>
      </c>
      <c r="AW64" s="115">
        <f t="shared" si="69"/>
        <v>0</v>
      </c>
      <c r="AX64" s="115">
        <f t="shared" si="69"/>
        <v>0</v>
      </c>
      <c r="AY64" s="115">
        <f t="shared" si="69"/>
        <v>257294.32614675327</v>
      </c>
      <c r="AZ64" s="115">
        <f t="shared" si="69"/>
        <v>214144.83566790909</v>
      </c>
      <c r="BA64" s="115">
        <f t="shared" si="69"/>
        <v>471439.16181466234</v>
      </c>
      <c r="BB64" s="115">
        <f t="shared" si="69"/>
        <v>0</v>
      </c>
      <c r="BC64" s="56">
        <f t="shared" si="18"/>
        <v>-5252.6029000002891</v>
      </c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</row>
    <row r="65" spans="1:71" ht="13.8">
      <c r="A65" s="116"/>
      <c r="B65" s="117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9"/>
      <c r="AG65" s="118"/>
      <c r="AH65" s="118"/>
      <c r="AI65" s="118"/>
      <c r="AJ65" s="120"/>
      <c r="AK65" s="121"/>
      <c r="AL65" s="118"/>
      <c r="AM65" s="118"/>
      <c r="AN65" s="118"/>
      <c r="AO65" s="118"/>
      <c r="AP65" s="253">
        <f>AP64-AP5</f>
        <v>338934.24999999994</v>
      </c>
      <c r="AQ65" s="118"/>
      <c r="AR65" s="118"/>
      <c r="AS65" s="118"/>
      <c r="AT65" s="118"/>
      <c r="AU65" s="118"/>
      <c r="AV65" s="118"/>
      <c r="AW65" s="118"/>
      <c r="AX65" s="118"/>
      <c r="AY65" s="122"/>
      <c r="AZ65" s="122"/>
      <c r="BA65" s="122"/>
      <c r="BB65" s="122"/>
      <c r="BC65" s="32">
        <f t="shared" si="18"/>
        <v>0</v>
      </c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3"/>
      <c r="BQ65" s="123"/>
      <c r="BR65" s="123"/>
      <c r="BS65" s="123"/>
    </row>
    <row r="66" spans="1:71" ht="13.8">
      <c r="A66" s="124"/>
      <c r="B66" s="125" t="s">
        <v>84</v>
      </c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254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7"/>
      <c r="AZ66" s="127"/>
      <c r="BA66" s="127"/>
      <c r="BB66" s="127"/>
      <c r="BC66" s="32">
        <f t="shared" si="18"/>
        <v>0</v>
      </c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</row>
    <row r="67" spans="1:71" ht="13.8">
      <c r="A67" s="108"/>
      <c r="B67" s="7" t="s">
        <v>85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250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9"/>
      <c r="AZ67" s="9"/>
      <c r="BA67" s="9"/>
      <c r="BB67" s="9"/>
      <c r="BC67" s="32">
        <f t="shared" si="18"/>
        <v>0</v>
      </c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</row>
    <row r="68" spans="1:71" ht="27.6">
      <c r="A68" s="355" t="s">
        <v>33</v>
      </c>
      <c r="B68" s="255" t="s">
        <v>86</v>
      </c>
      <c r="C68" s="129" t="s">
        <v>40</v>
      </c>
      <c r="D68" s="133" t="s">
        <v>87</v>
      </c>
      <c r="E68" s="134">
        <v>8700</v>
      </c>
      <c r="F68" s="135">
        <v>46115</v>
      </c>
      <c r="G68" s="110">
        <f>(E68/4)*3</f>
        <v>6525</v>
      </c>
      <c r="H68" s="109">
        <v>22</v>
      </c>
      <c r="I68" s="42" t="s">
        <v>41</v>
      </c>
      <c r="J68" s="40"/>
      <c r="K68" s="40">
        <v>134</v>
      </c>
      <c r="L68" s="41">
        <v>200</v>
      </c>
      <c r="M68" s="42">
        <f t="shared" ref="M68:M85" si="70">K68*L68</f>
        <v>26800</v>
      </c>
      <c r="N68" s="43"/>
      <c r="O68" s="42"/>
      <c r="P68" s="44">
        <f t="shared" ref="P68:P84" si="71">N68*O68</f>
        <v>0</v>
      </c>
      <c r="Q68" s="43"/>
      <c r="R68" s="42"/>
      <c r="S68" s="44">
        <f t="shared" ref="S68:S84" si="72">Q68*R68</f>
        <v>0</v>
      </c>
      <c r="T68" s="43"/>
      <c r="U68" s="43"/>
      <c r="V68" s="43"/>
      <c r="W68" s="43"/>
      <c r="X68" s="42"/>
      <c r="Y68" s="44">
        <f t="shared" ref="Y68:Y84" si="73">W68*X68</f>
        <v>0</v>
      </c>
      <c r="Z68" s="45"/>
      <c r="AA68" s="308"/>
      <c r="AB68" s="308"/>
      <c r="AC68" s="308"/>
      <c r="AD68" s="37"/>
      <c r="AE68" s="308"/>
      <c r="AF68" s="22">
        <f t="shared" ref="AF68:AF76" si="74">M68+P68+S68+V68+Y68</f>
        <v>26800</v>
      </c>
      <c r="AG68" s="29"/>
      <c r="AH68" s="258">
        <f>6440.26+AE68</f>
        <v>6440.26</v>
      </c>
      <c r="AI68" s="50">
        <f t="shared" ref="AI68:AI76" si="75">(AP68*100)/77</f>
        <v>28364.935064935064</v>
      </c>
      <c r="AJ68" s="25">
        <f t="shared" ref="AJ68:AJ79" si="76">AH68+AI68</f>
        <v>34805.195064935062</v>
      </c>
      <c r="AK68" s="26">
        <f t="shared" ref="AK68:AK107" si="77">AJ68*23%</f>
        <v>8005.1948649350643</v>
      </c>
      <c r="AL68" s="51">
        <v>2479.5</v>
      </c>
      <c r="AM68" s="52"/>
      <c r="AN68" s="52"/>
      <c r="AO68" s="53"/>
      <c r="AP68" s="53">
        <f>AF68-AL68-AT68</f>
        <v>21841</v>
      </c>
      <c r="AQ68" s="53"/>
      <c r="AR68" s="53"/>
      <c r="AS68" s="51"/>
      <c r="AT68" s="51">
        <v>2479.5</v>
      </c>
      <c r="AU68" s="27">
        <f t="shared" ref="AU68:AU108" si="78">AJ68-AK68-AL68-AT68-AN68-AR68-AM68-AS68-AO68-AP68-AQ68</f>
        <v>1.9999999858555384E-4</v>
      </c>
      <c r="AV68" s="28">
        <f t="shared" ref="AV68:AV107" si="79">AL68+AM68+AN68+AR68+AS68+AT68+AO68+AP68+AQ68</f>
        <v>26800</v>
      </c>
      <c r="AW68" s="28"/>
      <c r="AX68" s="28"/>
      <c r="AY68" s="28">
        <f t="shared" ref="AY68:AY107" si="80">AJ68*23%</f>
        <v>8005.1948649350643</v>
      </c>
      <c r="AZ68" s="29">
        <f t="shared" ref="AZ68:AZ107" si="81">AJ68*H68%</f>
        <v>7657.1429142857132</v>
      </c>
      <c r="BA68" s="30">
        <f t="shared" ref="BA68:BA107" si="82">AY68+AZ68</f>
        <v>15662.337779220778</v>
      </c>
      <c r="BB68" s="31">
        <f t="shared" ref="BB68:BB107" si="83">BA68-AZ68-AK68</f>
        <v>0</v>
      </c>
      <c r="BC68" s="56">
        <f t="shared" si="18"/>
        <v>1.9999999858555384E-4</v>
      </c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</row>
    <row r="69" spans="1:71" ht="27.6">
      <c r="A69" s="132">
        <f t="shared" ref="A69:A94" si="84">A68+1</f>
        <v>2</v>
      </c>
      <c r="B69" s="255" t="s">
        <v>88</v>
      </c>
      <c r="C69" s="129" t="s">
        <v>40</v>
      </c>
      <c r="D69" s="130" t="s">
        <v>89</v>
      </c>
      <c r="E69" s="83">
        <v>8700</v>
      </c>
      <c r="F69" s="55">
        <v>46113</v>
      </c>
      <c r="G69" s="79">
        <f>E69/4</f>
        <v>2175</v>
      </c>
      <c r="H69" s="109">
        <v>22</v>
      </c>
      <c r="I69" s="42" t="s">
        <v>41</v>
      </c>
      <c r="J69" s="40"/>
      <c r="K69" s="40">
        <v>130</v>
      </c>
      <c r="L69" s="41">
        <v>200</v>
      </c>
      <c r="M69" s="42">
        <f t="shared" si="70"/>
        <v>26000</v>
      </c>
      <c r="N69" s="43"/>
      <c r="O69" s="42"/>
      <c r="P69" s="44">
        <f t="shared" si="71"/>
        <v>0</v>
      </c>
      <c r="Q69" s="43"/>
      <c r="R69" s="42"/>
      <c r="S69" s="44">
        <f t="shared" si="72"/>
        <v>0</v>
      </c>
      <c r="T69" s="43"/>
      <c r="U69" s="43"/>
      <c r="V69" s="43"/>
      <c r="W69" s="43"/>
      <c r="X69" s="42"/>
      <c r="Y69" s="44">
        <f t="shared" si="73"/>
        <v>0</v>
      </c>
      <c r="Z69" s="45"/>
      <c r="AA69" s="308"/>
      <c r="AB69" s="308"/>
      <c r="AC69" s="308"/>
      <c r="AD69" s="39"/>
      <c r="AE69" s="323"/>
      <c r="AF69" s="22">
        <f t="shared" si="74"/>
        <v>26000</v>
      </c>
      <c r="AG69" s="29"/>
      <c r="AH69" s="258">
        <v>6756.27</v>
      </c>
      <c r="AI69" s="50">
        <f t="shared" si="75"/>
        <v>27009.961038961043</v>
      </c>
      <c r="AJ69" s="25">
        <f t="shared" si="76"/>
        <v>33766.231038961043</v>
      </c>
      <c r="AK69" s="26">
        <f t="shared" si="77"/>
        <v>7766.2331389610399</v>
      </c>
      <c r="AL69" s="51">
        <v>2601.16</v>
      </c>
      <c r="AM69" s="52"/>
      <c r="AN69" s="52"/>
      <c r="AO69" s="53"/>
      <c r="AP69" s="53">
        <f t="shared" ref="AP69:AP70" si="85">AF69-AT69-AL69</f>
        <v>20797.670000000002</v>
      </c>
      <c r="AQ69" s="53"/>
      <c r="AR69" s="53"/>
      <c r="AS69" s="51"/>
      <c r="AT69" s="51">
        <v>2601.17</v>
      </c>
      <c r="AU69" s="27">
        <f t="shared" si="78"/>
        <v>-2.1000000015192199E-3</v>
      </c>
      <c r="AV69" s="28">
        <f t="shared" si="79"/>
        <v>26000</v>
      </c>
      <c r="AW69" s="28"/>
      <c r="AX69" s="28"/>
      <c r="AY69" s="28">
        <f t="shared" si="80"/>
        <v>7766.2331389610399</v>
      </c>
      <c r="AZ69" s="29">
        <f t="shared" si="81"/>
        <v>7428.570828571429</v>
      </c>
      <c r="BA69" s="30">
        <f t="shared" si="82"/>
        <v>15194.803967532469</v>
      </c>
      <c r="BB69" s="31">
        <f t="shared" si="83"/>
        <v>0</v>
      </c>
      <c r="BC69" s="56">
        <f t="shared" si="18"/>
        <v>-2.0999999978812411E-3</v>
      </c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</row>
    <row r="70" spans="1:71" ht="27.6">
      <c r="A70" s="132">
        <f t="shared" si="84"/>
        <v>3</v>
      </c>
      <c r="B70" s="255" t="s">
        <v>90</v>
      </c>
      <c r="C70" s="129" t="s">
        <v>40</v>
      </c>
      <c r="D70" s="133" t="s">
        <v>91</v>
      </c>
      <c r="E70" s="134">
        <v>8700</v>
      </c>
      <c r="F70" s="134">
        <v>1</v>
      </c>
      <c r="G70" s="109">
        <v>8700</v>
      </c>
      <c r="H70" s="109">
        <v>22</v>
      </c>
      <c r="I70" s="42" t="s">
        <v>41</v>
      </c>
      <c r="J70" s="40"/>
      <c r="K70" s="40">
        <v>162</v>
      </c>
      <c r="L70" s="41">
        <v>200</v>
      </c>
      <c r="M70" s="42">
        <f t="shared" si="70"/>
        <v>32400</v>
      </c>
      <c r="N70" s="43"/>
      <c r="O70" s="42"/>
      <c r="P70" s="44">
        <f t="shared" si="71"/>
        <v>0</v>
      </c>
      <c r="Q70" s="43"/>
      <c r="R70" s="42"/>
      <c r="S70" s="44">
        <f t="shared" si="72"/>
        <v>0</v>
      </c>
      <c r="T70" s="43"/>
      <c r="U70" s="43"/>
      <c r="V70" s="43"/>
      <c r="W70" s="43"/>
      <c r="X70" s="42"/>
      <c r="Y70" s="44">
        <f t="shared" si="73"/>
        <v>0</v>
      </c>
      <c r="Z70" s="84">
        <v>1560</v>
      </c>
      <c r="AA70" s="308"/>
      <c r="AB70" s="308">
        <f>Z70*0.77</f>
        <v>1201.2</v>
      </c>
      <c r="AC70" s="308"/>
      <c r="AD70" s="37"/>
      <c r="AE70" s="308"/>
      <c r="AF70" s="22">
        <f t="shared" si="74"/>
        <v>32400</v>
      </c>
      <c r="AG70" s="29"/>
      <c r="AH70" s="258">
        <f>8700+Z70</f>
        <v>10260</v>
      </c>
      <c r="AI70" s="50">
        <f t="shared" si="75"/>
        <v>31817.922077922078</v>
      </c>
      <c r="AJ70" s="25">
        <f t="shared" si="76"/>
        <v>42077.922077922078</v>
      </c>
      <c r="AK70" s="26">
        <f t="shared" si="77"/>
        <v>9677.9220779220777</v>
      </c>
      <c r="AL70" s="51">
        <v>3349.5</v>
      </c>
      <c r="AM70" s="52"/>
      <c r="AN70" s="51"/>
      <c r="AO70" s="53"/>
      <c r="AP70" s="53">
        <f t="shared" si="85"/>
        <v>24499.8</v>
      </c>
      <c r="AQ70" s="53"/>
      <c r="AR70" s="53"/>
      <c r="AS70" s="51"/>
      <c r="AT70" s="51">
        <v>4550.7</v>
      </c>
      <c r="AU70" s="27">
        <f t="shared" si="78"/>
        <v>0</v>
      </c>
      <c r="AV70" s="28">
        <f t="shared" si="79"/>
        <v>32400</v>
      </c>
      <c r="AW70" s="28"/>
      <c r="AX70" s="28"/>
      <c r="AY70" s="28">
        <f t="shared" si="80"/>
        <v>9677.9220779220777</v>
      </c>
      <c r="AZ70" s="29">
        <f t="shared" si="81"/>
        <v>9257.1428571428569</v>
      </c>
      <c r="BA70" s="30">
        <f t="shared" si="82"/>
        <v>18935.064935064933</v>
      </c>
      <c r="BB70" s="31">
        <f t="shared" si="83"/>
        <v>0</v>
      </c>
      <c r="BC70" s="56">
        <f t="shared" si="18"/>
        <v>0</v>
      </c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</row>
    <row r="71" spans="1:71" ht="13.8">
      <c r="A71" s="132">
        <f t="shared" si="84"/>
        <v>4</v>
      </c>
      <c r="B71" s="255" t="s">
        <v>92</v>
      </c>
      <c r="C71" s="129" t="s">
        <v>40</v>
      </c>
      <c r="D71" s="133" t="s">
        <v>93</v>
      </c>
      <c r="E71" s="83">
        <v>8700</v>
      </c>
      <c r="F71" s="55">
        <v>46113</v>
      </c>
      <c r="G71" s="79">
        <f t="shared" ref="G71:G72" si="86">E71/4</f>
        <v>2175</v>
      </c>
      <c r="H71" s="109">
        <v>22</v>
      </c>
      <c r="I71" s="38" t="s">
        <v>37</v>
      </c>
      <c r="J71" s="97"/>
      <c r="K71" s="97"/>
      <c r="L71" s="41">
        <v>200</v>
      </c>
      <c r="M71" s="42">
        <f t="shared" si="70"/>
        <v>0</v>
      </c>
      <c r="N71" s="43"/>
      <c r="O71" s="42"/>
      <c r="P71" s="44">
        <f t="shared" si="71"/>
        <v>0</v>
      </c>
      <c r="Q71" s="43"/>
      <c r="R71" s="42"/>
      <c r="S71" s="44">
        <f t="shared" si="72"/>
        <v>0</v>
      </c>
      <c r="T71" s="43"/>
      <c r="U71" s="43"/>
      <c r="V71" s="43"/>
      <c r="W71" s="43"/>
      <c r="X71" s="42"/>
      <c r="Y71" s="44">
        <f t="shared" si="73"/>
        <v>0</v>
      </c>
      <c r="Z71" s="45"/>
      <c r="AA71" s="308"/>
      <c r="AB71" s="308"/>
      <c r="AC71" s="308"/>
      <c r="AD71" s="136"/>
      <c r="AE71" s="308"/>
      <c r="AF71" s="22">
        <f t="shared" si="74"/>
        <v>0</v>
      </c>
      <c r="AG71" s="29"/>
      <c r="AH71" s="258">
        <v>2259.7399999999998</v>
      </c>
      <c r="AI71" s="50">
        <f t="shared" si="75"/>
        <v>0</v>
      </c>
      <c r="AJ71" s="25">
        <f t="shared" si="76"/>
        <v>2259.7399999999998</v>
      </c>
      <c r="AK71" s="26">
        <f t="shared" si="77"/>
        <v>519.74019999999996</v>
      </c>
      <c r="AL71" s="51">
        <v>870</v>
      </c>
      <c r="AM71" s="52"/>
      <c r="AN71" s="51"/>
      <c r="AO71" s="53"/>
      <c r="AP71" s="53"/>
      <c r="AQ71" s="53"/>
      <c r="AR71" s="53"/>
      <c r="AS71" s="51"/>
      <c r="AT71" s="51">
        <v>870</v>
      </c>
      <c r="AU71" s="27">
        <f t="shared" si="78"/>
        <v>-2.0000000017716957E-4</v>
      </c>
      <c r="AV71" s="28">
        <f t="shared" si="79"/>
        <v>1740</v>
      </c>
      <c r="AW71" s="28"/>
      <c r="AX71" s="28"/>
      <c r="AY71" s="28">
        <f t="shared" si="80"/>
        <v>519.74019999999996</v>
      </c>
      <c r="AZ71" s="29">
        <f t="shared" si="81"/>
        <v>497.14279999999997</v>
      </c>
      <c r="BA71" s="30">
        <f t="shared" si="82"/>
        <v>1016.8829999999999</v>
      </c>
      <c r="BB71" s="31">
        <f t="shared" si="83"/>
        <v>0</v>
      </c>
      <c r="BC71" s="56">
        <f t="shared" si="18"/>
        <v>-2.0000000017716957E-4</v>
      </c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</row>
    <row r="72" spans="1:71" ht="13.8">
      <c r="A72" s="132">
        <f t="shared" si="84"/>
        <v>5</v>
      </c>
      <c r="B72" s="257" t="s">
        <v>94</v>
      </c>
      <c r="C72" s="129" t="s">
        <v>40</v>
      </c>
      <c r="D72" s="137" t="s">
        <v>48</v>
      </c>
      <c r="E72" s="83">
        <v>8700</v>
      </c>
      <c r="F72" s="55">
        <v>46113</v>
      </c>
      <c r="G72" s="79">
        <f t="shared" si="86"/>
        <v>2175</v>
      </c>
      <c r="H72" s="109">
        <v>22</v>
      </c>
      <c r="I72" s="38" t="s">
        <v>37</v>
      </c>
      <c r="J72" s="40"/>
      <c r="K72" s="40">
        <v>152</v>
      </c>
      <c r="L72" s="41">
        <v>200</v>
      </c>
      <c r="M72" s="42">
        <f t="shared" si="70"/>
        <v>30400</v>
      </c>
      <c r="N72" s="43"/>
      <c r="O72" s="42"/>
      <c r="P72" s="44">
        <f t="shared" si="71"/>
        <v>0</v>
      </c>
      <c r="Q72" s="43"/>
      <c r="R72" s="42"/>
      <c r="S72" s="44">
        <f t="shared" si="72"/>
        <v>0</v>
      </c>
      <c r="T72" s="43"/>
      <c r="U72" s="43"/>
      <c r="V72" s="43"/>
      <c r="W72" s="43"/>
      <c r="X72" s="42"/>
      <c r="Y72" s="44">
        <f t="shared" si="73"/>
        <v>0</v>
      </c>
      <c r="Z72" s="45"/>
      <c r="AA72" s="308"/>
      <c r="AB72" s="308"/>
      <c r="AC72" s="48">
        <v>6494</v>
      </c>
      <c r="AD72" s="37"/>
      <c r="AE72" s="308"/>
      <c r="AF72" s="22">
        <f t="shared" si="74"/>
        <v>30400</v>
      </c>
      <c r="AG72" s="29"/>
      <c r="AH72" s="258">
        <f>2702.51+AC72</f>
        <v>9196.51</v>
      </c>
      <c r="AI72" s="50">
        <f t="shared" si="75"/>
        <v>36778.012987012989</v>
      </c>
      <c r="AJ72" s="25">
        <f t="shared" si="76"/>
        <v>45974.522987012992</v>
      </c>
      <c r="AK72" s="26">
        <f t="shared" si="77"/>
        <v>10574.140287012988</v>
      </c>
      <c r="AL72" s="51">
        <v>1040.46</v>
      </c>
      <c r="AM72" s="51"/>
      <c r="AN72" s="51"/>
      <c r="AO72" s="53"/>
      <c r="AP72" s="48">
        <f>AF72-AL72-AT72</f>
        <v>28319.07</v>
      </c>
      <c r="AQ72" s="53"/>
      <c r="AR72" s="53">
        <v>5000.38</v>
      </c>
      <c r="AS72" s="51"/>
      <c r="AT72" s="51">
        <v>1040.47</v>
      </c>
      <c r="AU72" s="27">
        <f t="shared" si="78"/>
        <v>2.7000000009138603E-3</v>
      </c>
      <c r="AV72" s="28">
        <f t="shared" si="79"/>
        <v>35400.379999999997</v>
      </c>
      <c r="AW72" s="28"/>
      <c r="AX72" s="28"/>
      <c r="AY72" s="28">
        <f t="shared" si="80"/>
        <v>10574.140287012988</v>
      </c>
      <c r="AZ72" s="29">
        <f t="shared" si="81"/>
        <v>10114.395057142858</v>
      </c>
      <c r="BA72" s="30">
        <f t="shared" si="82"/>
        <v>20688.535344155847</v>
      </c>
      <c r="BB72" s="31">
        <f t="shared" si="83"/>
        <v>0</v>
      </c>
      <c r="BC72" s="56">
        <f t="shared" si="18"/>
        <v>2.7000000045518391E-3</v>
      </c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</row>
    <row r="73" spans="1:71" ht="27.6">
      <c r="A73" s="132">
        <f t="shared" si="84"/>
        <v>6</v>
      </c>
      <c r="B73" s="255" t="s">
        <v>95</v>
      </c>
      <c r="C73" s="129" t="s">
        <v>40</v>
      </c>
      <c r="D73" s="137" t="s">
        <v>48</v>
      </c>
      <c r="E73" s="134">
        <v>8700</v>
      </c>
      <c r="F73" s="135">
        <v>46115</v>
      </c>
      <c r="G73" s="110">
        <f>(E73/4)*3</f>
        <v>6525</v>
      </c>
      <c r="H73" s="109">
        <v>22</v>
      </c>
      <c r="I73" s="42" t="s">
        <v>41</v>
      </c>
      <c r="J73" s="40"/>
      <c r="K73" s="40">
        <v>126</v>
      </c>
      <c r="L73" s="41">
        <v>200</v>
      </c>
      <c r="M73" s="42">
        <f t="shared" si="70"/>
        <v>25200</v>
      </c>
      <c r="N73" s="43"/>
      <c r="O73" s="42"/>
      <c r="P73" s="44">
        <f t="shared" si="71"/>
        <v>0</v>
      </c>
      <c r="Q73" s="43"/>
      <c r="R73" s="42"/>
      <c r="S73" s="44">
        <f t="shared" si="72"/>
        <v>0</v>
      </c>
      <c r="T73" s="43"/>
      <c r="U73" s="43"/>
      <c r="V73" s="43"/>
      <c r="W73" s="43"/>
      <c r="X73" s="42"/>
      <c r="Y73" s="44">
        <f t="shared" si="73"/>
        <v>0</v>
      </c>
      <c r="Z73" s="45"/>
      <c r="AA73" s="76"/>
      <c r="AB73" s="76"/>
      <c r="AC73" s="76"/>
      <c r="AD73" s="138"/>
      <c r="AE73" s="45"/>
      <c r="AF73" s="22">
        <f t="shared" si="74"/>
        <v>25200</v>
      </c>
      <c r="AG73" s="29"/>
      <c r="AH73" s="258">
        <v>6440.26</v>
      </c>
      <c r="AI73" s="50">
        <f t="shared" si="75"/>
        <v>26287.012987012986</v>
      </c>
      <c r="AJ73" s="25">
        <f t="shared" si="76"/>
        <v>32727.272987012984</v>
      </c>
      <c r="AK73" s="26">
        <f t="shared" si="77"/>
        <v>7527.2727870129866</v>
      </c>
      <c r="AL73" s="51">
        <v>2479.5</v>
      </c>
      <c r="AM73" s="52"/>
      <c r="AN73" s="52"/>
      <c r="AO73" s="53"/>
      <c r="AP73" s="53">
        <f>AF73-AT73-AL73</f>
        <v>20241</v>
      </c>
      <c r="AQ73" s="53"/>
      <c r="AR73" s="53"/>
      <c r="AS73" s="51"/>
      <c r="AT73" s="51">
        <v>2479.5</v>
      </c>
      <c r="AU73" s="27">
        <f t="shared" si="78"/>
        <v>1.9999999858555384E-4</v>
      </c>
      <c r="AV73" s="28">
        <f t="shared" si="79"/>
        <v>25200</v>
      </c>
      <c r="AW73" s="28"/>
      <c r="AX73" s="28"/>
      <c r="AY73" s="28">
        <f t="shared" si="80"/>
        <v>7527.2727870129866</v>
      </c>
      <c r="AZ73" s="29">
        <f t="shared" si="81"/>
        <v>7200.0000571428563</v>
      </c>
      <c r="BA73" s="30">
        <f t="shared" si="82"/>
        <v>14727.272844155843</v>
      </c>
      <c r="BB73" s="240">
        <f t="shared" si="83"/>
        <v>0</v>
      </c>
      <c r="BC73" s="56">
        <f t="shared" si="18"/>
        <v>1.9999999858555384E-4</v>
      </c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</row>
    <row r="74" spans="1:71" ht="27.6">
      <c r="A74" s="132">
        <f t="shared" si="84"/>
        <v>7</v>
      </c>
      <c r="B74" s="259" t="s">
        <v>96</v>
      </c>
      <c r="C74" s="129" t="s">
        <v>40</v>
      </c>
      <c r="D74" s="137" t="s">
        <v>48</v>
      </c>
      <c r="E74" s="134">
        <v>8700</v>
      </c>
      <c r="F74" s="139">
        <v>0.3</v>
      </c>
      <c r="G74" s="110"/>
      <c r="H74" s="109">
        <v>22</v>
      </c>
      <c r="I74" s="42" t="s">
        <v>41</v>
      </c>
      <c r="J74" s="40"/>
      <c r="K74" s="40">
        <v>19</v>
      </c>
      <c r="L74" s="41">
        <v>200</v>
      </c>
      <c r="M74" s="42">
        <f t="shared" si="70"/>
        <v>3800</v>
      </c>
      <c r="N74" s="43"/>
      <c r="O74" s="42"/>
      <c r="P74" s="44">
        <f t="shared" si="71"/>
        <v>0</v>
      </c>
      <c r="Q74" s="43"/>
      <c r="R74" s="42"/>
      <c r="S74" s="44">
        <f t="shared" si="72"/>
        <v>0</v>
      </c>
      <c r="T74" s="43"/>
      <c r="U74" s="43"/>
      <c r="V74" s="43"/>
      <c r="W74" s="43"/>
      <c r="X74" s="42"/>
      <c r="Y74" s="44">
        <f t="shared" si="73"/>
        <v>0</v>
      </c>
      <c r="Z74" s="45"/>
      <c r="AA74" s="76"/>
      <c r="AB74" s="76"/>
      <c r="AC74" s="76"/>
      <c r="AD74" s="138"/>
      <c r="AE74" s="45"/>
      <c r="AF74" s="22">
        <f t="shared" si="74"/>
        <v>3800</v>
      </c>
      <c r="AG74" s="29"/>
      <c r="AH74" s="258">
        <v>2465.17</v>
      </c>
      <c r="AI74" s="50">
        <f t="shared" si="75"/>
        <v>2469.8961038961033</v>
      </c>
      <c r="AJ74" s="25">
        <f t="shared" si="76"/>
        <v>4935.0661038961034</v>
      </c>
      <c r="AK74" s="26">
        <f t="shared" si="77"/>
        <v>1135.0652038961039</v>
      </c>
      <c r="AL74" s="51">
        <v>7118.18</v>
      </c>
      <c r="AM74" s="52"/>
      <c r="AN74" s="52"/>
      <c r="AO74" s="53"/>
      <c r="AP74" s="53">
        <f t="shared" ref="AP74:AP76" si="87">AF74-AL74-AT74</f>
        <v>1901.8199999999997</v>
      </c>
      <c r="AQ74" s="53"/>
      <c r="AR74" s="53"/>
      <c r="AS74" s="51"/>
      <c r="AT74" s="51">
        <v>-5220</v>
      </c>
      <c r="AU74" s="27">
        <f t="shared" si="78"/>
        <v>8.9999999954670784E-4</v>
      </c>
      <c r="AV74" s="28">
        <f t="shared" si="79"/>
        <v>3800</v>
      </c>
      <c r="AW74" s="28"/>
      <c r="AX74" s="28"/>
      <c r="AY74" s="28">
        <f t="shared" si="80"/>
        <v>1135.0652038961039</v>
      </c>
      <c r="AZ74" s="29">
        <f t="shared" si="81"/>
        <v>1085.7145428571428</v>
      </c>
      <c r="BA74" s="30">
        <f t="shared" si="82"/>
        <v>2220.7797467532464</v>
      </c>
      <c r="BB74" s="31">
        <f t="shared" si="83"/>
        <v>0</v>
      </c>
      <c r="BC74" s="56">
        <f t="shared" si="18"/>
        <v>8.9999999954670784E-4</v>
      </c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</row>
    <row r="75" spans="1:71" ht="27.6">
      <c r="A75" s="356">
        <f t="shared" si="84"/>
        <v>8</v>
      </c>
      <c r="B75" s="259" t="s">
        <v>97</v>
      </c>
      <c r="C75" s="129" t="s">
        <v>40</v>
      </c>
      <c r="D75" s="137" t="s">
        <v>48</v>
      </c>
      <c r="E75" s="134">
        <v>8700</v>
      </c>
      <c r="F75" s="135">
        <v>46054</v>
      </c>
      <c r="G75" s="110">
        <f t="shared" ref="G75:G76" si="88">E75/2</f>
        <v>4350</v>
      </c>
      <c r="H75" s="109">
        <v>22</v>
      </c>
      <c r="I75" s="42" t="s">
        <v>41</v>
      </c>
      <c r="J75" s="40"/>
      <c r="K75" s="40">
        <v>75</v>
      </c>
      <c r="L75" s="41">
        <v>200</v>
      </c>
      <c r="M75" s="42">
        <f t="shared" si="70"/>
        <v>15000</v>
      </c>
      <c r="N75" s="43"/>
      <c r="O75" s="42"/>
      <c r="P75" s="44">
        <f t="shared" si="71"/>
        <v>0</v>
      </c>
      <c r="Q75" s="43"/>
      <c r="R75" s="42"/>
      <c r="S75" s="44">
        <f t="shared" si="72"/>
        <v>0</v>
      </c>
      <c r="T75" s="43"/>
      <c r="U75" s="43"/>
      <c r="V75" s="43"/>
      <c r="W75" s="43"/>
      <c r="X75" s="42"/>
      <c r="Y75" s="44">
        <f t="shared" si="73"/>
        <v>0</v>
      </c>
      <c r="Z75" s="45"/>
      <c r="AA75" s="76"/>
      <c r="AB75" s="76"/>
      <c r="AC75" s="76"/>
      <c r="AD75" s="138"/>
      <c r="AE75" s="45"/>
      <c r="AF75" s="22">
        <f t="shared" si="74"/>
        <v>15000</v>
      </c>
      <c r="AG75" s="29"/>
      <c r="AH75" s="258">
        <f>4350+AE75</f>
        <v>4350</v>
      </c>
      <c r="AI75" s="309">
        <f t="shared" si="75"/>
        <v>15130.519480519481</v>
      </c>
      <c r="AJ75" s="25">
        <f t="shared" si="76"/>
        <v>19480.519480519481</v>
      </c>
      <c r="AK75" s="26">
        <f t="shared" si="77"/>
        <v>4480.5194805194806</v>
      </c>
      <c r="AL75" s="51">
        <v>1674.75</v>
      </c>
      <c r="AM75" s="52"/>
      <c r="AN75" s="52"/>
      <c r="AO75" s="47"/>
      <c r="AP75" s="53">
        <f t="shared" si="87"/>
        <v>11650.5</v>
      </c>
      <c r="AQ75" s="53"/>
      <c r="AR75" s="53"/>
      <c r="AS75" s="51"/>
      <c r="AT75" s="51">
        <v>1674.75</v>
      </c>
      <c r="AU75" s="27">
        <f t="shared" si="78"/>
        <v>0</v>
      </c>
      <c r="AV75" s="28">
        <f t="shared" si="79"/>
        <v>15000</v>
      </c>
      <c r="AW75" s="28"/>
      <c r="AX75" s="28"/>
      <c r="AY75" s="28">
        <f t="shared" si="80"/>
        <v>4480.5194805194806</v>
      </c>
      <c r="AZ75" s="29">
        <f t="shared" si="81"/>
        <v>4285.7142857142853</v>
      </c>
      <c r="BA75" s="30">
        <f t="shared" si="82"/>
        <v>8766.2337662337668</v>
      </c>
      <c r="BB75" s="31">
        <f t="shared" si="83"/>
        <v>0</v>
      </c>
      <c r="BC75" s="56">
        <f t="shared" si="18"/>
        <v>0</v>
      </c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</row>
    <row r="76" spans="1:71" ht="27.6">
      <c r="A76" s="132">
        <f t="shared" si="84"/>
        <v>9</v>
      </c>
      <c r="B76" s="260" t="s">
        <v>98</v>
      </c>
      <c r="C76" s="129" t="s">
        <v>40</v>
      </c>
      <c r="D76" s="137" t="s">
        <v>48</v>
      </c>
      <c r="E76" s="134">
        <v>8700</v>
      </c>
      <c r="F76" s="135">
        <v>46054</v>
      </c>
      <c r="G76" s="110">
        <f t="shared" si="88"/>
        <v>4350</v>
      </c>
      <c r="H76" s="109">
        <v>22</v>
      </c>
      <c r="I76" s="42" t="s">
        <v>41</v>
      </c>
      <c r="J76" s="40"/>
      <c r="K76" s="40">
        <v>178</v>
      </c>
      <c r="L76" s="41">
        <v>200</v>
      </c>
      <c r="M76" s="42">
        <f t="shared" si="70"/>
        <v>35600</v>
      </c>
      <c r="N76" s="43"/>
      <c r="O76" s="42"/>
      <c r="P76" s="44">
        <f t="shared" si="71"/>
        <v>0</v>
      </c>
      <c r="Q76" s="43"/>
      <c r="R76" s="42"/>
      <c r="S76" s="44">
        <f t="shared" si="72"/>
        <v>0</v>
      </c>
      <c r="T76" s="43"/>
      <c r="U76" s="43"/>
      <c r="V76" s="43"/>
      <c r="W76" s="43"/>
      <c r="X76" s="42"/>
      <c r="Y76" s="44">
        <f t="shared" si="73"/>
        <v>0</v>
      </c>
      <c r="Z76" s="45"/>
      <c r="AA76" s="53"/>
      <c r="AB76" s="53"/>
      <c r="AC76" s="53"/>
      <c r="AD76" s="138"/>
      <c r="AE76" s="45"/>
      <c r="AF76" s="22">
        <f t="shared" si="74"/>
        <v>35600</v>
      </c>
      <c r="AG76" s="29"/>
      <c r="AH76" s="258">
        <v>4519.4799999999996</v>
      </c>
      <c r="AI76" s="309">
        <f t="shared" si="75"/>
        <v>41714.285714285717</v>
      </c>
      <c r="AJ76" s="25">
        <f t="shared" si="76"/>
        <v>46233.765714285721</v>
      </c>
      <c r="AK76" s="26">
        <f t="shared" si="77"/>
        <v>10633.766114285716</v>
      </c>
      <c r="AL76" s="51">
        <v>1740</v>
      </c>
      <c r="AM76" s="52"/>
      <c r="AN76" s="52"/>
      <c r="AO76" s="53"/>
      <c r="AP76" s="53">
        <f t="shared" si="87"/>
        <v>32120</v>
      </c>
      <c r="AQ76" s="53"/>
      <c r="AR76" s="53"/>
      <c r="AS76" s="51"/>
      <c r="AT76" s="51">
        <v>1740</v>
      </c>
      <c r="AU76" s="27">
        <f t="shared" si="78"/>
        <v>-3.9999999717110768E-4</v>
      </c>
      <c r="AV76" s="28">
        <f t="shared" si="79"/>
        <v>35600</v>
      </c>
      <c r="AW76" s="28"/>
      <c r="AX76" s="28"/>
      <c r="AY76" s="28">
        <f t="shared" si="80"/>
        <v>10633.766114285716</v>
      </c>
      <c r="AZ76" s="29">
        <f t="shared" si="81"/>
        <v>10171.428457142858</v>
      </c>
      <c r="BA76" s="30">
        <f t="shared" si="82"/>
        <v>20805.194571428576</v>
      </c>
      <c r="BB76" s="31">
        <f t="shared" si="83"/>
        <v>0</v>
      </c>
      <c r="BC76" s="56">
        <f t="shared" si="18"/>
        <v>-3.9999999717110768E-4</v>
      </c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</row>
    <row r="77" spans="1:71" ht="27.6">
      <c r="A77" s="132">
        <f t="shared" si="84"/>
        <v>10</v>
      </c>
      <c r="B77" s="255" t="s">
        <v>99</v>
      </c>
      <c r="C77" s="129" t="s">
        <v>40</v>
      </c>
      <c r="D77" s="130" t="s">
        <v>44</v>
      </c>
      <c r="E77" s="83">
        <v>8700</v>
      </c>
      <c r="F77" s="261">
        <v>46113</v>
      </c>
      <c r="G77" s="79">
        <f t="shared" ref="G77:G78" si="89">E77/4</f>
        <v>2175</v>
      </c>
      <c r="H77" s="109">
        <v>22</v>
      </c>
      <c r="I77" s="42" t="s">
        <v>41</v>
      </c>
      <c r="J77" s="97"/>
      <c r="K77" s="262"/>
      <c r="L77" s="41">
        <v>200</v>
      </c>
      <c r="M77" s="42">
        <f t="shared" si="70"/>
        <v>0</v>
      </c>
      <c r="N77" s="43"/>
      <c r="O77" s="42"/>
      <c r="P77" s="44">
        <f t="shared" si="71"/>
        <v>0</v>
      </c>
      <c r="Q77" s="173">
        <v>8</v>
      </c>
      <c r="R77" s="89">
        <v>500</v>
      </c>
      <c r="S77" s="44">
        <f t="shared" si="72"/>
        <v>4000</v>
      </c>
      <c r="T77" s="173">
        <v>200</v>
      </c>
      <c r="U77" s="173"/>
      <c r="V77" s="43"/>
      <c r="W77" s="43"/>
      <c r="X77" s="42"/>
      <c r="Y77" s="44">
        <f t="shared" si="73"/>
        <v>0</v>
      </c>
      <c r="Z77" s="45"/>
      <c r="AA77" s="53"/>
      <c r="AB77" s="53"/>
      <c r="AC77" s="48"/>
      <c r="AD77" s="138"/>
      <c r="AE77" s="45"/>
      <c r="AF77" s="22">
        <f>M77+P77+S77+V77+Y77+T77</f>
        <v>4200</v>
      </c>
      <c r="AG77" s="76"/>
      <c r="AH77" s="258">
        <f>2259.74+AC77</f>
        <v>2259.7399999999998</v>
      </c>
      <c r="AI77" s="309">
        <f>(AR77*100)/77</f>
        <v>5454.545454545455</v>
      </c>
      <c r="AJ77" s="25">
        <f t="shared" si="76"/>
        <v>7714.2854545454547</v>
      </c>
      <c r="AK77" s="26">
        <f t="shared" si="77"/>
        <v>1774.2856545454547</v>
      </c>
      <c r="AL77" s="51">
        <v>870</v>
      </c>
      <c r="AM77" s="52"/>
      <c r="AN77" s="52"/>
      <c r="AO77" s="53"/>
      <c r="AP77" s="53"/>
      <c r="AQ77" s="69"/>
      <c r="AR77" s="69">
        <f>AF77</f>
        <v>4200</v>
      </c>
      <c r="AS77" s="51"/>
      <c r="AT77" s="51">
        <v>870</v>
      </c>
      <c r="AU77" s="27">
        <f t="shared" si="78"/>
        <v>-2.0000000040454324E-4</v>
      </c>
      <c r="AV77" s="28">
        <f t="shared" si="79"/>
        <v>5940</v>
      </c>
      <c r="AW77" s="141"/>
      <c r="AX77" s="28"/>
      <c r="AY77" s="28">
        <f t="shared" si="80"/>
        <v>1774.2856545454547</v>
      </c>
      <c r="AZ77" s="29">
        <f t="shared" si="81"/>
        <v>1697.1428000000001</v>
      </c>
      <c r="BA77" s="30">
        <f t="shared" si="82"/>
        <v>3471.4284545454548</v>
      </c>
      <c r="BB77" s="31">
        <f t="shared" si="83"/>
        <v>0</v>
      </c>
      <c r="BC77" s="56">
        <f t="shared" si="18"/>
        <v>-2.0000000040454324E-4</v>
      </c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</row>
    <row r="78" spans="1:71" ht="27.6">
      <c r="A78" s="132">
        <f t="shared" si="84"/>
        <v>11</v>
      </c>
      <c r="B78" s="264" t="s">
        <v>206</v>
      </c>
      <c r="C78" s="129" t="s">
        <v>40</v>
      </c>
      <c r="D78" s="130" t="s">
        <v>44</v>
      </c>
      <c r="E78" s="83">
        <v>8700</v>
      </c>
      <c r="F78" s="261">
        <v>46113</v>
      </c>
      <c r="G78" s="79">
        <f t="shared" si="89"/>
        <v>2175</v>
      </c>
      <c r="H78" s="109">
        <v>22</v>
      </c>
      <c r="I78" s="42" t="s">
        <v>41</v>
      </c>
      <c r="J78" s="97"/>
      <c r="K78" s="97"/>
      <c r="L78" s="41">
        <v>200</v>
      </c>
      <c r="M78" s="42">
        <f t="shared" si="70"/>
        <v>0</v>
      </c>
      <c r="N78" s="43"/>
      <c r="O78" s="42"/>
      <c r="P78" s="44">
        <f t="shared" si="71"/>
        <v>0</v>
      </c>
      <c r="Q78" s="43"/>
      <c r="R78" s="42"/>
      <c r="S78" s="44">
        <f t="shared" si="72"/>
        <v>0</v>
      </c>
      <c r="T78" s="43"/>
      <c r="U78" s="43"/>
      <c r="V78" s="43"/>
      <c r="W78" s="43"/>
      <c r="X78" s="42"/>
      <c r="Y78" s="44">
        <f t="shared" si="73"/>
        <v>0</v>
      </c>
      <c r="Z78" s="45"/>
      <c r="AA78" s="76"/>
      <c r="AB78" s="76"/>
      <c r="AC78" s="76"/>
      <c r="AD78" s="138"/>
      <c r="AE78" s="45"/>
      <c r="AF78" s="22">
        <f t="shared" ref="AF78:AF82" si="90">M78+P78+S78+V78+Y78</f>
        <v>0</v>
      </c>
      <c r="AG78" s="76"/>
      <c r="AH78" s="258">
        <v>2259.7399999999998</v>
      </c>
      <c r="AI78" s="50"/>
      <c r="AJ78" s="25">
        <f t="shared" si="76"/>
        <v>2259.7399999999998</v>
      </c>
      <c r="AK78" s="26">
        <f t="shared" si="77"/>
        <v>519.74019999999996</v>
      </c>
      <c r="AL78" s="51">
        <v>870</v>
      </c>
      <c r="AM78" s="52"/>
      <c r="AN78" s="52"/>
      <c r="AO78" s="53"/>
      <c r="AP78" s="53"/>
      <c r="AQ78" s="53"/>
      <c r="AR78" s="53"/>
      <c r="AS78" s="51"/>
      <c r="AT78" s="51">
        <v>870</v>
      </c>
      <c r="AU78" s="27">
        <f t="shared" si="78"/>
        <v>-2.0000000017716957E-4</v>
      </c>
      <c r="AV78" s="28">
        <f t="shared" si="79"/>
        <v>1740</v>
      </c>
      <c r="AW78" s="28"/>
      <c r="AX78" s="28"/>
      <c r="AY78" s="28">
        <f t="shared" si="80"/>
        <v>519.74019999999996</v>
      </c>
      <c r="AZ78" s="29">
        <f t="shared" si="81"/>
        <v>497.14279999999997</v>
      </c>
      <c r="BA78" s="30">
        <f t="shared" si="82"/>
        <v>1016.8829999999999</v>
      </c>
      <c r="BB78" s="31">
        <f t="shared" si="83"/>
        <v>0</v>
      </c>
      <c r="BC78" s="56">
        <f t="shared" si="18"/>
        <v>-2.0000000017716957E-4</v>
      </c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</row>
    <row r="79" spans="1:71" ht="27.6">
      <c r="A79" s="132">
        <f t="shared" si="84"/>
        <v>12</v>
      </c>
      <c r="B79" s="265" t="s">
        <v>100</v>
      </c>
      <c r="C79" s="129" t="s">
        <v>40</v>
      </c>
      <c r="D79" s="143" t="s">
        <v>101</v>
      </c>
      <c r="E79" s="134">
        <v>8700</v>
      </c>
      <c r="F79" s="144">
        <v>46054</v>
      </c>
      <c r="G79" s="110">
        <f>E79/2</f>
        <v>4350</v>
      </c>
      <c r="H79" s="109">
        <v>22</v>
      </c>
      <c r="I79" s="42" t="s">
        <v>41</v>
      </c>
      <c r="J79" s="97"/>
      <c r="K79" s="40"/>
      <c r="L79" s="41">
        <v>200</v>
      </c>
      <c r="M79" s="42">
        <f t="shared" si="70"/>
        <v>0</v>
      </c>
      <c r="N79" s="43"/>
      <c r="O79" s="42"/>
      <c r="P79" s="44">
        <f t="shared" si="71"/>
        <v>0</v>
      </c>
      <c r="Q79" s="43"/>
      <c r="R79" s="42"/>
      <c r="S79" s="44">
        <f t="shared" si="72"/>
        <v>0</v>
      </c>
      <c r="T79" s="43"/>
      <c r="U79" s="43"/>
      <c r="V79" s="43"/>
      <c r="W79" s="43"/>
      <c r="X79" s="42"/>
      <c r="Y79" s="44">
        <f t="shared" si="73"/>
        <v>0</v>
      </c>
      <c r="Z79" s="45"/>
      <c r="AA79" s="76"/>
      <c r="AB79" s="76"/>
      <c r="AC79" s="76"/>
      <c r="AD79" s="138"/>
      <c r="AE79" s="45"/>
      <c r="AF79" s="22">
        <f t="shared" si="90"/>
        <v>0</v>
      </c>
      <c r="AG79" s="76"/>
      <c r="AH79" s="266">
        <v>5341.2</v>
      </c>
      <c r="AI79" s="50"/>
      <c r="AJ79" s="25">
        <f t="shared" si="76"/>
        <v>5341.2</v>
      </c>
      <c r="AK79" s="26">
        <f t="shared" si="77"/>
        <v>1228.4760000000001</v>
      </c>
      <c r="AL79" s="51">
        <v>2056.36</v>
      </c>
      <c r="AM79" s="52"/>
      <c r="AN79" s="52"/>
      <c r="AO79" s="53"/>
      <c r="AP79" s="53"/>
      <c r="AQ79" s="53"/>
      <c r="AR79" s="53"/>
      <c r="AS79" s="51"/>
      <c r="AT79" s="51">
        <v>2056.36</v>
      </c>
      <c r="AU79" s="27">
        <f t="shared" si="78"/>
        <v>3.9999999999054126E-3</v>
      </c>
      <c r="AV79" s="28">
        <f t="shared" si="79"/>
        <v>4112.72</v>
      </c>
      <c r="AW79" s="28"/>
      <c r="AX79" s="28"/>
      <c r="AY79" s="28">
        <f t="shared" si="80"/>
        <v>1228.4760000000001</v>
      </c>
      <c r="AZ79" s="29">
        <f t="shared" si="81"/>
        <v>1175.0640000000001</v>
      </c>
      <c r="BA79" s="30">
        <f t="shared" si="82"/>
        <v>2403.54</v>
      </c>
      <c r="BB79" s="31">
        <f t="shared" si="83"/>
        <v>0</v>
      </c>
      <c r="BC79" s="56">
        <f t="shared" si="18"/>
        <v>3.9999999999054126E-3</v>
      </c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</row>
    <row r="80" spans="1:71" ht="27.6">
      <c r="A80" s="132">
        <f t="shared" si="84"/>
        <v>13</v>
      </c>
      <c r="B80" s="142" t="s">
        <v>219</v>
      </c>
      <c r="C80" s="129" t="s">
        <v>40</v>
      </c>
      <c r="D80" s="143" t="s">
        <v>220</v>
      </c>
      <c r="E80" s="146">
        <v>8700</v>
      </c>
      <c r="F80" s="135">
        <v>46113</v>
      </c>
      <c r="G80" s="110">
        <f>E80/4</f>
        <v>2175</v>
      </c>
      <c r="H80" s="109">
        <v>22</v>
      </c>
      <c r="I80" s="42" t="s">
        <v>41</v>
      </c>
      <c r="J80" s="40"/>
      <c r="K80" s="40">
        <v>38</v>
      </c>
      <c r="L80" s="41">
        <v>200</v>
      </c>
      <c r="M80" s="42">
        <f t="shared" si="70"/>
        <v>7600</v>
      </c>
      <c r="N80" s="43"/>
      <c r="O80" s="42"/>
      <c r="P80" s="44">
        <f t="shared" si="71"/>
        <v>0</v>
      </c>
      <c r="Q80" s="43"/>
      <c r="R80" s="42"/>
      <c r="S80" s="44">
        <f t="shared" si="72"/>
        <v>0</v>
      </c>
      <c r="T80" s="43"/>
      <c r="U80" s="43"/>
      <c r="V80" s="43"/>
      <c r="W80" s="43"/>
      <c r="X80" s="42"/>
      <c r="Y80" s="44">
        <f t="shared" si="73"/>
        <v>0</v>
      </c>
      <c r="Z80" s="45"/>
      <c r="AA80" s="76"/>
      <c r="AB80" s="76"/>
      <c r="AC80" s="76"/>
      <c r="AD80" s="140"/>
      <c r="AE80" s="152">
        <v>385.2</v>
      </c>
      <c r="AF80" s="22">
        <f t="shared" si="90"/>
        <v>7600</v>
      </c>
      <c r="AG80" s="53"/>
      <c r="AH80" s="53">
        <v>1951.59</v>
      </c>
      <c r="AI80" s="50">
        <f>(AP80*100)/77</f>
        <v>7918.5324675324673</v>
      </c>
      <c r="AJ80" s="25">
        <f>AH80+AI80+AE80</f>
        <v>10255.322467532467</v>
      </c>
      <c r="AK80" s="26">
        <f t="shared" si="77"/>
        <v>2358.7241675324676</v>
      </c>
      <c r="AL80" s="51">
        <v>870</v>
      </c>
      <c r="AM80" s="51"/>
      <c r="AN80" s="52"/>
      <c r="AO80" s="53">
        <v>296.60000000000002</v>
      </c>
      <c r="AP80" s="53">
        <f>AF80-AL80-AT80</f>
        <v>6097.27</v>
      </c>
      <c r="AQ80" s="53"/>
      <c r="AR80" s="53"/>
      <c r="AS80" s="51"/>
      <c r="AT80" s="51">
        <v>632.73</v>
      </c>
      <c r="AU80" s="27">
        <f t="shared" si="78"/>
        <v>-1.7000000007101335E-3</v>
      </c>
      <c r="AV80" s="28">
        <f t="shared" si="79"/>
        <v>7896.6</v>
      </c>
      <c r="AW80" s="28"/>
      <c r="AX80" s="28"/>
      <c r="AY80" s="28">
        <f t="shared" si="80"/>
        <v>2358.7241675324676</v>
      </c>
      <c r="AZ80" s="29">
        <f t="shared" si="81"/>
        <v>2256.170942857143</v>
      </c>
      <c r="BA80" s="30">
        <f t="shared" si="82"/>
        <v>4614.8951103896106</v>
      </c>
      <c r="BB80" s="31">
        <f t="shared" si="83"/>
        <v>0</v>
      </c>
      <c r="BC80" s="56">
        <f t="shared" si="18"/>
        <v>-1.7000000007101335E-3</v>
      </c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</row>
    <row r="81" spans="1:71" ht="13.8">
      <c r="A81" s="132">
        <f t="shared" si="84"/>
        <v>14</v>
      </c>
      <c r="B81" s="145" t="s">
        <v>102</v>
      </c>
      <c r="C81" s="129" t="s">
        <v>40</v>
      </c>
      <c r="D81" s="137" t="s">
        <v>48</v>
      </c>
      <c r="E81" s="146">
        <v>8700</v>
      </c>
      <c r="F81" s="135">
        <v>46054</v>
      </c>
      <c r="G81" s="109">
        <f>E81/2</f>
        <v>4350</v>
      </c>
      <c r="H81" s="109">
        <v>22</v>
      </c>
      <c r="I81" s="89" t="s">
        <v>37</v>
      </c>
      <c r="J81" s="40"/>
      <c r="K81" s="40">
        <v>10</v>
      </c>
      <c r="L81" s="41">
        <v>200</v>
      </c>
      <c r="M81" s="42">
        <f t="shared" si="70"/>
        <v>2000</v>
      </c>
      <c r="N81" s="43"/>
      <c r="O81" s="42"/>
      <c r="P81" s="44">
        <f t="shared" si="71"/>
        <v>0</v>
      </c>
      <c r="Q81" s="43"/>
      <c r="R81" s="42"/>
      <c r="S81" s="44">
        <f t="shared" si="72"/>
        <v>0</v>
      </c>
      <c r="T81" s="43"/>
      <c r="U81" s="43"/>
      <c r="V81" s="43"/>
      <c r="W81" s="43"/>
      <c r="X81" s="42"/>
      <c r="Y81" s="44">
        <f t="shared" si="73"/>
        <v>0</v>
      </c>
      <c r="Z81" s="45"/>
      <c r="AA81" s="76"/>
      <c r="AB81" s="76"/>
      <c r="AC81" s="76"/>
      <c r="AD81" s="140">
        <v>2770.83</v>
      </c>
      <c r="AE81" s="45"/>
      <c r="AF81" s="22">
        <f t="shared" si="90"/>
        <v>2000</v>
      </c>
      <c r="AG81" s="76"/>
      <c r="AH81" s="53">
        <v>1384.09</v>
      </c>
      <c r="AI81" s="50"/>
      <c r="AJ81" s="25">
        <f>AH81+AI81+AD81</f>
        <v>4154.92</v>
      </c>
      <c r="AK81" s="26">
        <f t="shared" si="77"/>
        <v>955.63160000000005</v>
      </c>
      <c r="AL81" s="84"/>
      <c r="AM81" s="84"/>
      <c r="AN81" s="84">
        <v>2133.54</v>
      </c>
      <c r="AO81" s="48"/>
      <c r="AP81" s="49">
        <f>AF81-AL81-AT81-AN81+2133.54</f>
        <v>934.28</v>
      </c>
      <c r="AQ81" s="48"/>
      <c r="AR81" s="48"/>
      <c r="AS81" s="84"/>
      <c r="AT81" s="84">
        <v>1065.72</v>
      </c>
      <c r="AU81" s="27">
        <f t="shared" si="78"/>
        <v>-934.25159999999983</v>
      </c>
      <c r="AV81" s="28">
        <f t="shared" si="79"/>
        <v>4133.54</v>
      </c>
      <c r="AW81" s="141"/>
      <c r="AX81" s="28"/>
      <c r="AY81" s="28">
        <f t="shared" si="80"/>
        <v>955.63160000000005</v>
      </c>
      <c r="AZ81" s="29">
        <f t="shared" si="81"/>
        <v>914.08240000000001</v>
      </c>
      <c r="BA81" s="30">
        <f t="shared" si="82"/>
        <v>1869.7139999999999</v>
      </c>
      <c r="BB81" s="31">
        <f t="shared" si="83"/>
        <v>0</v>
      </c>
      <c r="BC81" s="56">
        <f t="shared" si="18"/>
        <v>-934.25160000000005</v>
      </c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</row>
    <row r="82" spans="1:71" ht="27.6">
      <c r="A82" s="132">
        <f t="shared" si="84"/>
        <v>15</v>
      </c>
      <c r="B82" s="268" t="s">
        <v>103</v>
      </c>
      <c r="C82" s="129" t="s">
        <v>40</v>
      </c>
      <c r="D82" s="137" t="s">
        <v>48</v>
      </c>
      <c r="E82" s="146">
        <v>8700</v>
      </c>
      <c r="F82" s="135">
        <v>46113</v>
      </c>
      <c r="G82" s="110">
        <f t="shared" ref="G82:G86" si="91">E82/4</f>
        <v>2175</v>
      </c>
      <c r="H82" s="109">
        <v>22</v>
      </c>
      <c r="I82" s="42" t="s">
        <v>41</v>
      </c>
      <c r="J82" s="40"/>
      <c r="K82" s="40">
        <v>61</v>
      </c>
      <c r="L82" s="41">
        <v>200</v>
      </c>
      <c r="M82" s="42">
        <f t="shared" si="70"/>
        <v>12200</v>
      </c>
      <c r="N82" s="43"/>
      <c r="O82" s="42"/>
      <c r="P82" s="44">
        <f t="shared" si="71"/>
        <v>0</v>
      </c>
      <c r="Q82" s="43"/>
      <c r="R82" s="42"/>
      <c r="S82" s="44">
        <f t="shared" si="72"/>
        <v>0</v>
      </c>
      <c r="T82" s="43"/>
      <c r="U82" s="43"/>
      <c r="V82" s="43"/>
      <c r="W82" s="43"/>
      <c r="X82" s="42"/>
      <c r="Y82" s="44">
        <f t="shared" si="73"/>
        <v>0</v>
      </c>
      <c r="Z82" s="45"/>
      <c r="AA82" s="53"/>
      <c r="AB82" s="53"/>
      <c r="AC82" s="53"/>
      <c r="AD82" s="138"/>
      <c r="AE82" s="45"/>
      <c r="AF82" s="22">
        <f t="shared" si="90"/>
        <v>12200</v>
      </c>
      <c r="AG82" s="29"/>
      <c r="AH82" s="258">
        <v>2259.7399999999998</v>
      </c>
      <c r="AI82" s="309">
        <f t="shared" ref="AI82:AI85" si="92">(AP82*100)/77</f>
        <v>13584.415584415585</v>
      </c>
      <c r="AJ82" s="25">
        <f t="shared" ref="AJ82:AJ86" si="93">AH82+AI82</f>
        <v>15844.155584415585</v>
      </c>
      <c r="AK82" s="26">
        <f t="shared" si="77"/>
        <v>3644.1557844155845</v>
      </c>
      <c r="AL82" s="51">
        <v>870</v>
      </c>
      <c r="AM82" s="52"/>
      <c r="AN82" s="52"/>
      <c r="AO82" s="53"/>
      <c r="AP82" s="53">
        <f>AF82-AL82-AT82</f>
        <v>10460</v>
      </c>
      <c r="AQ82" s="53"/>
      <c r="AR82" s="53"/>
      <c r="AS82" s="51"/>
      <c r="AT82" s="51">
        <v>870</v>
      </c>
      <c r="AU82" s="27">
        <f t="shared" si="78"/>
        <v>-2.0000000040454324E-4</v>
      </c>
      <c r="AV82" s="28">
        <f t="shared" si="79"/>
        <v>12200</v>
      </c>
      <c r="AW82" s="28"/>
      <c r="AX82" s="28"/>
      <c r="AY82" s="28">
        <f t="shared" si="80"/>
        <v>3644.1557844155845</v>
      </c>
      <c r="AZ82" s="29">
        <f t="shared" si="81"/>
        <v>3485.7142285714285</v>
      </c>
      <c r="BA82" s="30">
        <f t="shared" si="82"/>
        <v>7129.8700129870131</v>
      </c>
      <c r="BB82" s="31">
        <f t="shared" si="83"/>
        <v>0</v>
      </c>
      <c r="BC82" s="56">
        <f t="shared" si="18"/>
        <v>-2.0000000040454324E-4</v>
      </c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</row>
    <row r="83" spans="1:71" ht="27.6">
      <c r="A83" s="132">
        <f t="shared" si="84"/>
        <v>16</v>
      </c>
      <c r="B83" s="357" t="s">
        <v>256</v>
      </c>
      <c r="C83" s="129" t="s">
        <v>40</v>
      </c>
      <c r="D83" s="130" t="s">
        <v>257</v>
      </c>
      <c r="E83" s="148">
        <v>8700</v>
      </c>
      <c r="F83" s="135">
        <v>46113</v>
      </c>
      <c r="G83" s="110">
        <f t="shared" si="91"/>
        <v>2175</v>
      </c>
      <c r="H83" s="109">
        <v>22</v>
      </c>
      <c r="I83" s="42" t="s">
        <v>41</v>
      </c>
      <c r="J83" s="40"/>
      <c r="K83" s="97"/>
      <c r="L83" s="41">
        <v>200</v>
      </c>
      <c r="M83" s="42">
        <f t="shared" si="70"/>
        <v>0</v>
      </c>
      <c r="N83" s="43"/>
      <c r="O83" s="42"/>
      <c r="P83" s="44">
        <f t="shared" si="71"/>
        <v>0</v>
      </c>
      <c r="Q83" s="173">
        <v>9</v>
      </c>
      <c r="R83" s="89">
        <v>500</v>
      </c>
      <c r="S83" s="44">
        <f t="shared" si="72"/>
        <v>4500</v>
      </c>
      <c r="T83" s="173">
        <v>200</v>
      </c>
      <c r="U83" s="173"/>
      <c r="V83" s="43"/>
      <c r="W83" s="43"/>
      <c r="X83" s="42"/>
      <c r="Y83" s="44">
        <f t="shared" si="73"/>
        <v>0</v>
      </c>
      <c r="Z83" s="45"/>
      <c r="AA83" s="53"/>
      <c r="AB83" s="53"/>
      <c r="AC83" s="53"/>
      <c r="AD83" s="138"/>
      <c r="AE83" s="45"/>
      <c r="AF83" s="22">
        <f>M83+P83+S83+V83+Y83+T83</f>
        <v>4700</v>
      </c>
      <c r="AG83" s="29"/>
      <c r="AH83" s="258">
        <f>2054.31</f>
        <v>2054.31</v>
      </c>
      <c r="AI83" s="309">
        <f t="shared" si="92"/>
        <v>4049.5974025974019</v>
      </c>
      <c r="AJ83" s="25">
        <f t="shared" si="93"/>
        <v>6103.9074025974023</v>
      </c>
      <c r="AK83" s="26">
        <f t="shared" si="77"/>
        <v>1403.8987025974027</v>
      </c>
      <c r="AL83" s="51">
        <v>711.82</v>
      </c>
      <c r="AM83" s="52"/>
      <c r="AN83" s="52"/>
      <c r="AO83" s="53"/>
      <c r="AP83" s="266">
        <f>AF83-AL83-AT83-AS83</f>
        <v>3118.1899999999996</v>
      </c>
      <c r="AQ83" s="53"/>
      <c r="AR83" s="53"/>
      <c r="AS83" s="51"/>
      <c r="AT83" s="51">
        <v>869.99</v>
      </c>
      <c r="AU83" s="27">
        <f t="shared" si="78"/>
        <v>8.6999999994077371E-3</v>
      </c>
      <c r="AV83" s="28">
        <f t="shared" si="79"/>
        <v>4700</v>
      </c>
      <c r="AW83" s="28"/>
      <c r="AX83" s="28"/>
      <c r="AY83" s="28">
        <f t="shared" si="80"/>
        <v>1403.8987025974027</v>
      </c>
      <c r="AZ83" s="29">
        <f t="shared" si="81"/>
        <v>1342.8596285714286</v>
      </c>
      <c r="BA83" s="30">
        <f t="shared" si="82"/>
        <v>2746.7583311688313</v>
      </c>
      <c r="BB83" s="31">
        <f t="shared" si="83"/>
        <v>0</v>
      </c>
      <c r="BC83" s="56">
        <f t="shared" si="18"/>
        <v>8.6999999994077371E-3</v>
      </c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</row>
    <row r="84" spans="1:71" ht="27.6">
      <c r="A84" s="132">
        <f t="shared" si="84"/>
        <v>17</v>
      </c>
      <c r="B84" s="357" t="s">
        <v>258</v>
      </c>
      <c r="C84" s="129" t="s">
        <v>40</v>
      </c>
      <c r="D84" s="109" t="s">
        <v>80</v>
      </c>
      <c r="E84" s="148">
        <v>8700</v>
      </c>
      <c r="F84" s="135">
        <v>46114</v>
      </c>
      <c r="G84" s="110">
        <f t="shared" si="91"/>
        <v>2175</v>
      </c>
      <c r="H84" s="109">
        <v>22</v>
      </c>
      <c r="I84" s="42" t="s">
        <v>41</v>
      </c>
      <c r="J84" s="40"/>
      <c r="K84" s="97"/>
      <c r="L84" s="41">
        <v>200</v>
      </c>
      <c r="M84" s="42">
        <f t="shared" si="70"/>
        <v>0</v>
      </c>
      <c r="N84" s="43"/>
      <c r="O84" s="42"/>
      <c r="P84" s="44">
        <f t="shared" si="71"/>
        <v>0</v>
      </c>
      <c r="Q84" s="43"/>
      <c r="R84" s="42"/>
      <c r="S84" s="44">
        <f t="shared" si="72"/>
        <v>0</v>
      </c>
      <c r="T84" s="43"/>
      <c r="U84" s="43"/>
      <c r="V84" s="43"/>
      <c r="W84" s="43"/>
      <c r="X84" s="42"/>
      <c r="Y84" s="44">
        <f t="shared" si="73"/>
        <v>0</v>
      </c>
      <c r="Z84" s="45"/>
      <c r="AA84" s="53"/>
      <c r="AB84" s="53"/>
      <c r="AC84" s="53"/>
      <c r="AD84" s="138"/>
      <c r="AE84" s="45"/>
      <c r="AF84" s="22">
        <f t="shared" ref="AF84:AF86" si="94">M84+P84+S84+V84+Y84</f>
        <v>0</v>
      </c>
      <c r="AG84" s="29"/>
      <c r="AH84" s="258">
        <v>1951.59</v>
      </c>
      <c r="AI84" s="309">
        <f t="shared" si="92"/>
        <v>0</v>
      </c>
      <c r="AJ84" s="25">
        <f t="shared" si="93"/>
        <v>1951.59</v>
      </c>
      <c r="AK84" s="26">
        <f t="shared" si="77"/>
        <v>448.8657</v>
      </c>
      <c r="AL84" s="51">
        <v>632.72</v>
      </c>
      <c r="AM84" s="52"/>
      <c r="AN84" s="52"/>
      <c r="AO84" s="53"/>
      <c r="AP84" s="53"/>
      <c r="AQ84" s="53"/>
      <c r="AR84" s="53"/>
      <c r="AS84" s="51"/>
      <c r="AT84" s="51">
        <v>870</v>
      </c>
      <c r="AU84" s="27">
        <f t="shared" si="78"/>
        <v>4.2999999998301064E-3</v>
      </c>
      <c r="AV84" s="28">
        <f t="shared" si="79"/>
        <v>1502.72</v>
      </c>
      <c r="AW84" s="28"/>
      <c r="AX84" s="28"/>
      <c r="AY84" s="28">
        <f t="shared" si="80"/>
        <v>448.8657</v>
      </c>
      <c r="AZ84" s="29">
        <f t="shared" si="81"/>
        <v>429.34979999999996</v>
      </c>
      <c r="BA84" s="30">
        <f t="shared" si="82"/>
        <v>878.21550000000002</v>
      </c>
      <c r="BB84" s="31">
        <f t="shared" si="83"/>
        <v>0</v>
      </c>
      <c r="BC84" s="56">
        <f t="shared" si="18"/>
        <v>4.2999999998301064E-3</v>
      </c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</row>
    <row r="85" spans="1:71" ht="27.6">
      <c r="A85" s="132">
        <f t="shared" si="84"/>
        <v>18</v>
      </c>
      <c r="B85" s="259" t="s">
        <v>259</v>
      </c>
      <c r="C85" s="129" t="s">
        <v>40</v>
      </c>
      <c r="D85" s="134" t="s">
        <v>260</v>
      </c>
      <c r="E85" s="148">
        <v>8700</v>
      </c>
      <c r="F85" s="135">
        <v>46115</v>
      </c>
      <c r="G85" s="110">
        <f t="shared" si="91"/>
        <v>2175</v>
      </c>
      <c r="H85" s="109">
        <v>22</v>
      </c>
      <c r="I85" s="42" t="s">
        <v>41</v>
      </c>
      <c r="J85" s="40"/>
      <c r="K85" s="40">
        <v>20</v>
      </c>
      <c r="L85" s="41">
        <v>200</v>
      </c>
      <c r="M85" s="42">
        <f t="shared" si="70"/>
        <v>4000</v>
      </c>
      <c r="N85" s="43"/>
      <c r="O85" s="42"/>
      <c r="P85" s="44"/>
      <c r="Q85" s="43"/>
      <c r="R85" s="42"/>
      <c r="S85" s="44"/>
      <c r="T85" s="43"/>
      <c r="U85" s="43"/>
      <c r="V85" s="43"/>
      <c r="W85" s="43"/>
      <c r="X85" s="42"/>
      <c r="Y85" s="44"/>
      <c r="Z85" s="45"/>
      <c r="AA85" s="53"/>
      <c r="AB85" s="53"/>
      <c r="AC85" s="53"/>
      <c r="AD85" s="138"/>
      <c r="AE85" s="45"/>
      <c r="AF85" s="22">
        <f t="shared" si="94"/>
        <v>4000</v>
      </c>
      <c r="AG85" s="29"/>
      <c r="AH85" s="258">
        <v>1951.59</v>
      </c>
      <c r="AI85" s="309">
        <f t="shared" si="92"/>
        <v>3243.2207792207787</v>
      </c>
      <c r="AJ85" s="25">
        <f t="shared" si="93"/>
        <v>5194.8107792207784</v>
      </c>
      <c r="AK85" s="26">
        <f t="shared" si="77"/>
        <v>1194.806479220779</v>
      </c>
      <c r="AL85" s="51">
        <v>632.72</v>
      </c>
      <c r="AM85" s="52"/>
      <c r="AN85" s="52"/>
      <c r="AO85" s="53"/>
      <c r="AP85" s="53">
        <f>AF85-AL85-AT85</f>
        <v>2497.2799999999997</v>
      </c>
      <c r="AQ85" s="53"/>
      <c r="AR85" s="53"/>
      <c r="AS85" s="51"/>
      <c r="AT85" s="51">
        <v>870</v>
      </c>
      <c r="AU85" s="27">
        <f t="shared" si="78"/>
        <v>4.2999999996027327E-3</v>
      </c>
      <c r="AV85" s="28">
        <f t="shared" si="79"/>
        <v>4000</v>
      </c>
      <c r="AW85" s="28"/>
      <c r="AX85" s="28"/>
      <c r="AY85" s="28">
        <f t="shared" si="80"/>
        <v>1194.806479220779</v>
      </c>
      <c r="AZ85" s="29">
        <f t="shared" si="81"/>
        <v>1142.8583714285712</v>
      </c>
      <c r="BA85" s="30">
        <f t="shared" si="82"/>
        <v>2337.6648506493502</v>
      </c>
      <c r="BB85" s="31">
        <f t="shared" si="83"/>
        <v>0</v>
      </c>
      <c r="BC85" s="56">
        <f t="shared" si="18"/>
        <v>4.2999999996027327E-3</v>
      </c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</row>
    <row r="86" spans="1:71" ht="27.6">
      <c r="A86" s="132">
        <f t="shared" si="84"/>
        <v>19</v>
      </c>
      <c r="B86" s="259" t="s">
        <v>50</v>
      </c>
      <c r="C86" s="129" t="s">
        <v>40</v>
      </c>
      <c r="D86" s="134" t="s">
        <v>261</v>
      </c>
      <c r="E86" s="146">
        <v>8700</v>
      </c>
      <c r="F86" s="135">
        <v>46113</v>
      </c>
      <c r="G86" s="110">
        <f t="shared" si="91"/>
        <v>2175</v>
      </c>
      <c r="H86" s="109">
        <v>22</v>
      </c>
      <c r="I86" s="42" t="s">
        <v>41</v>
      </c>
      <c r="J86" s="40"/>
      <c r="K86" s="97"/>
      <c r="L86" s="41"/>
      <c r="M86" s="42"/>
      <c r="N86" s="43"/>
      <c r="O86" s="42"/>
      <c r="P86" s="44"/>
      <c r="Q86" s="43"/>
      <c r="R86" s="42"/>
      <c r="S86" s="44"/>
      <c r="T86" s="43"/>
      <c r="U86" s="43"/>
      <c r="V86" s="43"/>
      <c r="W86" s="43"/>
      <c r="X86" s="42"/>
      <c r="Y86" s="44"/>
      <c r="Z86" s="45"/>
      <c r="AA86" s="53"/>
      <c r="AB86" s="53"/>
      <c r="AC86" s="53"/>
      <c r="AD86" s="138"/>
      <c r="AE86" s="45"/>
      <c r="AF86" s="22">
        <f t="shared" si="94"/>
        <v>0</v>
      </c>
      <c r="AG86" s="29"/>
      <c r="AH86" s="258">
        <v>1680.68</v>
      </c>
      <c r="AI86" s="50"/>
      <c r="AJ86" s="25">
        <f t="shared" si="93"/>
        <v>1680.68</v>
      </c>
      <c r="AK86" s="26">
        <f t="shared" si="77"/>
        <v>386.55640000000005</v>
      </c>
      <c r="AL86" s="51">
        <v>456.75</v>
      </c>
      <c r="AM86" s="52"/>
      <c r="AN86" s="52"/>
      <c r="AO86" s="53"/>
      <c r="AP86" s="53"/>
      <c r="AQ86" s="53"/>
      <c r="AR86" s="53"/>
      <c r="AS86" s="51"/>
      <c r="AT86" s="51">
        <v>837.38</v>
      </c>
      <c r="AU86" s="27">
        <f t="shared" si="78"/>
        <v>-6.4000000000987711E-3</v>
      </c>
      <c r="AV86" s="28">
        <f t="shared" si="79"/>
        <v>1294.1300000000001</v>
      </c>
      <c r="AW86" s="28"/>
      <c r="AX86" s="28"/>
      <c r="AY86" s="28">
        <f t="shared" si="80"/>
        <v>386.55640000000005</v>
      </c>
      <c r="AZ86" s="29">
        <f t="shared" si="81"/>
        <v>369.74960000000004</v>
      </c>
      <c r="BA86" s="30">
        <f t="shared" si="82"/>
        <v>756.30600000000004</v>
      </c>
      <c r="BB86" s="31">
        <f t="shared" si="83"/>
        <v>0</v>
      </c>
      <c r="BC86" s="56">
        <f t="shared" si="18"/>
        <v>-6.400000000212458E-3</v>
      </c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</row>
    <row r="87" spans="1:71" ht="27.6">
      <c r="A87" s="132">
        <f t="shared" si="84"/>
        <v>20</v>
      </c>
      <c r="B87" s="269" t="s">
        <v>104</v>
      </c>
      <c r="C87" s="129" t="s">
        <v>40</v>
      </c>
      <c r="D87" s="147" t="s">
        <v>105</v>
      </c>
      <c r="E87" s="148">
        <v>8700</v>
      </c>
      <c r="F87" s="134">
        <v>1</v>
      </c>
      <c r="G87" s="109">
        <v>8700</v>
      </c>
      <c r="H87" s="109">
        <v>22</v>
      </c>
      <c r="I87" s="42" t="s">
        <v>41</v>
      </c>
      <c r="J87" s="40">
        <v>13500</v>
      </c>
      <c r="K87" s="97"/>
      <c r="L87" s="41"/>
      <c r="M87" s="42"/>
      <c r="N87" s="43"/>
      <c r="O87" s="42"/>
      <c r="P87" s="44"/>
      <c r="Q87" s="43"/>
      <c r="R87" s="42"/>
      <c r="S87" s="44"/>
      <c r="T87" s="43"/>
      <c r="U87" s="43"/>
      <c r="V87" s="43"/>
      <c r="W87" s="43"/>
      <c r="X87" s="42"/>
      <c r="Y87" s="44"/>
      <c r="Z87" s="45"/>
      <c r="AA87" s="53"/>
      <c r="AB87" s="53"/>
      <c r="AC87" s="48">
        <v>8951</v>
      </c>
      <c r="AD87" s="140">
        <v>5170.5600000000004</v>
      </c>
      <c r="AE87" s="45"/>
      <c r="AF87" s="22"/>
      <c r="AG87" s="29">
        <f t="shared" ref="AG87:AG91" si="95">(AF87*100)/77</f>
        <v>0</v>
      </c>
      <c r="AH87" s="275">
        <f>3045.52+5536.36+AC87</f>
        <v>17532.879999999997</v>
      </c>
      <c r="AI87" s="45"/>
      <c r="AJ87" s="25">
        <f>AH87+AI87+AD87</f>
        <v>22703.439999999999</v>
      </c>
      <c r="AK87" s="26">
        <f t="shared" si="77"/>
        <v>5221.7911999999997</v>
      </c>
      <c r="AL87" s="48">
        <v>913.5</v>
      </c>
      <c r="AM87" s="48"/>
      <c r="AN87" s="48">
        <v>6326.39</v>
      </c>
      <c r="AO87" s="48"/>
      <c r="AP87" s="48"/>
      <c r="AQ87" s="48"/>
      <c r="AR87" s="48">
        <v>6892.26</v>
      </c>
      <c r="AS87" s="48"/>
      <c r="AT87" s="48">
        <v>3349.5</v>
      </c>
      <c r="AU87" s="27">
        <f t="shared" si="78"/>
        <v>-1.2000000015177648E-3</v>
      </c>
      <c r="AV87" s="28">
        <f t="shared" si="79"/>
        <v>17481.650000000001</v>
      </c>
      <c r="AW87" s="28"/>
      <c r="AX87" s="28"/>
      <c r="AY87" s="28">
        <f t="shared" si="80"/>
        <v>5221.7911999999997</v>
      </c>
      <c r="AZ87" s="29">
        <f t="shared" si="81"/>
        <v>4994.7568000000001</v>
      </c>
      <c r="BA87" s="30">
        <f t="shared" si="82"/>
        <v>10216.547999999999</v>
      </c>
      <c r="BB87" s="31">
        <f t="shared" si="83"/>
        <v>0</v>
      </c>
      <c r="BC87" s="56">
        <f t="shared" si="18"/>
        <v>-1.2000000024272595E-3</v>
      </c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</row>
    <row r="88" spans="1:71" ht="13.8">
      <c r="A88" s="132">
        <f t="shared" si="84"/>
        <v>21</v>
      </c>
      <c r="B88" s="269" t="s">
        <v>106</v>
      </c>
      <c r="C88" s="129" t="s">
        <v>40</v>
      </c>
      <c r="D88" s="147" t="s">
        <v>105</v>
      </c>
      <c r="E88" s="149">
        <v>8700</v>
      </c>
      <c r="F88" s="135">
        <v>46143</v>
      </c>
      <c r="G88" s="110">
        <f>E88/5</f>
        <v>1740</v>
      </c>
      <c r="H88" s="109">
        <v>22</v>
      </c>
      <c r="I88" s="38" t="s">
        <v>37</v>
      </c>
      <c r="J88" s="40">
        <v>13500</v>
      </c>
      <c r="K88" s="97"/>
      <c r="L88" s="41"/>
      <c r="M88" s="42"/>
      <c r="N88" s="43"/>
      <c r="O88" s="42"/>
      <c r="P88" s="44"/>
      <c r="Q88" s="43"/>
      <c r="R88" s="42"/>
      <c r="S88" s="44"/>
      <c r="T88" s="43"/>
      <c r="U88" s="43"/>
      <c r="V88" s="43"/>
      <c r="W88" s="43"/>
      <c r="X88" s="42"/>
      <c r="Y88" s="44"/>
      <c r="Z88" s="45"/>
      <c r="AA88" s="53"/>
      <c r="AB88" s="53"/>
      <c r="AC88" s="48">
        <v>14830</v>
      </c>
      <c r="AD88" s="140"/>
      <c r="AE88" s="45"/>
      <c r="AF88" s="22"/>
      <c r="AG88" s="29">
        <f t="shared" si="95"/>
        <v>0</v>
      </c>
      <c r="AH88" s="275">
        <f>2702.51+AC88</f>
        <v>17532.510000000002</v>
      </c>
      <c r="AI88" s="45"/>
      <c r="AJ88" s="25">
        <f t="shared" ref="AJ88:AJ97" si="96">AH88+AI88</f>
        <v>17532.510000000002</v>
      </c>
      <c r="AK88" s="26">
        <f t="shared" si="77"/>
        <v>4032.4773000000005</v>
      </c>
      <c r="AL88" s="53">
        <v>1040.46</v>
      </c>
      <c r="AM88" s="53"/>
      <c r="AN88" s="53"/>
      <c r="AO88" s="53"/>
      <c r="AP88" s="98"/>
      <c r="AQ88" s="270"/>
      <c r="AR88" s="270">
        <v>11419.1</v>
      </c>
      <c r="AS88" s="53"/>
      <c r="AT88" s="53">
        <v>1040.47</v>
      </c>
      <c r="AU88" s="27">
        <f t="shared" si="78"/>
        <v>2.7000000009138603E-3</v>
      </c>
      <c r="AV88" s="28">
        <f t="shared" si="79"/>
        <v>13500.03</v>
      </c>
      <c r="AW88" s="28"/>
      <c r="AX88" s="28"/>
      <c r="AY88" s="28">
        <f t="shared" si="80"/>
        <v>4032.4773000000005</v>
      </c>
      <c r="AZ88" s="29">
        <f t="shared" si="81"/>
        <v>3857.1522000000004</v>
      </c>
      <c r="BA88" s="30">
        <f t="shared" si="82"/>
        <v>7889.6295000000009</v>
      </c>
      <c r="BB88" s="31">
        <f t="shared" si="83"/>
        <v>0</v>
      </c>
      <c r="BC88" s="56">
        <f t="shared" si="18"/>
        <v>2.7000000009138603E-3</v>
      </c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</row>
    <row r="89" spans="1:71" ht="27.6">
      <c r="A89" s="132">
        <f t="shared" si="84"/>
        <v>22</v>
      </c>
      <c r="B89" s="269" t="s">
        <v>106</v>
      </c>
      <c r="C89" s="129" t="s">
        <v>40</v>
      </c>
      <c r="D89" s="147" t="s">
        <v>105</v>
      </c>
      <c r="E89" s="134">
        <v>8700</v>
      </c>
      <c r="F89" s="135">
        <v>46054</v>
      </c>
      <c r="G89" s="110">
        <f>E89/2</f>
        <v>4350</v>
      </c>
      <c r="H89" s="109">
        <v>22</v>
      </c>
      <c r="I89" s="42" t="s">
        <v>41</v>
      </c>
      <c r="J89" s="40">
        <v>13500</v>
      </c>
      <c r="K89" s="97"/>
      <c r="L89" s="41"/>
      <c r="M89" s="42"/>
      <c r="N89" s="43"/>
      <c r="O89" s="42"/>
      <c r="P89" s="44"/>
      <c r="Q89" s="43"/>
      <c r="R89" s="42"/>
      <c r="S89" s="44"/>
      <c r="T89" s="43"/>
      <c r="U89" s="43"/>
      <c r="V89" s="43"/>
      <c r="W89" s="43"/>
      <c r="X89" s="42"/>
      <c r="Y89" s="44"/>
      <c r="Z89" s="45"/>
      <c r="AA89" s="53"/>
      <c r="AB89" s="53"/>
      <c r="AC89" s="48">
        <v>12192</v>
      </c>
      <c r="AD89" s="138"/>
      <c r="AE89" s="45"/>
      <c r="AF89" s="22"/>
      <c r="AG89" s="29">
        <f t="shared" si="95"/>
        <v>0</v>
      </c>
      <c r="AH89" s="275">
        <f>5341.2+AC89</f>
        <v>17533.2</v>
      </c>
      <c r="AI89" s="45"/>
      <c r="AJ89" s="25">
        <f t="shared" si="96"/>
        <v>17533.2</v>
      </c>
      <c r="AK89" s="26">
        <f t="shared" si="77"/>
        <v>4032.6360000000004</v>
      </c>
      <c r="AL89" s="53">
        <v>2056.36</v>
      </c>
      <c r="AM89" s="53"/>
      <c r="AN89" s="53"/>
      <c r="AO89" s="53"/>
      <c r="AP89" s="53"/>
      <c r="AQ89" s="48"/>
      <c r="AR89" s="48">
        <v>9387.84</v>
      </c>
      <c r="AS89" s="53"/>
      <c r="AT89" s="53">
        <v>2056.36</v>
      </c>
      <c r="AU89" s="27">
        <f t="shared" si="78"/>
        <v>3.9999999989959178E-3</v>
      </c>
      <c r="AV89" s="28">
        <f t="shared" si="79"/>
        <v>13500.560000000001</v>
      </c>
      <c r="AW89" s="28"/>
      <c r="AX89" s="28"/>
      <c r="AY89" s="28">
        <f t="shared" si="80"/>
        <v>4032.6360000000004</v>
      </c>
      <c r="AZ89" s="29">
        <f t="shared" si="81"/>
        <v>3857.3040000000001</v>
      </c>
      <c r="BA89" s="30">
        <f t="shared" si="82"/>
        <v>7889.9400000000005</v>
      </c>
      <c r="BB89" s="31">
        <f t="shared" si="83"/>
        <v>0</v>
      </c>
      <c r="BC89" s="56">
        <f t="shared" si="18"/>
        <v>3.9999999989959178E-3</v>
      </c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</row>
    <row r="90" spans="1:71" ht="13.8">
      <c r="A90" s="132">
        <f t="shared" si="84"/>
        <v>23</v>
      </c>
      <c r="B90" s="269" t="s">
        <v>108</v>
      </c>
      <c r="C90" s="129" t="s">
        <v>40</v>
      </c>
      <c r="D90" s="147" t="s">
        <v>105</v>
      </c>
      <c r="E90" s="146">
        <v>8700</v>
      </c>
      <c r="F90" s="135">
        <v>46113</v>
      </c>
      <c r="G90" s="110">
        <f t="shared" ref="G90:G91" si="97">E90/4</f>
        <v>2175</v>
      </c>
      <c r="H90" s="109">
        <v>22</v>
      </c>
      <c r="I90" s="38" t="s">
        <v>37</v>
      </c>
      <c r="J90" s="40">
        <v>13500</v>
      </c>
      <c r="K90" s="97"/>
      <c r="L90" s="41"/>
      <c r="M90" s="42"/>
      <c r="N90" s="43"/>
      <c r="O90" s="42"/>
      <c r="P90" s="44"/>
      <c r="Q90" s="43"/>
      <c r="R90" s="42"/>
      <c r="S90" s="44"/>
      <c r="T90" s="43"/>
      <c r="U90" s="43"/>
      <c r="V90" s="43"/>
      <c r="W90" s="43"/>
      <c r="X90" s="42"/>
      <c r="Y90" s="44"/>
      <c r="Z90" s="45"/>
      <c r="AA90" s="53"/>
      <c r="AB90" s="53"/>
      <c r="AC90" s="48">
        <v>14830</v>
      </c>
      <c r="AD90" s="140"/>
      <c r="AE90" s="45"/>
      <c r="AF90" s="22"/>
      <c r="AG90" s="29">
        <f t="shared" si="95"/>
        <v>0</v>
      </c>
      <c r="AH90" s="275">
        <f t="shared" ref="AH90:AH91" si="98">2702.51+AC90</f>
        <v>17532.510000000002</v>
      </c>
      <c r="AI90" s="45"/>
      <c r="AJ90" s="25">
        <f t="shared" si="96"/>
        <v>17532.510000000002</v>
      </c>
      <c r="AK90" s="26">
        <f t="shared" si="77"/>
        <v>4032.4773000000005</v>
      </c>
      <c r="AL90" s="53">
        <v>1040.46</v>
      </c>
      <c r="AM90" s="53"/>
      <c r="AN90" s="53"/>
      <c r="AO90" s="53"/>
      <c r="AP90" s="53"/>
      <c r="AQ90" s="48"/>
      <c r="AR90" s="48">
        <v>11419.1</v>
      </c>
      <c r="AS90" s="53"/>
      <c r="AT90" s="53">
        <v>1040.47</v>
      </c>
      <c r="AU90" s="27">
        <f t="shared" si="78"/>
        <v>2.7000000009138603E-3</v>
      </c>
      <c r="AV90" s="28">
        <f t="shared" si="79"/>
        <v>13500.03</v>
      </c>
      <c r="AW90" s="28"/>
      <c r="AX90" s="28"/>
      <c r="AY90" s="28">
        <f t="shared" si="80"/>
        <v>4032.4773000000005</v>
      </c>
      <c r="AZ90" s="29">
        <f t="shared" si="81"/>
        <v>3857.1522000000004</v>
      </c>
      <c r="BA90" s="30">
        <f t="shared" si="82"/>
        <v>7889.6295000000009</v>
      </c>
      <c r="BB90" s="31">
        <f t="shared" si="83"/>
        <v>0</v>
      </c>
      <c r="BC90" s="56">
        <f t="shared" si="18"/>
        <v>2.7000000009138603E-3</v>
      </c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</row>
    <row r="91" spans="1:71" ht="13.8">
      <c r="A91" s="132">
        <f t="shared" si="84"/>
        <v>24</v>
      </c>
      <c r="B91" s="271" t="s">
        <v>109</v>
      </c>
      <c r="C91" s="129" t="s">
        <v>40</v>
      </c>
      <c r="D91" s="147" t="s">
        <v>105</v>
      </c>
      <c r="E91" s="146">
        <v>8700</v>
      </c>
      <c r="F91" s="135">
        <v>46113</v>
      </c>
      <c r="G91" s="110">
        <f t="shared" si="97"/>
        <v>2175</v>
      </c>
      <c r="H91" s="109">
        <v>22</v>
      </c>
      <c r="I91" s="38" t="s">
        <v>37</v>
      </c>
      <c r="J91" s="40">
        <v>13500</v>
      </c>
      <c r="K91" s="97"/>
      <c r="L91" s="41"/>
      <c r="M91" s="42"/>
      <c r="N91" s="43"/>
      <c r="O91" s="42"/>
      <c r="P91" s="44"/>
      <c r="Q91" s="43"/>
      <c r="R91" s="42"/>
      <c r="S91" s="44"/>
      <c r="T91" s="43"/>
      <c r="U91" s="43"/>
      <c r="V91" s="43"/>
      <c r="W91" s="43"/>
      <c r="X91" s="42"/>
      <c r="Y91" s="44"/>
      <c r="Z91" s="45"/>
      <c r="AA91" s="53"/>
      <c r="AB91" s="53"/>
      <c r="AC91" s="48">
        <v>14830</v>
      </c>
      <c r="AD91" s="140"/>
      <c r="AE91" s="45"/>
      <c r="AF91" s="22"/>
      <c r="AG91" s="29">
        <f t="shared" si="95"/>
        <v>0</v>
      </c>
      <c r="AH91" s="275">
        <f t="shared" si="98"/>
        <v>17532.510000000002</v>
      </c>
      <c r="AI91" s="45"/>
      <c r="AJ91" s="25">
        <f t="shared" si="96"/>
        <v>17532.510000000002</v>
      </c>
      <c r="AK91" s="26">
        <f t="shared" si="77"/>
        <v>4032.4773000000005</v>
      </c>
      <c r="AL91" s="53">
        <v>1040.46</v>
      </c>
      <c r="AM91" s="53"/>
      <c r="AN91" s="53"/>
      <c r="AO91" s="53"/>
      <c r="AP91" s="53"/>
      <c r="AQ91" s="48"/>
      <c r="AR91" s="48">
        <v>11419.1</v>
      </c>
      <c r="AS91" s="53"/>
      <c r="AT91" s="53">
        <v>1040.47</v>
      </c>
      <c r="AU91" s="27">
        <f t="shared" si="78"/>
        <v>2.7000000009138603E-3</v>
      </c>
      <c r="AV91" s="28">
        <f t="shared" si="79"/>
        <v>13500.03</v>
      </c>
      <c r="AW91" s="28"/>
      <c r="AX91" s="28"/>
      <c r="AY91" s="28">
        <f t="shared" si="80"/>
        <v>4032.4773000000005</v>
      </c>
      <c r="AZ91" s="29">
        <f t="shared" si="81"/>
        <v>3857.1522000000004</v>
      </c>
      <c r="BA91" s="30">
        <f t="shared" si="82"/>
        <v>7889.6295000000009</v>
      </c>
      <c r="BB91" s="31">
        <f t="shared" si="83"/>
        <v>0</v>
      </c>
      <c r="BC91" s="56">
        <f t="shared" si="18"/>
        <v>2.7000000009138603E-3</v>
      </c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</row>
    <row r="92" spans="1:71" ht="13.8">
      <c r="A92" s="132">
        <f t="shared" si="84"/>
        <v>25</v>
      </c>
      <c r="B92" s="142" t="s">
        <v>109</v>
      </c>
      <c r="C92" s="129"/>
      <c r="D92" s="130" t="s">
        <v>110</v>
      </c>
      <c r="E92" s="110"/>
      <c r="F92" s="135"/>
      <c r="G92" s="110"/>
      <c r="H92" s="109"/>
      <c r="I92" s="38"/>
      <c r="J92" s="40"/>
      <c r="K92" s="97"/>
      <c r="L92" s="41"/>
      <c r="M92" s="42"/>
      <c r="N92" s="43"/>
      <c r="O92" s="42"/>
      <c r="P92" s="44"/>
      <c r="Q92" s="43"/>
      <c r="R92" s="42"/>
      <c r="S92" s="44"/>
      <c r="T92" s="43"/>
      <c r="U92" s="43"/>
      <c r="V92" s="43"/>
      <c r="W92" s="43"/>
      <c r="X92" s="42"/>
      <c r="Y92" s="44"/>
      <c r="Z92" s="45"/>
      <c r="AA92" s="76"/>
      <c r="AB92" s="76"/>
      <c r="AC92" s="76"/>
      <c r="AD92" s="138"/>
      <c r="AE92" s="45"/>
      <c r="AF92" s="22"/>
      <c r="AG92" s="29"/>
      <c r="AH92" s="275"/>
      <c r="AI92" s="45"/>
      <c r="AJ92" s="25">
        <f t="shared" si="96"/>
        <v>0</v>
      </c>
      <c r="AK92" s="26">
        <f t="shared" si="77"/>
        <v>0</v>
      </c>
      <c r="AL92" s="53"/>
      <c r="AM92" s="53"/>
      <c r="AN92" s="53"/>
      <c r="AO92" s="53"/>
      <c r="AP92" s="53"/>
      <c r="AQ92" s="53"/>
      <c r="AR92" s="53"/>
      <c r="AS92" s="53"/>
      <c r="AT92" s="53"/>
      <c r="AU92" s="27">
        <f t="shared" si="78"/>
        <v>0</v>
      </c>
      <c r="AV92" s="28">
        <f t="shared" si="79"/>
        <v>0</v>
      </c>
      <c r="AW92" s="141"/>
      <c r="AX92" s="28"/>
      <c r="AY92" s="28">
        <f t="shared" si="80"/>
        <v>0</v>
      </c>
      <c r="AZ92" s="29">
        <f t="shared" si="81"/>
        <v>0</v>
      </c>
      <c r="BA92" s="30">
        <f t="shared" si="82"/>
        <v>0</v>
      </c>
      <c r="BB92" s="31">
        <f t="shared" si="83"/>
        <v>0</v>
      </c>
      <c r="BC92" s="56">
        <f t="shared" si="18"/>
        <v>0</v>
      </c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</row>
    <row r="93" spans="1:71" ht="13.8">
      <c r="A93" s="132">
        <f t="shared" si="84"/>
        <v>26</v>
      </c>
      <c r="B93" s="272" t="s">
        <v>111</v>
      </c>
      <c r="C93" s="129" t="s">
        <v>40</v>
      </c>
      <c r="D93" s="147" t="s">
        <v>70</v>
      </c>
      <c r="E93" s="146">
        <v>8700</v>
      </c>
      <c r="F93" s="135">
        <v>46113</v>
      </c>
      <c r="G93" s="110">
        <f>E93/4</f>
        <v>2175</v>
      </c>
      <c r="H93" s="109">
        <v>22</v>
      </c>
      <c r="I93" s="38" t="s">
        <v>37</v>
      </c>
      <c r="J93" s="40">
        <v>13500</v>
      </c>
      <c r="K93" s="97"/>
      <c r="L93" s="41"/>
      <c r="M93" s="42"/>
      <c r="N93" s="43"/>
      <c r="O93" s="42"/>
      <c r="P93" s="44"/>
      <c r="Q93" s="43"/>
      <c r="R93" s="42"/>
      <c r="S93" s="44"/>
      <c r="T93" s="43"/>
      <c r="U93" s="43"/>
      <c r="V93" s="43"/>
      <c r="W93" s="43"/>
      <c r="X93" s="42"/>
      <c r="Y93" s="44"/>
      <c r="Z93" s="45"/>
      <c r="AA93" s="53"/>
      <c r="AB93" s="53"/>
      <c r="AC93" s="48">
        <v>14830</v>
      </c>
      <c r="AD93" s="140"/>
      <c r="AE93" s="45"/>
      <c r="AF93" s="22"/>
      <c r="AG93" s="29">
        <f t="shared" ref="AG93:AG94" si="99">(AF93*100)/77</f>
        <v>0</v>
      </c>
      <c r="AH93" s="275">
        <f>2702.51+AC93</f>
        <v>17532.510000000002</v>
      </c>
      <c r="AI93" s="45"/>
      <c r="AJ93" s="25">
        <f t="shared" si="96"/>
        <v>17532.510000000002</v>
      </c>
      <c r="AK93" s="26">
        <f t="shared" si="77"/>
        <v>4032.4773000000005</v>
      </c>
      <c r="AL93" s="53">
        <v>1040.46</v>
      </c>
      <c r="AM93" s="53"/>
      <c r="AN93" s="53"/>
      <c r="AO93" s="53"/>
      <c r="AP93" s="53"/>
      <c r="AQ93" s="48"/>
      <c r="AR93" s="48">
        <v>11419.1</v>
      </c>
      <c r="AS93" s="53"/>
      <c r="AT93" s="53">
        <v>1040.47</v>
      </c>
      <c r="AU93" s="27">
        <f t="shared" si="78"/>
        <v>2.7000000009138603E-3</v>
      </c>
      <c r="AV93" s="28">
        <f t="shared" si="79"/>
        <v>13500.03</v>
      </c>
      <c r="AW93" s="28"/>
      <c r="AX93" s="28"/>
      <c r="AY93" s="28">
        <f t="shared" si="80"/>
        <v>4032.4773000000005</v>
      </c>
      <c r="AZ93" s="29">
        <f t="shared" si="81"/>
        <v>3857.1522000000004</v>
      </c>
      <c r="BA93" s="30">
        <f t="shared" si="82"/>
        <v>7889.6295000000009</v>
      </c>
      <c r="BB93" s="31">
        <f t="shared" si="83"/>
        <v>0</v>
      </c>
      <c r="BC93" s="56">
        <f t="shared" si="18"/>
        <v>2.7000000009138603E-3</v>
      </c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</row>
    <row r="94" spans="1:71" ht="13.8">
      <c r="A94" s="132">
        <f t="shared" si="84"/>
        <v>27</v>
      </c>
      <c r="B94" s="128" t="s">
        <v>112</v>
      </c>
      <c r="C94" s="129" t="s">
        <v>40</v>
      </c>
      <c r="D94" s="147" t="s">
        <v>70</v>
      </c>
      <c r="E94" s="146">
        <v>8700</v>
      </c>
      <c r="F94" s="134">
        <v>1</v>
      </c>
      <c r="G94" s="109">
        <v>8700</v>
      </c>
      <c r="H94" s="109">
        <v>22</v>
      </c>
      <c r="I94" s="38" t="s">
        <v>37</v>
      </c>
      <c r="J94" s="97"/>
      <c r="K94" s="97"/>
      <c r="L94" s="41"/>
      <c r="M94" s="42"/>
      <c r="N94" s="43"/>
      <c r="O94" s="42"/>
      <c r="P94" s="44"/>
      <c r="Q94" s="43"/>
      <c r="R94" s="42"/>
      <c r="S94" s="44"/>
      <c r="T94" s="43"/>
      <c r="U94" s="43"/>
      <c r="V94" s="43"/>
      <c r="W94" s="43"/>
      <c r="X94" s="42"/>
      <c r="Y94" s="44"/>
      <c r="Z94" s="45"/>
      <c r="AA94" s="76"/>
      <c r="AB94" s="76"/>
      <c r="AC94" s="76"/>
      <c r="AD94" s="138"/>
      <c r="AE94" s="45"/>
      <c r="AF94" s="22"/>
      <c r="AG94" s="29">
        <f t="shared" si="99"/>
        <v>0</v>
      </c>
      <c r="AH94" s="152"/>
      <c r="AI94" s="45"/>
      <c r="AJ94" s="25">
        <f t="shared" si="96"/>
        <v>0</v>
      </c>
      <c r="AK94" s="26">
        <f t="shared" si="77"/>
        <v>0</v>
      </c>
      <c r="AL94" s="53"/>
      <c r="AM94" s="53"/>
      <c r="AN94" s="53"/>
      <c r="AO94" s="53"/>
      <c r="AP94" s="53"/>
      <c r="AQ94" s="53"/>
      <c r="AR94" s="53"/>
      <c r="AS94" s="53"/>
      <c r="AT94" s="53"/>
      <c r="AU94" s="27">
        <f t="shared" si="78"/>
        <v>0</v>
      </c>
      <c r="AV94" s="28">
        <f t="shared" si="79"/>
        <v>0</v>
      </c>
      <c r="AW94" s="28"/>
      <c r="AX94" s="28"/>
      <c r="AY94" s="28">
        <f t="shared" si="80"/>
        <v>0</v>
      </c>
      <c r="AZ94" s="29">
        <f t="shared" si="81"/>
        <v>0</v>
      </c>
      <c r="BA94" s="30">
        <f t="shared" si="82"/>
        <v>0</v>
      </c>
      <c r="BB94" s="31">
        <f t="shared" si="83"/>
        <v>0</v>
      </c>
      <c r="BC94" s="56">
        <f t="shared" si="18"/>
        <v>0</v>
      </c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</row>
    <row r="95" spans="1:71" ht="27.6">
      <c r="A95" s="132">
        <f>A53+1</f>
        <v>29</v>
      </c>
      <c r="B95" s="95" t="s">
        <v>113</v>
      </c>
      <c r="C95" s="129" t="s">
        <v>40</v>
      </c>
      <c r="D95" s="62" t="s">
        <v>221</v>
      </c>
      <c r="E95" s="40">
        <v>80000</v>
      </c>
      <c r="F95" s="134">
        <v>1</v>
      </c>
      <c r="G95" s="109">
        <v>80000</v>
      </c>
      <c r="H95" s="109">
        <v>22</v>
      </c>
      <c r="I95" s="42" t="s">
        <v>41</v>
      </c>
      <c r="J95" s="97"/>
      <c r="K95" s="97"/>
      <c r="L95" s="138"/>
      <c r="M95" s="138"/>
      <c r="N95" s="97"/>
      <c r="O95" s="138"/>
      <c r="P95" s="324"/>
      <c r="Q95" s="97"/>
      <c r="R95" s="138"/>
      <c r="S95" s="324"/>
      <c r="T95" s="97"/>
      <c r="U95" s="97"/>
      <c r="V95" s="97"/>
      <c r="W95" s="97"/>
      <c r="X95" s="138"/>
      <c r="Y95" s="324"/>
      <c r="Z95" s="52"/>
      <c r="AA95" s="76"/>
      <c r="AB95" s="76"/>
      <c r="AC95" s="76"/>
      <c r="AD95" s="138"/>
      <c r="AE95" s="52"/>
      <c r="AF95" s="22"/>
      <c r="AG95" s="53"/>
      <c r="AH95" s="51">
        <v>80000</v>
      </c>
      <c r="AI95" s="52"/>
      <c r="AJ95" s="25">
        <f t="shared" si="96"/>
        <v>80000</v>
      </c>
      <c r="AK95" s="26">
        <f t="shared" si="77"/>
        <v>18400</v>
      </c>
      <c r="AL95" s="53">
        <v>30800</v>
      </c>
      <c r="AM95" s="53"/>
      <c r="AN95" s="53"/>
      <c r="AO95" s="53"/>
      <c r="AP95" s="53"/>
      <c r="AQ95" s="53"/>
      <c r="AR95" s="53"/>
      <c r="AS95" s="53"/>
      <c r="AT95" s="53">
        <v>30800</v>
      </c>
      <c r="AU95" s="27">
        <f t="shared" si="78"/>
        <v>0</v>
      </c>
      <c r="AV95" s="28">
        <f t="shared" si="79"/>
        <v>61600</v>
      </c>
      <c r="AW95" s="28"/>
      <c r="AX95" s="28"/>
      <c r="AY95" s="28">
        <f t="shared" si="80"/>
        <v>18400</v>
      </c>
      <c r="AZ95" s="29">
        <f t="shared" si="81"/>
        <v>17600</v>
      </c>
      <c r="BA95" s="30">
        <f t="shared" si="82"/>
        <v>36000</v>
      </c>
      <c r="BB95" s="31">
        <f t="shared" si="83"/>
        <v>0</v>
      </c>
      <c r="BC95" s="56">
        <f t="shared" si="18"/>
        <v>0</v>
      </c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</row>
    <row r="96" spans="1:71" ht="27.6">
      <c r="A96" s="132">
        <f t="shared" ref="A96:A99" si="100">A95+1</f>
        <v>30</v>
      </c>
      <c r="B96" s="249" t="s">
        <v>116</v>
      </c>
      <c r="C96" s="129" t="s">
        <v>40</v>
      </c>
      <c r="D96" s="38" t="s">
        <v>262</v>
      </c>
      <c r="E96" s="38">
        <v>8700</v>
      </c>
      <c r="F96" s="78">
        <v>1</v>
      </c>
      <c r="G96" s="38">
        <v>8700</v>
      </c>
      <c r="H96" s="38">
        <v>8.41</v>
      </c>
      <c r="I96" s="42" t="s">
        <v>41</v>
      </c>
      <c r="J96" s="40">
        <v>26000</v>
      </c>
      <c r="K96" s="97"/>
      <c r="L96" s="2"/>
      <c r="M96" s="42"/>
      <c r="N96" s="43"/>
      <c r="O96" s="42"/>
      <c r="P96" s="44"/>
      <c r="Q96" s="43"/>
      <c r="R96" s="42"/>
      <c r="S96" s="44"/>
      <c r="T96" s="43"/>
      <c r="U96" s="43"/>
      <c r="V96" s="43"/>
      <c r="W96" s="43"/>
      <c r="X96" s="42"/>
      <c r="Y96" s="44"/>
      <c r="Z96" s="45"/>
      <c r="AA96" s="53"/>
      <c r="AB96" s="53"/>
      <c r="AC96" s="48">
        <v>25067</v>
      </c>
      <c r="AD96" s="140">
        <v>16150.7</v>
      </c>
      <c r="AE96" s="45"/>
      <c r="AF96" s="22"/>
      <c r="AG96" s="29"/>
      <c r="AH96" s="275">
        <f>790.91+7909.09+AC96+AD96</f>
        <v>49917.7</v>
      </c>
      <c r="AI96" s="45"/>
      <c r="AJ96" s="25">
        <f t="shared" si="96"/>
        <v>49917.7</v>
      </c>
      <c r="AK96" s="26">
        <f t="shared" si="77"/>
        <v>11481.071</v>
      </c>
      <c r="AL96" s="53">
        <v>2740.5</v>
      </c>
      <c r="AM96" s="53"/>
      <c r="AN96" s="53">
        <v>13045.04</v>
      </c>
      <c r="AO96" s="53"/>
      <c r="AP96" s="53"/>
      <c r="AQ96" s="48"/>
      <c r="AR96" s="48">
        <v>19301</v>
      </c>
      <c r="AS96" s="53"/>
      <c r="AT96" s="53">
        <v>3349.5</v>
      </c>
      <c r="AU96" s="27">
        <f t="shared" si="78"/>
        <v>0.58899999999994179</v>
      </c>
      <c r="AV96" s="28">
        <f t="shared" si="79"/>
        <v>38436.04</v>
      </c>
      <c r="AW96" s="28"/>
      <c r="AX96" s="28"/>
      <c r="AY96" s="28">
        <f t="shared" si="80"/>
        <v>11481.071</v>
      </c>
      <c r="AZ96" s="29">
        <f t="shared" si="81"/>
        <v>4198.0785700000006</v>
      </c>
      <c r="BA96" s="30">
        <f t="shared" si="82"/>
        <v>15679.149570000001</v>
      </c>
      <c r="BB96" s="31">
        <f t="shared" si="83"/>
        <v>0</v>
      </c>
      <c r="BC96" s="56">
        <f t="shared" si="18"/>
        <v>0.58899999999994179</v>
      </c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</row>
    <row r="97" spans="1:71" ht="27.6">
      <c r="A97" s="132">
        <f t="shared" si="100"/>
        <v>31</v>
      </c>
      <c r="B97" s="95" t="s">
        <v>222</v>
      </c>
      <c r="C97" s="129" t="s">
        <v>40</v>
      </c>
      <c r="D97" s="38" t="s">
        <v>223</v>
      </c>
      <c r="E97" s="38">
        <v>8700</v>
      </c>
      <c r="F97" s="78">
        <v>1</v>
      </c>
      <c r="G97" s="38">
        <v>8700</v>
      </c>
      <c r="H97" s="38">
        <v>22</v>
      </c>
      <c r="I97" s="42" t="s">
        <v>41</v>
      </c>
      <c r="J97" s="40"/>
      <c r="K97" s="97"/>
      <c r="L97" s="2"/>
      <c r="M97" s="42"/>
      <c r="N97" s="43"/>
      <c r="O97" s="42"/>
      <c r="P97" s="44"/>
      <c r="Q97" s="43"/>
      <c r="R97" s="42"/>
      <c r="S97" s="44"/>
      <c r="T97" s="43"/>
      <c r="U97" s="43"/>
      <c r="V97" s="43"/>
      <c r="W97" s="43"/>
      <c r="X97" s="42"/>
      <c r="Y97" s="44"/>
      <c r="Z97" s="45"/>
      <c r="AA97" s="53"/>
      <c r="AB97" s="53"/>
      <c r="AC97" s="53"/>
      <c r="AD97" s="138"/>
      <c r="AE97" s="45"/>
      <c r="AF97" s="22"/>
      <c r="AG97" s="29"/>
      <c r="AH97" s="275">
        <f>2175</f>
        <v>2175</v>
      </c>
      <c r="AI97" s="45"/>
      <c r="AJ97" s="25">
        <f t="shared" si="96"/>
        <v>2175</v>
      </c>
      <c r="AK97" s="26">
        <f t="shared" si="77"/>
        <v>500.25</v>
      </c>
      <c r="AL97" s="53">
        <v>837.37</v>
      </c>
      <c r="AM97" s="53"/>
      <c r="AN97" s="53"/>
      <c r="AO97" s="53"/>
      <c r="AP97" s="53"/>
      <c r="AQ97" s="53"/>
      <c r="AR97" s="53"/>
      <c r="AS97" s="53"/>
      <c r="AT97" s="53">
        <v>837.38</v>
      </c>
      <c r="AU97" s="27">
        <f t="shared" si="78"/>
        <v>0</v>
      </c>
      <c r="AV97" s="28">
        <f t="shared" si="79"/>
        <v>1674.75</v>
      </c>
      <c r="AW97" s="28"/>
      <c r="AX97" s="28"/>
      <c r="AY97" s="28">
        <f t="shared" si="80"/>
        <v>500.25</v>
      </c>
      <c r="AZ97" s="29">
        <f t="shared" si="81"/>
        <v>478.5</v>
      </c>
      <c r="BA97" s="30">
        <f t="shared" si="82"/>
        <v>978.75</v>
      </c>
      <c r="BB97" s="31">
        <f t="shared" si="83"/>
        <v>0</v>
      </c>
      <c r="BC97" s="56">
        <f t="shared" si="18"/>
        <v>0</v>
      </c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</row>
    <row r="98" spans="1:71" ht="27.6">
      <c r="A98" s="132">
        <f t="shared" si="100"/>
        <v>32</v>
      </c>
      <c r="B98" s="151" t="s">
        <v>224</v>
      </c>
      <c r="C98" s="129" t="s">
        <v>40</v>
      </c>
      <c r="D98" s="38" t="s">
        <v>225</v>
      </c>
      <c r="E98" s="38">
        <v>8700</v>
      </c>
      <c r="F98" s="135">
        <v>46054</v>
      </c>
      <c r="G98" s="110">
        <f>E98/2</f>
        <v>4350</v>
      </c>
      <c r="H98" s="109">
        <v>22</v>
      </c>
      <c r="I98" s="42" t="s">
        <v>41</v>
      </c>
      <c r="J98" s="40">
        <v>12000</v>
      </c>
      <c r="K98" s="97"/>
      <c r="L98" s="2"/>
      <c r="M98" s="42"/>
      <c r="N98" s="43"/>
      <c r="O98" s="42"/>
      <c r="P98" s="44"/>
      <c r="Q98" s="43"/>
      <c r="R98" s="42"/>
      <c r="S98" s="44"/>
      <c r="T98" s="43"/>
      <c r="U98" s="43"/>
      <c r="V98" s="43"/>
      <c r="W98" s="43"/>
      <c r="X98" s="42"/>
      <c r="Y98" s="44"/>
      <c r="Z98" s="45"/>
      <c r="AA98" s="76"/>
      <c r="AB98" s="76"/>
      <c r="AC98" s="48">
        <v>11235</v>
      </c>
      <c r="AD98" s="138"/>
      <c r="AE98" s="45"/>
      <c r="AF98" s="22"/>
      <c r="AG98" s="29"/>
      <c r="AH98" s="152">
        <v>4350</v>
      </c>
      <c r="AI98" s="45"/>
      <c r="AJ98" s="25">
        <f t="shared" ref="AJ98:AJ99" si="101">AH98+AI98+AC98</f>
        <v>15585</v>
      </c>
      <c r="AK98" s="26">
        <f t="shared" si="77"/>
        <v>3584.55</v>
      </c>
      <c r="AL98" s="53">
        <v>1674.75</v>
      </c>
      <c r="AM98" s="53"/>
      <c r="AN98" s="53"/>
      <c r="AO98" s="53"/>
      <c r="AP98" s="53"/>
      <c r="AQ98" s="48"/>
      <c r="AR98" s="48">
        <v>8650.9500000000007</v>
      </c>
      <c r="AS98" s="53"/>
      <c r="AT98" s="53">
        <v>1674.75</v>
      </c>
      <c r="AU98" s="27">
        <f t="shared" si="78"/>
        <v>0</v>
      </c>
      <c r="AV98" s="28">
        <f t="shared" si="79"/>
        <v>12000.45</v>
      </c>
      <c r="AW98" s="28"/>
      <c r="AX98" s="28"/>
      <c r="AY98" s="28">
        <f t="shared" si="80"/>
        <v>3584.55</v>
      </c>
      <c r="AZ98" s="29">
        <f t="shared" si="81"/>
        <v>3428.7</v>
      </c>
      <c r="BA98" s="30">
        <f t="shared" si="82"/>
        <v>7013.25</v>
      </c>
      <c r="BB98" s="31">
        <f t="shared" si="83"/>
        <v>0</v>
      </c>
      <c r="BC98" s="56">
        <f t="shared" si="18"/>
        <v>0</v>
      </c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</row>
    <row r="99" spans="1:71" ht="27.6">
      <c r="A99" s="132">
        <f t="shared" si="100"/>
        <v>33</v>
      </c>
      <c r="B99" s="151" t="s">
        <v>117</v>
      </c>
      <c r="C99" s="129" t="s">
        <v>40</v>
      </c>
      <c r="D99" s="38" t="s">
        <v>115</v>
      </c>
      <c r="E99" s="38">
        <v>54000</v>
      </c>
      <c r="F99" s="358">
        <v>46115</v>
      </c>
      <c r="G99" s="38">
        <v>40500</v>
      </c>
      <c r="H99" s="38">
        <v>8.41</v>
      </c>
      <c r="I99" s="42" t="s">
        <v>41</v>
      </c>
      <c r="J99" s="97"/>
      <c r="K99" s="97"/>
      <c r="L99" s="2"/>
      <c r="M99" s="42"/>
      <c r="N99" s="43"/>
      <c r="O99" s="42"/>
      <c r="P99" s="44"/>
      <c r="Q99" s="43"/>
      <c r="R99" s="42"/>
      <c r="S99" s="44"/>
      <c r="T99" s="43"/>
      <c r="U99" s="43"/>
      <c r="V99" s="43"/>
      <c r="W99" s="43"/>
      <c r="X99" s="42"/>
      <c r="Y99" s="44"/>
      <c r="Z99" s="45"/>
      <c r="AA99" s="76"/>
      <c r="AB99" s="76"/>
      <c r="AC99" s="48">
        <v>18711</v>
      </c>
      <c r="AD99" s="138"/>
      <c r="AE99" s="45"/>
      <c r="AF99" s="22"/>
      <c r="AG99" s="69"/>
      <c r="AH99" s="152">
        <v>20250</v>
      </c>
      <c r="AI99" s="45"/>
      <c r="AJ99" s="25">
        <f t="shared" si="101"/>
        <v>38961</v>
      </c>
      <c r="AK99" s="26">
        <f t="shared" si="77"/>
        <v>8961.0300000000007</v>
      </c>
      <c r="AL99" s="53"/>
      <c r="AM99" s="53"/>
      <c r="AN99" s="53"/>
      <c r="AO99" s="53"/>
      <c r="AP99" s="53"/>
      <c r="AQ99" s="53"/>
      <c r="AR99" s="53">
        <v>14407.47</v>
      </c>
      <c r="AS99" s="53"/>
      <c r="AT99" s="53">
        <v>15592.5</v>
      </c>
      <c r="AU99" s="27">
        <f t="shared" si="78"/>
        <v>1.8189894035458565E-12</v>
      </c>
      <c r="AV99" s="28">
        <f t="shared" si="79"/>
        <v>29999.97</v>
      </c>
      <c r="AW99" s="28"/>
      <c r="AX99" s="141"/>
      <c r="AY99" s="28">
        <f t="shared" si="80"/>
        <v>8961.0300000000007</v>
      </c>
      <c r="AZ99" s="29">
        <f t="shared" si="81"/>
        <v>3276.6201000000001</v>
      </c>
      <c r="BA99" s="30">
        <f t="shared" si="82"/>
        <v>12237.650100000001</v>
      </c>
      <c r="BB99" s="31">
        <f t="shared" si="83"/>
        <v>0</v>
      </c>
      <c r="BC99" s="56">
        <f t="shared" si="18"/>
        <v>0</v>
      </c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</row>
    <row r="100" spans="1:71" ht="27.6">
      <c r="A100" s="132">
        <f>A54+1</f>
        <v>35</v>
      </c>
      <c r="B100" s="142" t="s">
        <v>118</v>
      </c>
      <c r="C100" s="129" t="s">
        <v>40</v>
      </c>
      <c r="D100" s="38" t="s">
        <v>119</v>
      </c>
      <c r="E100" s="38">
        <v>54000</v>
      </c>
      <c r="F100" s="135">
        <v>46054</v>
      </c>
      <c r="G100" s="110">
        <f>E100/2</f>
        <v>27000</v>
      </c>
      <c r="H100" s="109">
        <v>22</v>
      </c>
      <c r="I100" s="42" t="s">
        <v>41</v>
      </c>
      <c r="J100" s="97"/>
      <c r="K100" s="97"/>
      <c r="L100" s="2"/>
      <c r="M100" s="42"/>
      <c r="N100" s="43"/>
      <c r="O100" s="42"/>
      <c r="P100" s="44"/>
      <c r="Q100" s="43"/>
      <c r="R100" s="42"/>
      <c r="S100" s="44"/>
      <c r="T100" s="43"/>
      <c r="U100" s="43"/>
      <c r="V100" s="43"/>
      <c r="W100" s="43"/>
      <c r="X100" s="42"/>
      <c r="Y100" s="44"/>
      <c r="Z100" s="45"/>
      <c r="AA100" s="76"/>
      <c r="AB100" s="76"/>
      <c r="AC100" s="48">
        <v>12500</v>
      </c>
      <c r="AD100" s="138"/>
      <c r="AE100" s="45"/>
      <c r="AF100" s="22"/>
      <c r="AG100" s="29"/>
      <c r="AH100" s="152">
        <v>13500</v>
      </c>
      <c r="AI100" s="45"/>
      <c r="AJ100" s="25">
        <f>AH100+AI100+AG100+AC100</f>
        <v>26000</v>
      </c>
      <c r="AK100" s="26">
        <f t="shared" si="77"/>
        <v>5980</v>
      </c>
      <c r="AL100" s="53"/>
      <c r="AM100" s="53"/>
      <c r="AN100" s="53"/>
      <c r="AO100" s="53"/>
      <c r="AP100" s="53"/>
      <c r="AQ100" s="53"/>
      <c r="AR100" s="53">
        <v>9625</v>
      </c>
      <c r="AS100" s="53"/>
      <c r="AT100" s="53">
        <v>10395</v>
      </c>
      <c r="AU100" s="27">
        <f t="shared" si="78"/>
        <v>0</v>
      </c>
      <c r="AV100" s="28">
        <f t="shared" si="79"/>
        <v>20020</v>
      </c>
      <c r="AW100" s="28"/>
      <c r="AX100" s="141"/>
      <c r="AY100" s="28">
        <f t="shared" si="80"/>
        <v>5980</v>
      </c>
      <c r="AZ100" s="29">
        <f t="shared" si="81"/>
        <v>5720</v>
      </c>
      <c r="BA100" s="30">
        <f t="shared" si="82"/>
        <v>11700</v>
      </c>
      <c r="BB100" s="31">
        <f t="shared" si="83"/>
        <v>0</v>
      </c>
      <c r="BC100" s="56">
        <f t="shared" si="18"/>
        <v>0</v>
      </c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</row>
    <row r="101" spans="1:71" ht="13.8">
      <c r="A101" s="132">
        <f>A100+1</f>
        <v>36</v>
      </c>
      <c r="B101" s="142" t="s">
        <v>120</v>
      </c>
      <c r="C101" s="129" t="s">
        <v>40</v>
      </c>
      <c r="D101" s="38" t="s">
        <v>262</v>
      </c>
      <c r="E101" s="38">
        <v>26000</v>
      </c>
      <c r="F101" s="78">
        <v>1</v>
      </c>
      <c r="G101" s="38">
        <v>26000</v>
      </c>
      <c r="H101" s="38">
        <v>22</v>
      </c>
      <c r="I101" s="38" t="s">
        <v>37</v>
      </c>
      <c r="J101" s="97"/>
      <c r="K101" s="40">
        <v>124</v>
      </c>
      <c r="L101" s="41">
        <v>25</v>
      </c>
      <c r="M101" s="42">
        <f>K101*L101</f>
        <v>3100</v>
      </c>
      <c r="N101" s="43"/>
      <c r="O101" s="42"/>
      <c r="P101" s="44"/>
      <c r="Q101" s="173">
        <v>1</v>
      </c>
      <c r="R101" s="89">
        <v>500</v>
      </c>
      <c r="S101" s="44">
        <f>Q101*R101</f>
        <v>500</v>
      </c>
      <c r="T101" s="43"/>
      <c r="U101" s="43"/>
      <c r="V101" s="43"/>
      <c r="W101" s="43"/>
      <c r="X101" s="42"/>
      <c r="Y101" s="44"/>
      <c r="Z101" s="45"/>
      <c r="AA101" s="76"/>
      <c r="AB101" s="76"/>
      <c r="AC101" s="48">
        <v>17675</v>
      </c>
      <c r="AD101" s="138"/>
      <c r="AE101" s="45"/>
      <c r="AF101" s="22">
        <f>M101+P101+S101+V101+Y101+T101</f>
        <v>3600</v>
      </c>
      <c r="AG101" s="29"/>
      <c r="AH101" s="152">
        <f>13000</f>
        <v>13000</v>
      </c>
      <c r="AI101" s="45"/>
      <c r="AJ101" s="25">
        <f>AC101+AH101</f>
        <v>30675</v>
      </c>
      <c r="AK101" s="26">
        <f t="shared" si="77"/>
        <v>7055.25</v>
      </c>
      <c r="AL101" s="53"/>
      <c r="AM101" s="53"/>
      <c r="AN101" s="53"/>
      <c r="AO101" s="53"/>
      <c r="AP101" s="53"/>
      <c r="AQ101" s="53"/>
      <c r="AR101" s="53">
        <v>13609.75</v>
      </c>
      <c r="AS101" s="53"/>
      <c r="AT101" s="53">
        <v>10010</v>
      </c>
      <c r="AU101" s="27">
        <f t="shared" si="78"/>
        <v>0</v>
      </c>
      <c r="AV101" s="28">
        <f t="shared" si="79"/>
        <v>23619.75</v>
      </c>
      <c r="AW101" s="28"/>
      <c r="AX101" s="141"/>
      <c r="AY101" s="28">
        <f t="shared" si="80"/>
        <v>7055.25</v>
      </c>
      <c r="AZ101" s="29">
        <f t="shared" si="81"/>
        <v>6748.5</v>
      </c>
      <c r="BA101" s="30">
        <f t="shared" si="82"/>
        <v>13803.75</v>
      </c>
      <c r="BB101" s="31">
        <f t="shared" si="83"/>
        <v>0</v>
      </c>
      <c r="BC101" s="56">
        <f t="shared" si="18"/>
        <v>0</v>
      </c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</row>
    <row r="102" spans="1:71" ht="27.6">
      <c r="A102" s="132">
        <f>A57+1</f>
        <v>38</v>
      </c>
      <c r="B102" s="142" t="s">
        <v>121</v>
      </c>
      <c r="C102" s="129" t="s">
        <v>40</v>
      </c>
      <c r="D102" s="38" t="s">
        <v>122</v>
      </c>
      <c r="E102" s="38">
        <v>26000</v>
      </c>
      <c r="F102" s="78">
        <v>1</v>
      </c>
      <c r="G102" s="38">
        <v>26000</v>
      </c>
      <c r="H102" s="38">
        <v>22</v>
      </c>
      <c r="I102" s="42" t="s">
        <v>41</v>
      </c>
      <c r="J102" s="97"/>
      <c r="K102" s="97"/>
      <c r="L102" s="2"/>
      <c r="M102" s="42"/>
      <c r="N102" s="43"/>
      <c r="O102" s="42"/>
      <c r="P102" s="44"/>
      <c r="Q102" s="43"/>
      <c r="R102" s="42"/>
      <c r="S102" s="44"/>
      <c r="T102" s="43"/>
      <c r="U102" s="43"/>
      <c r="V102" s="43"/>
      <c r="W102" s="43"/>
      <c r="X102" s="42"/>
      <c r="Y102" s="44"/>
      <c r="Z102" s="45"/>
      <c r="AA102" s="76"/>
      <c r="AB102" s="76"/>
      <c r="AC102" s="76"/>
      <c r="AD102" s="138"/>
      <c r="AE102" s="45"/>
      <c r="AF102" s="22"/>
      <c r="AG102" s="29"/>
      <c r="AH102" s="152">
        <v>26000</v>
      </c>
      <c r="AI102" s="45"/>
      <c r="AJ102" s="25">
        <f t="shared" ref="AJ102:AJ104" si="102">AH102+AI102</f>
        <v>26000</v>
      </c>
      <c r="AK102" s="26">
        <f t="shared" si="77"/>
        <v>5980</v>
      </c>
      <c r="AL102" s="53">
        <v>10010</v>
      </c>
      <c r="AM102" s="53"/>
      <c r="AN102" s="53"/>
      <c r="AO102" s="53"/>
      <c r="AP102" s="53"/>
      <c r="AQ102" s="53"/>
      <c r="AR102" s="53"/>
      <c r="AS102" s="53"/>
      <c r="AT102" s="53">
        <v>10010</v>
      </c>
      <c r="AU102" s="27">
        <f t="shared" si="78"/>
        <v>0</v>
      </c>
      <c r="AV102" s="28">
        <f t="shared" si="79"/>
        <v>20020</v>
      </c>
      <c r="AW102" s="28"/>
      <c r="AX102" s="141"/>
      <c r="AY102" s="28">
        <f t="shared" si="80"/>
        <v>5980</v>
      </c>
      <c r="AZ102" s="29">
        <f t="shared" si="81"/>
        <v>5720</v>
      </c>
      <c r="BA102" s="30">
        <f t="shared" si="82"/>
        <v>11700</v>
      </c>
      <c r="BB102" s="31">
        <f t="shared" si="83"/>
        <v>0</v>
      </c>
      <c r="BC102" s="56">
        <f t="shared" si="18"/>
        <v>0</v>
      </c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</row>
    <row r="103" spans="1:71" ht="27.6">
      <c r="A103" s="132">
        <f t="shared" ref="A103:A105" si="103">A102+1</f>
        <v>39</v>
      </c>
      <c r="B103" s="142" t="s">
        <v>263</v>
      </c>
      <c r="C103" s="129" t="s">
        <v>40</v>
      </c>
      <c r="D103" s="38" t="s">
        <v>262</v>
      </c>
      <c r="E103" s="38">
        <v>26000</v>
      </c>
      <c r="F103" s="135">
        <v>46113</v>
      </c>
      <c r="G103" s="38">
        <f>E103/4</f>
        <v>6500</v>
      </c>
      <c r="H103" s="38">
        <v>22</v>
      </c>
      <c r="I103" s="42" t="s">
        <v>41</v>
      </c>
      <c r="J103" s="97"/>
      <c r="K103" s="97"/>
      <c r="L103" s="2"/>
      <c r="M103" s="42"/>
      <c r="N103" s="43"/>
      <c r="O103" s="42"/>
      <c r="P103" s="44"/>
      <c r="Q103" s="43"/>
      <c r="R103" s="42"/>
      <c r="S103" s="44"/>
      <c r="T103" s="43"/>
      <c r="U103" s="43"/>
      <c r="V103" s="43"/>
      <c r="W103" s="43"/>
      <c r="X103" s="42"/>
      <c r="Y103" s="44"/>
      <c r="Z103" s="45"/>
      <c r="AA103" s="76"/>
      <c r="AB103" s="76"/>
      <c r="AC103" s="76"/>
      <c r="AD103" s="138"/>
      <c r="AE103" s="45"/>
      <c r="AF103" s="22"/>
      <c r="AG103" s="29"/>
      <c r="AH103" s="152">
        <v>296.02</v>
      </c>
      <c r="AI103" s="45"/>
      <c r="AJ103" s="25">
        <f t="shared" si="102"/>
        <v>296.02</v>
      </c>
      <c r="AK103" s="26">
        <f t="shared" si="77"/>
        <v>68.084599999999995</v>
      </c>
      <c r="AL103" s="53"/>
      <c r="AM103" s="53"/>
      <c r="AN103" s="53"/>
      <c r="AO103" s="53"/>
      <c r="AP103" s="53"/>
      <c r="AQ103" s="53"/>
      <c r="AR103" s="53"/>
      <c r="AS103" s="53"/>
      <c r="AT103" s="53">
        <v>227.94</v>
      </c>
      <c r="AU103" s="27">
        <f t="shared" si="78"/>
        <v>-4.6000000000105956E-3</v>
      </c>
      <c r="AV103" s="28">
        <f t="shared" si="79"/>
        <v>227.94</v>
      </c>
      <c r="AW103" s="28"/>
      <c r="AX103" s="141"/>
      <c r="AY103" s="28">
        <f t="shared" si="80"/>
        <v>68.084599999999995</v>
      </c>
      <c r="AZ103" s="29">
        <f t="shared" si="81"/>
        <v>65.124399999999994</v>
      </c>
      <c r="BA103" s="30">
        <f t="shared" si="82"/>
        <v>133.209</v>
      </c>
      <c r="BB103" s="31">
        <f t="shared" si="83"/>
        <v>0</v>
      </c>
      <c r="BC103" s="56">
        <f t="shared" si="18"/>
        <v>-4.6000000000105956E-3</v>
      </c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</row>
    <row r="104" spans="1:71" ht="13.8">
      <c r="A104" s="132">
        <f t="shared" si="103"/>
        <v>40</v>
      </c>
      <c r="B104" s="142" t="s">
        <v>123</v>
      </c>
      <c r="C104" s="35"/>
      <c r="D104" s="38" t="s">
        <v>124</v>
      </c>
      <c r="E104" s="79"/>
      <c r="F104" s="153"/>
      <c r="G104" s="79"/>
      <c r="H104" s="38"/>
      <c r="I104" s="79"/>
      <c r="J104" s="97"/>
      <c r="K104" s="97"/>
      <c r="L104" s="2"/>
      <c r="M104" s="42"/>
      <c r="N104" s="43"/>
      <c r="O104" s="42"/>
      <c r="P104" s="44"/>
      <c r="Q104" s="43"/>
      <c r="R104" s="42"/>
      <c r="S104" s="44"/>
      <c r="T104" s="43"/>
      <c r="U104" s="43"/>
      <c r="V104" s="43"/>
      <c r="W104" s="43"/>
      <c r="X104" s="42"/>
      <c r="Y104" s="44"/>
      <c r="Z104" s="45"/>
      <c r="AA104" s="76"/>
      <c r="AB104" s="76"/>
      <c r="AC104" s="76"/>
      <c r="AD104" s="138"/>
      <c r="AE104" s="45"/>
      <c r="AF104" s="22"/>
      <c r="AG104" s="29"/>
      <c r="AH104" s="45"/>
      <c r="AI104" s="45"/>
      <c r="AJ104" s="25">
        <f t="shared" si="102"/>
        <v>0</v>
      </c>
      <c r="AK104" s="26">
        <f t="shared" si="77"/>
        <v>0</v>
      </c>
      <c r="AL104" s="53"/>
      <c r="AM104" s="53"/>
      <c r="AN104" s="53"/>
      <c r="AO104" s="53"/>
      <c r="AP104" s="53"/>
      <c r="AQ104" s="53"/>
      <c r="AR104" s="53"/>
      <c r="AS104" s="53"/>
      <c r="AT104" s="53"/>
      <c r="AU104" s="27">
        <f t="shared" si="78"/>
        <v>0</v>
      </c>
      <c r="AV104" s="28">
        <f t="shared" si="79"/>
        <v>0</v>
      </c>
      <c r="AW104" s="28"/>
      <c r="AX104" s="141"/>
      <c r="AY104" s="28">
        <f t="shared" si="80"/>
        <v>0</v>
      </c>
      <c r="AZ104" s="29">
        <f t="shared" si="81"/>
        <v>0</v>
      </c>
      <c r="BA104" s="30">
        <f t="shared" si="82"/>
        <v>0</v>
      </c>
      <c r="BB104" s="31">
        <f t="shared" si="83"/>
        <v>0</v>
      </c>
      <c r="BC104" s="56">
        <f t="shared" si="18"/>
        <v>0</v>
      </c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</row>
    <row r="105" spans="1:71" ht="27.6">
      <c r="A105" s="132">
        <f t="shared" si="103"/>
        <v>41</v>
      </c>
      <c r="B105" s="249" t="s">
        <v>125</v>
      </c>
      <c r="C105" s="35" t="s">
        <v>40</v>
      </c>
      <c r="D105" s="38" t="s">
        <v>126</v>
      </c>
      <c r="E105" s="38">
        <v>40000</v>
      </c>
      <c r="F105" s="135">
        <v>46054</v>
      </c>
      <c r="G105" s="109">
        <v>25000</v>
      </c>
      <c r="H105" s="109">
        <v>22</v>
      </c>
      <c r="I105" s="42" t="s">
        <v>41</v>
      </c>
      <c r="J105" s="40">
        <v>25000</v>
      </c>
      <c r="K105" s="97"/>
      <c r="L105" s="2"/>
      <c r="M105" s="42"/>
      <c r="N105" s="43"/>
      <c r="O105" s="42"/>
      <c r="P105" s="44"/>
      <c r="Q105" s="43"/>
      <c r="R105" s="42"/>
      <c r="S105" s="44"/>
      <c r="T105" s="43"/>
      <c r="U105" s="43"/>
      <c r="V105" s="43"/>
      <c r="W105" s="43"/>
      <c r="X105" s="42"/>
      <c r="Y105" s="44"/>
      <c r="Z105" s="45"/>
      <c r="AA105" s="53"/>
      <c r="AB105" s="53"/>
      <c r="AC105" s="48"/>
      <c r="AD105" s="138"/>
      <c r="AE105" s="45"/>
      <c r="AF105" s="22"/>
      <c r="AG105" s="29"/>
      <c r="AH105" s="275">
        <v>26000</v>
      </c>
      <c r="AI105" s="45"/>
      <c r="AJ105" s="25">
        <f>AH105+AI105+AC105</f>
        <v>26000</v>
      </c>
      <c r="AK105" s="26">
        <f t="shared" si="77"/>
        <v>5980</v>
      </c>
      <c r="AL105" s="53">
        <v>10010</v>
      </c>
      <c r="AM105" s="53"/>
      <c r="AN105" s="53"/>
      <c r="AO105" s="53"/>
      <c r="AP105" s="53"/>
      <c r="AQ105" s="48"/>
      <c r="AR105" s="48"/>
      <c r="AS105" s="53"/>
      <c r="AT105" s="53">
        <v>10010</v>
      </c>
      <c r="AU105" s="27">
        <f t="shared" si="78"/>
        <v>0</v>
      </c>
      <c r="AV105" s="28">
        <f t="shared" si="79"/>
        <v>20020</v>
      </c>
      <c r="AW105" s="28"/>
      <c r="AX105" s="28"/>
      <c r="AY105" s="28">
        <f t="shared" si="80"/>
        <v>5980</v>
      </c>
      <c r="AZ105" s="29">
        <f t="shared" si="81"/>
        <v>5720</v>
      </c>
      <c r="BA105" s="30">
        <f t="shared" si="82"/>
        <v>11700</v>
      </c>
      <c r="BB105" s="31">
        <f t="shared" si="83"/>
        <v>0</v>
      </c>
      <c r="BC105" s="56">
        <f t="shared" si="18"/>
        <v>0</v>
      </c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</row>
    <row r="106" spans="1:71" ht="13.8">
      <c r="A106" s="132">
        <f>A55+1</f>
        <v>43</v>
      </c>
      <c r="B106" s="154" t="s">
        <v>127</v>
      </c>
      <c r="C106" s="35"/>
      <c r="D106" s="155" t="s">
        <v>127</v>
      </c>
      <c r="E106" s="79"/>
      <c r="F106" s="79"/>
      <c r="G106" s="79"/>
      <c r="H106" s="38"/>
      <c r="I106" s="79"/>
      <c r="J106" s="97"/>
      <c r="K106" s="97"/>
      <c r="L106" s="2"/>
      <c r="M106" s="42"/>
      <c r="N106" s="43"/>
      <c r="O106" s="42"/>
      <c r="P106" s="44"/>
      <c r="Q106" s="43"/>
      <c r="R106" s="42"/>
      <c r="S106" s="44"/>
      <c r="T106" s="43"/>
      <c r="U106" s="43"/>
      <c r="V106" s="43"/>
      <c r="W106" s="43"/>
      <c r="X106" s="42"/>
      <c r="Y106" s="44"/>
      <c r="Z106" s="45"/>
      <c r="AA106" s="76"/>
      <c r="AB106" s="76"/>
      <c r="AC106" s="76"/>
      <c r="AD106" s="138"/>
      <c r="AE106" s="45"/>
      <c r="AF106" s="22"/>
      <c r="AG106" s="29"/>
      <c r="AH106" s="45"/>
      <c r="AI106" s="45"/>
      <c r="AJ106" s="25">
        <f t="shared" ref="AJ106:AJ107" si="104">AH106+AI106</f>
        <v>0</v>
      </c>
      <c r="AK106" s="26">
        <f t="shared" si="77"/>
        <v>0</v>
      </c>
      <c r="AL106" s="53"/>
      <c r="AM106" s="53"/>
      <c r="AN106" s="53"/>
      <c r="AO106" s="53"/>
      <c r="AP106" s="53"/>
      <c r="AQ106" s="53"/>
      <c r="AR106" s="53"/>
      <c r="AS106" s="53"/>
      <c r="AT106" s="53"/>
      <c r="AU106" s="27">
        <f t="shared" si="78"/>
        <v>0</v>
      </c>
      <c r="AV106" s="28">
        <f t="shared" si="79"/>
        <v>0</v>
      </c>
      <c r="AW106" s="28"/>
      <c r="AX106" s="141"/>
      <c r="AY106" s="28">
        <f t="shared" si="80"/>
        <v>0</v>
      </c>
      <c r="AZ106" s="29">
        <f t="shared" si="81"/>
        <v>0</v>
      </c>
      <c r="BA106" s="30">
        <f t="shared" si="82"/>
        <v>0</v>
      </c>
      <c r="BB106" s="31">
        <f t="shared" si="83"/>
        <v>0</v>
      </c>
      <c r="BC106" s="56">
        <f t="shared" si="18"/>
        <v>0</v>
      </c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</row>
    <row r="107" spans="1:71" ht="13.8">
      <c r="A107" s="132">
        <f>A106+1</f>
        <v>44</v>
      </c>
      <c r="B107" s="156" t="s">
        <v>128</v>
      </c>
      <c r="C107" s="35"/>
      <c r="D107" s="157" t="s">
        <v>128</v>
      </c>
      <c r="E107" s="79"/>
      <c r="F107" s="79"/>
      <c r="G107" s="79"/>
      <c r="H107" s="38"/>
      <c r="I107" s="79"/>
      <c r="J107" s="97"/>
      <c r="K107" s="97"/>
      <c r="L107" s="2"/>
      <c r="M107" s="42"/>
      <c r="N107" s="43"/>
      <c r="O107" s="42"/>
      <c r="P107" s="44"/>
      <c r="Q107" s="43"/>
      <c r="R107" s="42"/>
      <c r="S107" s="44"/>
      <c r="T107" s="43"/>
      <c r="U107" s="43"/>
      <c r="V107" s="43"/>
      <c r="W107" s="43"/>
      <c r="X107" s="42"/>
      <c r="Y107" s="44"/>
      <c r="Z107" s="45"/>
      <c r="AA107" s="76"/>
      <c r="AB107" s="76"/>
      <c r="AC107" s="76"/>
      <c r="AD107" s="138"/>
      <c r="AE107" s="45"/>
      <c r="AF107" s="22"/>
      <c r="AG107" s="29"/>
      <c r="AH107" s="45"/>
      <c r="AI107" s="45"/>
      <c r="AJ107" s="25">
        <f t="shared" si="104"/>
        <v>0</v>
      </c>
      <c r="AK107" s="26">
        <f t="shared" si="77"/>
        <v>0</v>
      </c>
      <c r="AL107" s="53"/>
      <c r="AM107" s="53"/>
      <c r="AN107" s="53"/>
      <c r="AO107" s="53"/>
      <c r="AP107" s="53"/>
      <c r="AQ107" s="53"/>
      <c r="AR107" s="53"/>
      <c r="AS107" s="53"/>
      <c r="AT107" s="53"/>
      <c r="AU107" s="27">
        <f t="shared" si="78"/>
        <v>0</v>
      </c>
      <c r="AV107" s="28">
        <f t="shared" si="79"/>
        <v>0</v>
      </c>
      <c r="AW107" s="28"/>
      <c r="AX107" s="141"/>
      <c r="AY107" s="28">
        <f t="shared" si="80"/>
        <v>0</v>
      </c>
      <c r="AZ107" s="29">
        <f t="shared" si="81"/>
        <v>0</v>
      </c>
      <c r="BA107" s="30">
        <f t="shared" si="82"/>
        <v>0</v>
      </c>
      <c r="BB107" s="31">
        <f t="shared" si="83"/>
        <v>0</v>
      </c>
      <c r="BC107" s="56">
        <f t="shared" si="18"/>
        <v>0</v>
      </c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</row>
    <row r="108" spans="1:71" ht="13.8">
      <c r="A108" s="102"/>
      <c r="B108" s="103" t="s">
        <v>129</v>
      </c>
      <c r="C108" s="158"/>
      <c r="D108" s="158"/>
      <c r="E108" s="158"/>
      <c r="F108" s="158"/>
      <c r="G108" s="158"/>
      <c r="H108" s="158"/>
      <c r="I108" s="158"/>
      <c r="J108" s="105"/>
      <c r="K108" s="105">
        <f>SUM(K68:K107)</f>
        <v>1229</v>
      </c>
      <c r="L108" s="105"/>
      <c r="M108" s="105">
        <f t="shared" ref="M108:N108" si="105">SUM(M68:M107)</f>
        <v>224100</v>
      </c>
      <c r="N108" s="105">
        <f t="shared" si="105"/>
        <v>0</v>
      </c>
      <c r="O108" s="105"/>
      <c r="P108" s="105">
        <f t="shared" ref="P108:Q108" si="106">SUM(P68:P107)</f>
        <v>0</v>
      </c>
      <c r="Q108" s="105">
        <f t="shared" si="106"/>
        <v>18</v>
      </c>
      <c r="R108" s="105"/>
      <c r="S108" s="105">
        <f>SUM(S68:S107)</f>
        <v>9000</v>
      </c>
      <c r="T108" s="105"/>
      <c r="U108" s="105"/>
      <c r="V108" s="105">
        <f t="shared" ref="V108:W108" si="107">SUM(V68:V107)</f>
        <v>0</v>
      </c>
      <c r="W108" s="105">
        <f t="shared" si="107"/>
        <v>0</v>
      </c>
      <c r="X108" s="105"/>
      <c r="Y108" s="105">
        <f t="shared" ref="Y108:Z108" si="108">SUM(Y68:Y107)</f>
        <v>0</v>
      </c>
      <c r="Z108" s="106">
        <f t="shared" si="108"/>
        <v>1560</v>
      </c>
      <c r="AA108" s="106"/>
      <c r="AB108" s="106"/>
      <c r="AC108" s="106">
        <f t="shared" ref="AC108:AP108" si="109">SUM(AC68:AC107)</f>
        <v>172145</v>
      </c>
      <c r="AD108" s="105">
        <f t="shared" si="109"/>
        <v>24092.09</v>
      </c>
      <c r="AE108" s="106">
        <f t="shared" si="109"/>
        <v>385.2</v>
      </c>
      <c r="AF108" s="106">
        <f t="shared" si="109"/>
        <v>233500</v>
      </c>
      <c r="AG108" s="106">
        <f t="shared" si="109"/>
        <v>0</v>
      </c>
      <c r="AH108" s="106">
        <f t="shared" si="109"/>
        <v>416466.8</v>
      </c>
      <c r="AI108" s="106">
        <f t="shared" si="109"/>
        <v>243822.85714285713</v>
      </c>
      <c r="AJ108" s="106">
        <f t="shared" si="109"/>
        <v>728737.24714285729</v>
      </c>
      <c r="AK108" s="106">
        <f t="shared" si="109"/>
        <v>167609.56684285711</v>
      </c>
      <c r="AL108" s="106">
        <f t="shared" si="109"/>
        <v>94527.739999999991</v>
      </c>
      <c r="AM108" s="106">
        <f t="shared" si="109"/>
        <v>0</v>
      </c>
      <c r="AN108" s="106">
        <f t="shared" si="109"/>
        <v>21504.97</v>
      </c>
      <c r="AO108" s="106">
        <f t="shared" si="109"/>
        <v>296.60000000000002</v>
      </c>
      <c r="AP108" s="106">
        <f t="shared" si="109"/>
        <v>184477.88</v>
      </c>
      <c r="AQ108" s="105"/>
      <c r="AR108" s="106">
        <f t="shared" ref="AR108:AT108" si="110">SUM(AR68:AR107)</f>
        <v>136751.04999999999</v>
      </c>
      <c r="AS108" s="106">
        <f t="shared" si="110"/>
        <v>0</v>
      </c>
      <c r="AT108" s="106">
        <f t="shared" si="110"/>
        <v>124503.08000000002</v>
      </c>
      <c r="AU108" s="27">
        <f t="shared" si="78"/>
        <v>-933.63969999991241</v>
      </c>
      <c r="AV108" s="106">
        <f t="shared" ref="AV108:BB108" si="111">SUM(AV68:AV107)</f>
        <v>562061.32000000007</v>
      </c>
      <c r="AW108" s="106">
        <f t="shared" si="111"/>
        <v>0</v>
      </c>
      <c r="AX108" s="106">
        <f t="shared" si="111"/>
        <v>0</v>
      </c>
      <c r="AY108" s="106">
        <f t="shared" si="111"/>
        <v>167609.56684285711</v>
      </c>
      <c r="AZ108" s="106">
        <f t="shared" si="111"/>
        <v>148243.57904142854</v>
      </c>
      <c r="BA108" s="106">
        <f t="shared" si="111"/>
        <v>315853.14588428574</v>
      </c>
      <c r="BB108" s="106">
        <f t="shared" si="111"/>
        <v>0</v>
      </c>
      <c r="BC108" s="56">
        <f t="shared" si="18"/>
        <v>-933.63969999994151</v>
      </c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</row>
    <row r="109" spans="1:71" ht="13.8">
      <c r="A109" s="108"/>
      <c r="B109" s="7" t="s">
        <v>130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250"/>
      <c r="AB109" s="250"/>
      <c r="AC109" s="250"/>
      <c r="AD109" s="8"/>
      <c r="AE109" s="8"/>
      <c r="AF109" s="8"/>
      <c r="AG109" s="8"/>
      <c r="AH109" s="8"/>
      <c r="AI109" s="250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9"/>
      <c r="AZ109" s="9"/>
      <c r="BA109" s="9"/>
      <c r="BB109" s="9"/>
      <c r="BC109" s="32">
        <f t="shared" si="18"/>
        <v>0</v>
      </c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</row>
    <row r="110" spans="1:71" ht="27.6">
      <c r="A110" s="159">
        <v>1</v>
      </c>
      <c r="B110" s="276" t="s">
        <v>131</v>
      </c>
      <c r="C110" s="35" t="s">
        <v>40</v>
      </c>
      <c r="D110" s="133" t="s">
        <v>132</v>
      </c>
      <c r="E110" s="77">
        <v>8700</v>
      </c>
      <c r="F110" s="160">
        <v>46113</v>
      </c>
      <c r="G110" s="42">
        <f>8647/4</f>
        <v>2161.75</v>
      </c>
      <c r="H110" s="38">
        <v>22</v>
      </c>
      <c r="I110" s="42" t="s">
        <v>41</v>
      </c>
      <c r="J110" s="40"/>
      <c r="K110" s="40">
        <v>31</v>
      </c>
      <c r="L110" s="109">
        <v>200</v>
      </c>
      <c r="M110" s="110">
        <f t="shared" ref="M110:M116" si="112">K110*L110</f>
        <v>6200</v>
      </c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326"/>
      <c r="AB110" s="326"/>
      <c r="AC110" s="326"/>
      <c r="AD110" s="109"/>
      <c r="AE110" s="110"/>
      <c r="AF110" s="22">
        <f t="shared" ref="AF110:AF116" si="113">M110+P110+S110+V110+Y110</f>
        <v>6200</v>
      </c>
      <c r="AG110" s="110"/>
      <c r="AH110" s="258">
        <v>2259.7399999999998</v>
      </c>
      <c r="AI110" s="50">
        <f t="shared" ref="AI110:AI113" si="114">(AP110*100)/77</f>
        <v>5792.2077922077924</v>
      </c>
      <c r="AJ110" s="25">
        <f t="shared" ref="AJ110:AJ123" si="115">AH110+AI110</f>
        <v>8051.9477922077922</v>
      </c>
      <c r="AK110" s="26">
        <f t="shared" ref="AK110:AK123" si="116">AJ110*23%</f>
        <v>1851.9479922077924</v>
      </c>
      <c r="AL110" s="51">
        <v>870</v>
      </c>
      <c r="AM110" s="52"/>
      <c r="AN110" s="52"/>
      <c r="AO110" s="53"/>
      <c r="AP110" s="53">
        <f t="shared" ref="AP110:AP112" si="117">AF110-AL110-AT110</f>
        <v>4460</v>
      </c>
      <c r="AQ110" s="53"/>
      <c r="AR110" s="53"/>
      <c r="AS110" s="51"/>
      <c r="AT110" s="51">
        <v>870</v>
      </c>
      <c r="AU110" s="27">
        <f t="shared" ref="AU110:AU123" si="118">AJ110-AK110-AL110-AT110-AN110-AR110-AM110-AS110-AP110</f>
        <v>-2.0000000040454324E-4</v>
      </c>
      <c r="AV110" s="28">
        <f t="shared" ref="AV110:AV123" si="119">AL110+AM110+AN110+AR110+AT110+AS110+AP110+AO110+AQ110</f>
        <v>6200</v>
      </c>
      <c r="AW110" s="110"/>
      <c r="AX110" s="110"/>
      <c r="AY110" s="28">
        <f t="shared" ref="AY110:AY123" si="120">AJ110*23%</f>
        <v>1851.9479922077924</v>
      </c>
      <c r="AZ110" s="29">
        <f t="shared" ref="AZ110:AZ123" si="121">AJ110*H110%</f>
        <v>1771.4285142857143</v>
      </c>
      <c r="BA110" s="30">
        <f t="shared" ref="BA110:BA123" si="122">AY110+AZ110</f>
        <v>3623.3765064935069</v>
      </c>
      <c r="BB110" s="31">
        <f t="shared" ref="BB110:BB123" si="123">BA110-AZ110-AK110</f>
        <v>0</v>
      </c>
      <c r="BC110" s="56">
        <f t="shared" si="18"/>
        <v>-2.0000000040454324E-4</v>
      </c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</row>
    <row r="111" spans="1:71" ht="27.6">
      <c r="A111" s="163">
        <f t="shared" ref="A111:A123" si="124">A110+1</f>
        <v>2</v>
      </c>
      <c r="B111" s="276" t="s">
        <v>133</v>
      </c>
      <c r="C111" s="35" t="s">
        <v>40</v>
      </c>
      <c r="D111" s="133" t="s">
        <v>48</v>
      </c>
      <c r="E111" s="134">
        <v>8700</v>
      </c>
      <c r="F111" s="135">
        <v>46054</v>
      </c>
      <c r="G111" s="110">
        <f>E111/2</f>
        <v>4350</v>
      </c>
      <c r="H111" s="38">
        <v>22</v>
      </c>
      <c r="I111" s="42" t="s">
        <v>41</v>
      </c>
      <c r="J111" s="40"/>
      <c r="K111" s="40">
        <v>73</v>
      </c>
      <c r="L111" s="109">
        <v>200</v>
      </c>
      <c r="M111" s="110">
        <f t="shared" si="112"/>
        <v>14600</v>
      </c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327">
        <v>1320</v>
      </c>
      <c r="AA111" s="53"/>
      <c r="AB111" s="53">
        <f>Z111*0.77</f>
        <v>1016.4</v>
      </c>
      <c r="AC111" s="326"/>
      <c r="AD111" s="109"/>
      <c r="AE111" s="110"/>
      <c r="AF111" s="22">
        <f t="shared" si="113"/>
        <v>14600</v>
      </c>
      <c r="AG111" s="110"/>
      <c r="AH111" s="258">
        <f>4350+Z111</f>
        <v>5670</v>
      </c>
      <c r="AI111" s="50">
        <f t="shared" si="114"/>
        <v>14611.038961038961</v>
      </c>
      <c r="AJ111" s="25">
        <f t="shared" si="115"/>
        <v>20281.038961038961</v>
      </c>
      <c r="AK111" s="26">
        <f t="shared" si="116"/>
        <v>4664.6389610389615</v>
      </c>
      <c r="AL111" s="51">
        <v>1674.75</v>
      </c>
      <c r="AM111" s="52"/>
      <c r="AN111" s="52"/>
      <c r="AO111" s="53"/>
      <c r="AP111" s="53">
        <f t="shared" si="117"/>
        <v>11250.5</v>
      </c>
      <c r="AQ111" s="53"/>
      <c r="AR111" s="53"/>
      <c r="AS111" s="51">
        <v>1016.4</v>
      </c>
      <c r="AT111" s="51">
        <v>1674.75</v>
      </c>
      <c r="AU111" s="27">
        <f t="shared" si="118"/>
        <v>0</v>
      </c>
      <c r="AV111" s="28">
        <f t="shared" si="119"/>
        <v>15616.4</v>
      </c>
      <c r="AW111" s="110"/>
      <c r="AX111" s="110"/>
      <c r="AY111" s="28">
        <f t="shared" si="120"/>
        <v>4664.6389610389615</v>
      </c>
      <c r="AZ111" s="29">
        <f t="shared" si="121"/>
        <v>4461.8285714285712</v>
      </c>
      <c r="BA111" s="30">
        <f t="shared" si="122"/>
        <v>9126.4675324675336</v>
      </c>
      <c r="BB111" s="31">
        <f t="shared" si="123"/>
        <v>0</v>
      </c>
      <c r="BC111" s="56">
        <f t="shared" si="18"/>
        <v>0</v>
      </c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</row>
    <row r="112" spans="1:71" ht="27.6">
      <c r="A112" s="163">
        <f t="shared" si="124"/>
        <v>3</v>
      </c>
      <c r="B112" s="276" t="s">
        <v>134</v>
      </c>
      <c r="C112" s="35" t="s">
        <v>40</v>
      </c>
      <c r="D112" s="164" t="s">
        <v>80</v>
      </c>
      <c r="E112" s="77">
        <v>8700</v>
      </c>
      <c r="F112" s="160">
        <v>46113</v>
      </c>
      <c r="G112" s="42">
        <f t="shared" ref="G112:G119" si="125">8647/4</f>
        <v>2161.75</v>
      </c>
      <c r="H112" s="38">
        <v>22</v>
      </c>
      <c r="I112" s="42" t="s">
        <v>41</v>
      </c>
      <c r="J112" s="40"/>
      <c r="K112" s="40">
        <v>158</v>
      </c>
      <c r="L112" s="109">
        <v>200</v>
      </c>
      <c r="M112" s="110">
        <f t="shared" si="112"/>
        <v>31600</v>
      </c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51"/>
      <c r="AB112" s="51"/>
      <c r="AC112" s="326"/>
      <c r="AD112" s="109"/>
      <c r="AE112" s="110"/>
      <c r="AF112" s="22">
        <f t="shared" si="113"/>
        <v>31600</v>
      </c>
      <c r="AG112" s="110"/>
      <c r="AH112" s="53">
        <v>2259.7399999999998</v>
      </c>
      <c r="AI112" s="50">
        <f t="shared" si="114"/>
        <v>38779.220779220777</v>
      </c>
      <c r="AJ112" s="25">
        <f t="shared" si="115"/>
        <v>41038.960779220775</v>
      </c>
      <c r="AK112" s="26">
        <f t="shared" si="116"/>
        <v>9438.9609792207793</v>
      </c>
      <c r="AL112" s="51">
        <v>870</v>
      </c>
      <c r="AM112" s="52"/>
      <c r="AN112" s="52"/>
      <c r="AO112" s="53"/>
      <c r="AP112" s="53">
        <f t="shared" si="117"/>
        <v>29860</v>
      </c>
      <c r="AQ112" s="53"/>
      <c r="AR112" s="53"/>
      <c r="AS112" s="51"/>
      <c r="AT112" s="51">
        <v>870</v>
      </c>
      <c r="AU112" s="27">
        <f t="shared" si="118"/>
        <v>-2.0000000222353265E-4</v>
      </c>
      <c r="AV112" s="28">
        <f t="shared" si="119"/>
        <v>31600</v>
      </c>
      <c r="AW112" s="110"/>
      <c r="AX112" s="110"/>
      <c r="AY112" s="28">
        <f t="shared" si="120"/>
        <v>9438.9609792207793</v>
      </c>
      <c r="AZ112" s="29">
        <f t="shared" si="121"/>
        <v>9028.5713714285703</v>
      </c>
      <c r="BA112" s="30">
        <f t="shared" si="122"/>
        <v>18467.532350649351</v>
      </c>
      <c r="BB112" s="31">
        <f t="shared" si="123"/>
        <v>0</v>
      </c>
      <c r="BC112" s="56">
        <f t="shared" si="18"/>
        <v>-2.0000000222353265E-4</v>
      </c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</row>
    <row r="113" spans="1:71" ht="27.6">
      <c r="A113" s="163">
        <f t="shared" si="124"/>
        <v>4</v>
      </c>
      <c r="B113" s="277" t="s">
        <v>135</v>
      </c>
      <c r="C113" s="35" t="s">
        <v>40</v>
      </c>
      <c r="D113" s="164" t="s">
        <v>80</v>
      </c>
      <c r="E113" s="77">
        <v>8700</v>
      </c>
      <c r="F113" s="160">
        <v>46113</v>
      </c>
      <c r="G113" s="42">
        <f t="shared" si="125"/>
        <v>2161.75</v>
      </c>
      <c r="H113" s="38">
        <v>22</v>
      </c>
      <c r="I113" s="42" t="s">
        <v>41</v>
      </c>
      <c r="J113" s="40"/>
      <c r="K113" s="40"/>
      <c r="L113" s="109">
        <v>200</v>
      </c>
      <c r="M113" s="110">
        <f t="shared" si="112"/>
        <v>0</v>
      </c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52"/>
      <c r="AB113" s="52"/>
      <c r="AC113" s="252"/>
      <c r="AD113" s="109"/>
      <c r="AE113" s="110"/>
      <c r="AF113" s="22">
        <f t="shared" si="113"/>
        <v>0</v>
      </c>
      <c r="AG113" s="97"/>
      <c r="AI113" s="50">
        <f t="shared" si="114"/>
        <v>0</v>
      </c>
      <c r="AJ113" s="25">
        <f t="shared" si="115"/>
        <v>0</v>
      </c>
      <c r="AK113" s="26">
        <f t="shared" si="116"/>
        <v>0</v>
      </c>
      <c r="AL113" s="51"/>
      <c r="AM113" s="52"/>
      <c r="AN113" s="52"/>
      <c r="AO113" s="53"/>
      <c r="AP113" s="53"/>
      <c r="AQ113" s="53"/>
      <c r="AR113" s="53"/>
      <c r="AS113" s="51"/>
      <c r="AT113" s="51"/>
      <c r="AU113" s="27">
        <f t="shared" si="118"/>
        <v>0</v>
      </c>
      <c r="AV113" s="28">
        <f t="shared" si="119"/>
        <v>0</v>
      </c>
      <c r="AW113" s="40"/>
      <c r="AX113" s="110"/>
      <c r="AY113" s="28">
        <f t="shared" si="120"/>
        <v>0</v>
      </c>
      <c r="AZ113" s="29">
        <f t="shared" si="121"/>
        <v>0</v>
      </c>
      <c r="BA113" s="30">
        <f t="shared" si="122"/>
        <v>0</v>
      </c>
      <c r="BB113" s="31">
        <f t="shared" si="123"/>
        <v>0</v>
      </c>
      <c r="BC113" s="56">
        <f t="shared" si="18"/>
        <v>0</v>
      </c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</row>
    <row r="114" spans="1:71" ht="27.6">
      <c r="A114" s="163">
        <f t="shared" si="124"/>
        <v>5</v>
      </c>
      <c r="B114" s="278" t="s">
        <v>136</v>
      </c>
      <c r="C114" s="35" t="s">
        <v>40</v>
      </c>
      <c r="D114" s="164" t="s">
        <v>80</v>
      </c>
      <c r="E114" s="77">
        <v>8700</v>
      </c>
      <c r="F114" s="160">
        <v>46113</v>
      </c>
      <c r="G114" s="42">
        <f t="shared" si="125"/>
        <v>2161.75</v>
      </c>
      <c r="H114" s="38">
        <v>22</v>
      </c>
      <c r="I114" s="42" t="s">
        <v>41</v>
      </c>
      <c r="J114" s="40"/>
      <c r="K114" s="40">
        <v>178</v>
      </c>
      <c r="L114" s="109">
        <v>200</v>
      </c>
      <c r="M114" s="110">
        <f t="shared" si="112"/>
        <v>35600</v>
      </c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327">
        <v>1320</v>
      </c>
      <c r="AA114" s="53"/>
      <c r="AB114" s="53">
        <f t="shared" ref="AB114:AB115" si="126">Z114*0.77</f>
        <v>1016.4</v>
      </c>
      <c r="AC114" s="326"/>
      <c r="AD114" s="109"/>
      <c r="AE114" s="110"/>
      <c r="AF114" s="22">
        <f t="shared" si="113"/>
        <v>35600</v>
      </c>
      <c r="AG114" s="110"/>
      <c r="AH114" s="258">
        <f>5649.35+Z114</f>
        <v>6969.35</v>
      </c>
      <c r="AI114" s="50">
        <f>((AP114+AR114)*100)/77</f>
        <v>40584.415584415583</v>
      </c>
      <c r="AJ114" s="25">
        <f t="shared" si="115"/>
        <v>47553.765584415582</v>
      </c>
      <c r="AK114" s="26">
        <f t="shared" si="116"/>
        <v>10937.366084415584</v>
      </c>
      <c r="AL114" s="51">
        <v>2175.0100000000002</v>
      </c>
      <c r="AM114" s="52"/>
      <c r="AN114" s="52"/>
      <c r="AO114" s="53"/>
      <c r="AP114" s="53">
        <f t="shared" ref="AP114:AP116" si="127">AF114-AL114-AT114</f>
        <v>31250</v>
      </c>
      <c r="AQ114" s="53"/>
      <c r="AR114" s="266"/>
      <c r="AS114" s="51">
        <v>1016.4</v>
      </c>
      <c r="AT114" s="51">
        <v>2174.9899999999998</v>
      </c>
      <c r="AU114" s="27">
        <f t="shared" si="118"/>
        <v>-5.0000000192085281E-4</v>
      </c>
      <c r="AV114" s="28">
        <f t="shared" si="119"/>
        <v>36616.400000000001</v>
      </c>
      <c r="AW114" s="110"/>
      <c r="AX114" s="110"/>
      <c r="AY114" s="28">
        <f t="shared" si="120"/>
        <v>10937.366084415584</v>
      </c>
      <c r="AZ114" s="29">
        <f t="shared" si="121"/>
        <v>10461.828428571427</v>
      </c>
      <c r="BA114" s="30">
        <f t="shared" si="122"/>
        <v>21399.194512987011</v>
      </c>
      <c r="BB114" s="31">
        <f t="shared" si="123"/>
        <v>0</v>
      </c>
      <c r="BC114" s="56">
        <f t="shared" si="18"/>
        <v>-5.0000000192085281E-4</v>
      </c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</row>
    <row r="115" spans="1:71" ht="27.6">
      <c r="A115" s="163">
        <f t="shared" si="124"/>
        <v>6</v>
      </c>
      <c r="B115" s="277" t="s">
        <v>137</v>
      </c>
      <c r="C115" s="35" t="s">
        <v>40</v>
      </c>
      <c r="D115" s="164" t="s">
        <v>80</v>
      </c>
      <c r="E115" s="77">
        <v>8700</v>
      </c>
      <c r="F115" s="160">
        <v>46113</v>
      </c>
      <c r="G115" s="42">
        <f t="shared" si="125"/>
        <v>2161.75</v>
      </c>
      <c r="H115" s="38">
        <v>22</v>
      </c>
      <c r="I115" s="42" t="s">
        <v>41</v>
      </c>
      <c r="J115" s="40"/>
      <c r="K115" s="40">
        <v>152</v>
      </c>
      <c r="L115" s="109">
        <v>200</v>
      </c>
      <c r="M115" s="110">
        <f t="shared" si="112"/>
        <v>30400</v>
      </c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327">
        <v>1800</v>
      </c>
      <c r="AA115" s="53"/>
      <c r="AB115" s="53">
        <f t="shared" si="126"/>
        <v>1386</v>
      </c>
      <c r="AC115" s="326"/>
      <c r="AD115" s="109"/>
      <c r="AE115" s="110"/>
      <c r="AF115" s="22">
        <f t="shared" si="113"/>
        <v>30400</v>
      </c>
      <c r="AG115" s="110"/>
      <c r="AH115" s="258">
        <f>4677.42+Z115</f>
        <v>6477.42</v>
      </c>
      <c r="AI115" s="50">
        <f t="shared" ref="AI115:AI116" si="128">(AP115*100)/77</f>
        <v>34803.103896103894</v>
      </c>
      <c r="AJ115" s="25">
        <f t="shared" si="115"/>
        <v>41280.523896103892</v>
      </c>
      <c r="AK115" s="26">
        <f t="shared" si="116"/>
        <v>9494.5204961038962</v>
      </c>
      <c r="AL115" s="51">
        <v>1800.8</v>
      </c>
      <c r="AM115" s="52"/>
      <c r="AN115" s="52"/>
      <c r="AO115" s="53"/>
      <c r="AP115" s="53">
        <f t="shared" si="127"/>
        <v>26798.39</v>
      </c>
      <c r="AQ115" s="53"/>
      <c r="AR115" s="53"/>
      <c r="AS115" s="51">
        <v>1386</v>
      </c>
      <c r="AT115" s="51">
        <v>1800.81</v>
      </c>
      <c r="AU115" s="27">
        <f t="shared" si="118"/>
        <v>3.3999999941443093E-3</v>
      </c>
      <c r="AV115" s="28">
        <f t="shared" si="119"/>
        <v>31786</v>
      </c>
      <c r="AW115" s="110"/>
      <c r="AX115" s="110"/>
      <c r="AY115" s="28">
        <f t="shared" si="120"/>
        <v>9494.5204961038962</v>
      </c>
      <c r="AZ115" s="29">
        <f t="shared" si="121"/>
        <v>9081.715257142856</v>
      </c>
      <c r="BA115" s="30">
        <f t="shared" si="122"/>
        <v>18576.23575324675</v>
      </c>
      <c r="BB115" s="31">
        <f t="shared" si="123"/>
        <v>0</v>
      </c>
      <c r="BC115" s="56">
        <f t="shared" si="18"/>
        <v>3.3999999941443093E-3</v>
      </c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</row>
    <row r="116" spans="1:71" ht="27.6">
      <c r="A116" s="163">
        <f t="shared" si="124"/>
        <v>7</v>
      </c>
      <c r="B116" s="278" t="s">
        <v>138</v>
      </c>
      <c r="C116" s="35" t="s">
        <v>40</v>
      </c>
      <c r="D116" s="164" t="s">
        <v>48</v>
      </c>
      <c r="E116" s="77">
        <v>8700</v>
      </c>
      <c r="F116" s="160">
        <v>46113</v>
      </c>
      <c r="G116" s="42">
        <f t="shared" si="125"/>
        <v>2161.75</v>
      </c>
      <c r="H116" s="38">
        <v>22</v>
      </c>
      <c r="I116" s="42" t="s">
        <v>41</v>
      </c>
      <c r="J116" s="40"/>
      <c r="K116" s="40">
        <v>152</v>
      </c>
      <c r="L116" s="109">
        <v>200</v>
      </c>
      <c r="M116" s="110">
        <f t="shared" si="112"/>
        <v>30400</v>
      </c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326"/>
      <c r="AB116" s="326"/>
      <c r="AC116" s="326"/>
      <c r="AD116" s="110"/>
      <c r="AE116" s="110"/>
      <c r="AF116" s="22">
        <f t="shared" si="113"/>
        <v>30400</v>
      </c>
      <c r="AG116" s="110"/>
      <c r="AH116" s="258">
        <v>3118.28</v>
      </c>
      <c r="AI116" s="50">
        <f t="shared" si="128"/>
        <v>36362.233766233767</v>
      </c>
      <c r="AJ116" s="25">
        <f t="shared" si="115"/>
        <v>39480.513766233766</v>
      </c>
      <c r="AK116" s="26">
        <f t="shared" si="116"/>
        <v>9080.5181662337673</v>
      </c>
      <c r="AL116" s="51">
        <v>1200.53</v>
      </c>
      <c r="AM116" s="52"/>
      <c r="AN116" s="52"/>
      <c r="AO116" s="53"/>
      <c r="AP116" s="53">
        <f t="shared" si="127"/>
        <v>27998.920000000002</v>
      </c>
      <c r="AQ116" s="53"/>
      <c r="AR116" s="53"/>
      <c r="AS116" s="51"/>
      <c r="AT116" s="51">
        <v>1200.55</v>
      </c>
      <c r="AU116" s="27">
        <f t="shared" si="118"/>
        <v>-4.4000000016239937E-3</v>
      </c>
      <c r="AV116" s="28">
        <f t="shared" si="119"/>
        <v>30400</v>
      </c>
      <c r="AW116" s="110"/>
      <c r="AX116" s="110"/>
      <c r="AY116" s="28">
        <f t="shared" si="120"/>
        <v>9080.5181662337673</v>
      </c>
      <c r="AZ116" s="29">
        <f t="shared" si="121"/>
        <v>8685.7130285714284</v>
      </c>
      <c r="BA116" s="30">
        <f t="shared" si="122"/>
        <v>17766.231194805194</v>
      </c>
      <c r="BB116" s="31">
        <f t="shared" si="123"/>
        <v>0</v>
      </c>
      <c r="BC116" s="56">
        <f t="shared" si="18"/>
        <v>-4.4000000016239937E-3</v>
      </c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spans="1:71" ht="27.6">
      <c r="A117" s="163">
        <f t="shared" si="124"/>
        <v>8</v>
      </c>
      <c r="B117" s="279" t="s">
        <v>139</v>
      </c>
      <c r="C117" s="35" t="s">
        <v>40</v>
      </c>
      <c r="D117" s="133" t="s">
        <v>105</v>
      </c>
      <c r="E117" s="77">
        <v>8700</v>
      </c>
      <c r="F117" s="160">
        <v>46113</v>
      </c>
      <c r="G117" s="42">
        <f t="shared" si="125"/>
        <v>2161.75</v>
      </c>
      <c r="H117" s="38">
        <v>22</v>
      </c>
      <c r="I117" s="42" t="s">
        <v>41</v>
      </c>
      <c r="J117" s="40">
        <v>6658</v>
      </c>
      <c r="K117" s="97"/>
      <c r="L117" s="109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51"/>
      <c r="AB117" s="51"/>
      <c r="AC117" s="84">
        <v>6391</v>
      </c>
      <c r="AD117" s="110"/>
      <c r="AE117" s="110"/>
      <c r="AF117" s="22"/>
      <c r="AG117" s="110"/>
      <c r="AH117" s="92">
        <f t="shared" ref="AH117:AH119" si="129">2256.59+AC117</f>
        <v>8647.59</v>
      </c>
      <c r="AI117" s="50"/>
      <c r="AJ117" s="25">
        <f t="shared" si="115"/>
        <v>8647.59</v>
      </c>
      <c r="AK117" s="26">
        <f t="shared" si="116"/>
        <v>1988.9457000000002</v>
      </c>
      <c r="AL117" s="40">
        <v>868.79</v>
      </c>
      <c r="AM117" s="40"/>
      <c r="AN117" s="97"/>
      <c r="AO117" s="53"/>
      <c r="AP117" s="53"/>
      <c r="AQ117" s="48"/>
      <c r="AR117" s="48">
        <v>4921.07</v>
      </c>
      <c r="AS117" s="97"/>
      <c r="AT117" s="329">
        <v>868.78</v>
      </c>
      <c r="AU117" s="27">
        <f t="shared" si="118"/>
        <v>4.3000000005122274E-3</v>
      </c>
      <c r="AV117" s="28">
        <f t="shared" si="119"/>
        <v>6658.6399999999994</v>
      </c>
      <c r="AW117" s="110"/>
      <c r="AX117" s="110"/>
      <c r="AY117" s="28">
        <f t="shared" si="120"/>
        <v>1988.9457000000002</v>
      </c>
      <c r="AZ117" s="29">
        <f t="shared" si="121"/>
        <v>1902.4698000000001</v>
      </c>
      <c r="BA117" s="30">
        <f t="shared" si="122"/>
        <v>3891.4155000000001</v>
      </c>
      <c r="BB117" s="31">
        <f t="shared" si="123"/>
        <v>0</v>
      </c>
      <c r="BC117" s="56">
        <f t="shared" si="18"/>
        <v>4.3000000005122274E-3</v>
      </c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</row>
    <row r="118" spans="1:71" ht="27.6">
      <c r="A118" s="163">
        <f t="shared" si="124"/>
        <v>9</v>
      </c>
      <c r="B118" s="279" t="s">
        <v>140</v>
      </c>
      <c r="C118" s="35" t="s">
        <v>40</v>
      </c>
      <c r="D118" s="133" t="s">
        <v>105</v>
      </c>
      <c r="E118" s="77">
        <v>8700</v>
      </c>
      <c r="F118" s="160">
        <v>46113</v>
      </c>
      <c r="G118" s="42">
        <f t="shared" si="125"/>
        <v>2161.75</v>
      </c>
      <c r="H118" s="38">
        <v>22</v>
      </c>
      <c r="I118" s="42" t="s">
        <v>41</v>
      </c>
      <c r="J118" s="40">
        <v>6658</v>
      </c>
      <c r="K118" s="97"/>
      <c r="L118" s="109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51"/>
      <c r="AB118" s="51"/>
      <c r="AC118" s="84">
        <v>6391</v>
      </c>
      <c r="AD118" s="110"/>
      <c r="AE118" s="110"/>
      <c r="AF118" s="22"/>
      <c r="AG118" s="110"/>
      <c r="AH118" s="92">
        <f t="shared" si="129"/>
        <v>8647.59</v>
      </c>
      <c r="AI118" s="252"/>
      <c r="AJ118" s="25">
        <f t="shared" si="115"/>
        <v>8647.59</v>
      </c>
      <c r="AK118" s="26">
        <f t="shared" si="116"/>
        <v>1988.9457000000002</v>
      </c>
      <c r="AL118" s="40">
        <v>868.79</v>
      </c>
      <c r="AM118" s="40"/>
      <c r="AN118" s="166"/>
      <c r="AO118" s="53"/>
      <c r="AP118" s="53"/>
      <c r="AQ118" s="48"/>
      <c r="AR118" s="48">
        <v>4921.07</v>
      </c>
      <c r="AS118" s="97"/>
      <c r="AT118" s="329">
        <v>868.78</v>
      </c>
      <c r="AU118" s="27">
        <f t="shared" si="118"/>
        <v>4.3000000005122274E-3</v>
      </c>
      <c r="AV118" s="28">
        <f t="shared" si="119"/>
        <v>6658.6399999999994</v>
      </c>
      <c r="AW118" s="110"/>
      <c r="AX118" s="110"/>
      <c r="AY118" s="28">
        <f t="shared" si="120"/>
        <v>1988.9457000000002</v>
      </c>
      <c r="AZ118" s="29">
        <f t="shared" si="121"/>
        <v>1902.4698000000001</v>
      </c>
      <c r="BA118" s="30">
        <f t="shared" si="122"/>
        <v>3891.4155000000001</v>
      </c>
      <c r="BB118" s="31">
        <f t="shared" si="123"/>
        <v>0</v>
      </c>
      <c r="BC118" s="56">
        <f t="shared" si="18"/>
        <v>4.3000000005122274E-3</v>
      </c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</row>
    <row r="119" spans="1:71" ht="27.6">
      <c r="A119" s="163">
        <f t="shared" si="124"/>
        <v>10</v>
      </c>
      <c r="B119" s="279" t="s">
        <v>141</v>
      </c>
      <c r="C119" s="35" t="s">
        <v>40</v>
      </c>
      <c r="D119" s="133" t="s">
        <v>105</v>
      </c>
      <c r="E119" s="77">
        <v>8700</v>
      </c>
      <c r="F119" s="160">
        <v>46113</v>
      </c>
      <c r="G119" s="42">
        <f t="shared" si="125"/>
        <v>2161.75</v>
      </c>
      <c r="H119" s="38">
        <v>22</v>
      </c>
      <c r="I119" s="42" t="s">
        <v>41</v>
      </c>
      <c r="J119" s="40">
        <v>6658</v>
      </c>
      <c r="K119" s="97"/>
      <c r="L119" s="109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51"/>
      <c r="AB119" s="51"/>
      <c r="AC119" s="84">
        <v>6391</v>
      </c>
      <c r="AD119" s="110"/>
      <c r="AE119" s="110"/>
      <c r="AF119" s="22"/>
      <c r="AG119" s="110"/>
      <c r="AH119" s="92">
        <f t="shared" si="129"/>
        <v>8647.59</v>
      </c>
      <c r="AI119" s="252"/>
      <c r="AJ119" s="25">
        <f t="shared" si="115"/>
        <v>8647.59</v>
      </c>
      <c r="AK119" s="26">
        <f t="shared" si="116"/>
        <v>1988.9457000000002</v>
      </c>
      <c r="AL119" s="40">
        <v>868.79</v>
      </c>
      <c r="AM119" s="40"/>
      <c r="AN119" s="110"/>
      <c r="AO119" s="53"/>
      <c r="AP119" s="53"/>
      <c r="AQ119" s="48"/>
      <c r="AR119" s="48">
        <v>4921.07</v>
      </c>
      <c r="AS119" s="97"/>
      <c r="AT119" s="329">
        <v>868.78</v>
      </c>
      <c r="AU119" s="27">
        <f t="shared" si="118"/>
        <v>4.3000000005122274E-3</v>
      </c>
      <c r="AV119" s="28">
        <f t="shared" si="119"/>
        <v>6658.6399999999994</v>
      </c>
      <c r="AW119" s="110"/>
      <c r="AX119" s="110"/>
      <c r="AY119" s="28">
        <f t="shared" si="120"/>
        <v>1988.9457000000002</v>
      </c>
      <c r="AZ119" s="29">
        <f t="shared" si="121"/>
        <v>1902.4698000000001</v>
      </c>
      <c r="BA119" s="30">
        <f t="shared" si="122"/>
        <v>3891.4155000000001</v>
      </c>
      <c r="BB119" s="31">
        <f t="shared" si="123"/>
        <v>0</v>
      </c>
      <c r="BC119" s="56">
        <f t="shared" si="18"/>
        <v>4.3000000005122274E-3</v>
      </c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</row>
    <row r="120" spans="1:71" ht="27.6">
      <c r="A120" s="163">
        <f t="shared" si="124"/>
        <v>11</v>
      </c>
      <c r="B120" s="269" t="s">
        <v>142</v>
      </c>
      <c r="C120" s="35" t="s">
        <v>40</v>
      </c>
      <c r="D120" s="133" t="s">
        <v>105</v>
      </c>
      <c r="E120" s="134">
        <v>8700</v>
      </c>
      <c r="F120" s="135">
        <v>46054</v>
      </c>
      <c r="G120" s="110">
        <f>E120/2</f>
        <v>4350</v>
      </c>
      <c r="H120" s="38">
        <v>22</v>
      </c>
      <c r="I120" s="42" t="s">
        <v>41</v>
      </c>
      <c r="J120" s="40">
        <v>12000</v>
      </c>
      <c r="K120" s="97"/>
      <c r="L120" s="109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51"/>
      <c r="AB120" s="51"/>
      <c r="AC120" s="84">
        <v>12882</v>
      </c>
      <c r="AD120" s="110"/>
      <c r="AE120" s="110"/>
      <c r="AF120" s="22"/>
      <c r="AG120" s="110"/>
      <c r="AH120" s="92">
        <f t="shared" ref="AH120:AH121" si="130">2702.51+AC120</f>
        <v>15584.51</v>
      </c>
      <c r="AI120" s="252"/>
      <c r="AJ120" s="25">
        <f t="shared" si="115"/>
        <v>15584.51</v>
      </c>
      <c r="AK120" s="26">
        <f t="shared" si="116"/>
        <v>3584.4373000000001</v>
      </c>
      <c r="AL120" s="109">
        <v>1040.46</v>
      </c>
      <c r="AM120" s="109"/>
      <c r="AN120" s="110"/>
      <c r="AO120" s="53"/>
      <c r="AP120" s="53"/>
      <c r="AQ120" s="48"/>
      <c r="AR120" s="48">
        <v>9919.14</v>
      </c>
      <c r="AS120" s="97"/>
      <c r="AT120" s="40">
        <v>1040.47</v>
      </c>
      <c r="AU120" s="27">
        <f t="shared" si="118"/>
        <v>2.7000000027328497E-3</v>
      </c>
      <c r="AV120" s="28">
        <f t="shared" si="119"/>
        <v>12000.069999999998</v>
      </c>
      <c r="AW120" s="110"/>
      <c r="AX120" s="110"/>
      <c r="AY120" s="28">
        <f t="shared" si="120"/>
        <v>3584.4373000000001</v>
      </c>
      <c r="AZ120" s="29">
        <f t="shared" si="121"/>
        <v>3428.5922</v>
      </c>
      <c r="BA120" s="30">
        <f t="shared" si="122"/>
        <v>7013.0295000000006</v>
      </c>
      <c r="BB120" s="31">
        <f t="shared" si="123"/>
        <v>0</v>
      </c>
      <c r="BC120" s="56">
        <f t="shared" si="18"/>
        <v>2.7000000027328497E-3</v>
      </c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spans="1:71" ht="27.6">
      <c r="A121" s="163">
        <f t="shared" si="124"/>
        <v>12</v>
      </c>
      <c r="B121" s="269" t="s">
        <v>143</v>
      </c>
      <c r="C121" s="35" t="s">
        <v>40</v>
      </c>
      <c r="D121" s="133" t="s">
        <v>105</v>
      </c>
      <c r="E121" s="134">
        <v>8700</v>
      </c>
      <c r="F121" s="167">
        <v>1</v>
      </c>
      <c r="G121" s="110">
        <f>E121/4</f>
        <v>2175</v>
      </c>
      <c r="H121" s="38">
        <v>22</v>
      </c>
      <c r="I121" s="42" t="s">
        <v>41</v>
      </c>
      <c r="J121" s="40">
        <v>3330</v>
      </c>
      <c r="K121" s="97"/>
      <c r="L121" s="109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51"/>
      <c r="AB121" s="51"/>
      <c r="AC121" s="84">
        <v>1623</v>
      </c>
      <c r="AD121" s="110"/>
      <c r="AE121" s="110"/>
      <c r="AF121" s="22"/>
      <c r="AG121" s="110"/>
      <c r="AH121" s="92">
        <f t="shared" si="130"/>
        <v>4325.51</v>
      </c>
      <c r="AI121" s="252"/>
      <c r="AJ121" s="25">
        <f t="shared" si="115"/>
        <v>4325.51</v>
      </c>
      <c r="AK121" s="26">
        <f t="shared" si="116"/>
        <v>994.86730000000011</v>
      </c>
      <c r="AL121" s="109">
        <v>1040.46</v>
      </c>
      <c r="AM121" s="109"/>
      <c r="AN121" s="110"/>
      <c r="AO121" s="53"/>
      <c r="AP121" s="53"/>
      <c r="AQ121" s="48"/>
      <c r="AR121" s="48">
        <v>1249.71</v>
      </c>
      <c r="AS121" s="97"/>
      <c r="AT121" s="40">
        <v>1040.47</v>
      </c>
      <c r="AU121" s="27">
        <f t="shared" si="118"/>
        <v>2.7000000002317393E-3</v>
      </c>
      <c r="AV121" s="28">
        <f t="shared" si="119"/>
        <v>3330.6400000000003</v>
      </c>
      <c r="AW121" s="110"/>
      <c r="AX121" s="110"/>
      <c r="AY121" s="28">
        <f t="shared" si="120"/>
        <v>994.86730000000011</v>
      </c>
      <c r="AZ121" s="29">
        <f t="shared" si="121"/>
        <v>951.61220000000003</v>
      </c>
      <c r="BA121" s="30">
        <f t="shared" si="122"/>
        <v>1946.4795000000001</v>
      </c>
      <c r="BB121" s="31">
        <f t="shared" si="123"/>
        <v>0</v>
      </c>
      <c r="BC121" s="56">
        <f t="shared" si="18"/>
        <v>2.7000000000043656E-3</v>
      </c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</row>
    <row r="122" spans="1:71" ht="27.6">
      <c r="A122" s="163">
        <f t="shared" si="124"/>
        <v>13</v>
      </c>
      <c r="B122" s="271" t="s">
        <v>207</v>
      </c>
      <c r="C122" s="35" t="s">
        <v>40</v>
      </c>
      <c r="D122" s="133" t="s">
        <v>105</v>
      </c>
      <c r="E122" s="134">
        <v>8700</v>
      </c>
      <c r="F122" s="144">
        <v>46145</v>
      </c>
      <c r="G122" s="110">
        <f>(E122/5)*3</f>
        <v>5220</v>
      </c>
      <c r="H122" s="38">
        <v>22</v>
      </c>
      <c r="I122" s="42" t="s">
        <v>41</v>
      </c>
      <c r="J122" s="40"/>
      <c r="K122" s="97"/>
      <c r="L122" s="109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51"/>
      <c r="AB122" s="51"/>
      <c r="AC122" s="152"/>
      <c r="AD122" s="110"/>
      <c r="AE122" s="110"/>
      <c r="AF122" s="22"/>
      <c r="AG122" s="110"/>
      <c r="AH122" s="92">
        <v>6756.27</v>
      </c>
      <c r="AI122" s="252"/>
      <c r="AJ122" s="25">
        <f t="shared" si="115"/>
        <v>6756.27</v>
      </c>
      <c r="AK122" s="26">
        <f t="shared" si="116"/>
        <v>1553.9421000000002</v>
      </c>
      <c r="AL122" s="109">
        <v>2601.16</v>
      </c>
      <c r="AM122" s="109"/>
      <c r="AN122" s="110"/>
      <c r="AO122" s="53"/>
      <c r="AP122" s="53"/>
      <c r="AQ122" s="69"/>
      <c r="AR122" s="69"/>
      <c r="AS122" s="97"/>
      <c r="AT122" s="40">
        <v>2601.17</v>
      </c>
      <c r="AU122" s="27">
        <f t="shared" si="118"/>
        <v>-2.0999999997002305E-3</v>
      </c>
      <c r="AV122" s="28">
        <f t="shared" si="119"/>
        <v>5202.33</v>
      </c>
      <c r="AW122" s="110"/>
      <c r="AX122" s="110"/>
      <c r="AY122" s="28">
        <f t="shared" si="120"/>
        <v>1553.9421000000002</v>
      </c>
      <c r="AZ122" s="29">
        <f t="shared" si="121"/>
        <v>1486.3794</v>
      </c>
      <c r="BA122" s="30">
        <f t="shared" si="122"/>
        <v>3040.3215</v>
      </c>
      <c r="BB122" s="31">
        <f t="shared" si="123"/>
        <v>0</v>
      </c>
      <c r="BC122" s="56">
        <f t="shared" si="18"/>
        <v>-2.0999999997002305E-3</v>
      </c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</row>
    <row r="123" spans="1:71" ht="27.6">
      <c r="A123" s="163">
        <f t="shared" si="124"/>
        <v>14</v>
      </c>
      <c r="B123" s="279" t="s">
        <v>144</v>
      </c>
      <c r="C123" s="35" t="s">
        <v>40</v>
      </c>
      <c r="D123" s="133" t="s">
        <v>105</v>
      </c>
      <c r="E123" s="77">
        <v>8700</v>
      </c>
      <c r="F123" s="160">
        <v>46113</v>
      </c>
      <c r="G123" s="42">
        <f>8647/4</f>
        <v>2161.75</v>
      </c>
      <c r="H123" s="38">
        <v>22</v>
      </c>
      <c r="I123" s="42" t="s">
        <v>41</v>
      </c>
      <c r="J123" s="40">
        <v>6658</v>
      </c>
      <c r="K123" s="97"/>
      <c r="L123" s="109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51"/>
      <c r="AB123" s="51"/>
      <c r="AC123" s="84">
        <v>5945</v>
      </c>
      <c r="AD123" s="109"/>
      <c r="AE123" s="110"/>
      <c r="AF123" s="22"/>
      <c r="AG123" s="110"/>
      <c r="AH123" s="92">
        <f>2702.51+AC123</f>
        <v>8647.51</v>
      </c>
      <c r="AI123" s="252"/>
      <c r="AJ123" s="25">
        <f t="shared" si="115"/>
        <v>8647.51</v>
      </c>
      <c r="AK123" s="26">
        <f t="shared" si="116"/>
        <v>1988.9273000000001</v>
      </c>
      <c r="AL123" s="109">
        <v>1040.46</v>
      </c>
      <c r="AM123" s="109"/>
      <c r="AN123" s="110"/>
      <c r="AO123" s="53"/>
      <c r="AP123" s="53"/>
      <c r="AQ123" s="48"/>
      <c r="AR123" s="48">
        <v>4577.6499999999996</v>
      </c>
      <c r="AS123" s="110"/>
      <c r="AT123" s="40">
        <v>1040.47</v>
      </c>
      <c r="AU123" s="27">
        <f t="shared" si="118"/>
        <v>2.7000000000043656E-3</v>
      </c>
      <c r="AV123" s="28">
        <f t="shared" si="119"/>
        <v>6658.58</v>
      </c>
      <c r="AW123" s="110"/>
      <c r="AX123" s="110"/>
      <c r="AY123" s="28">
        <f t="shared" si="120"/>
        <v>1988.9273000000001</v>
      </c>
      <c r="AZ123" s="29">
        <f t="shared" si="121"/>
        <v>1902.4521999999999</v>
      </c>
      <c r="BA123" s="30">
        <f t="shared" si="122"/>
        <v>3891.3795</v>
      </c>
      <c r="BB123" s="31">
        <f t="shared" si="123"/>
        <v>0</v>
      </c>
      <c r="BC123" s="56">
        <f t="shared" si="18"/>
        <v>2.7000000000043656E-3</v>
      </c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</row>
    <row r="124" spans="1:71" ht="13.8">
      <c r="A124" s="102"/>
      <c r="B124" s="103" t="s">
        <v>145</v>
      </c>
      <c r="C124" s="158"/>
      <c r="D124" s="158"/>
      <c r="E124" s="158"/>
      <c r="F124" s="158"/>
      <c r="G124" s="158"/>
      <c r="H124" s="158"/>
      <c r="I124" s="158"/>
      <c r="J124" s="105"/>
      <c r="K124" s="105">
        <f>SUM(K110:K123)</f>
        <v>744</v>
      </c>
      <c r="L124" s="105"/>
      <c r="M124" s="105">
        <f t="shared" ref="M124:N124" si="131">SUM(M110:M123)</f>
        <v>148800</v>
      </c>
      <c r="N124" s="105">
        <f t="shared" si="131"/>
        <v>0</v>
      </c>
      <c r="O124" s="105"/>
      <c r="P124" s="105">
        <f t="shared" ref="P124:Q124" si="132">SUM(P110:P123)</f>
        <v>0</v>
      </c>
      <c r="Q124" s="105">
        <f t="shared" si="132"/>
        <v>0</v>
      </c>
      <c r="R124" s="105"/>
      <c r="S124" s="105">
        <f>SUM(S110:S123)</f>
        <v>0</v>
      </c>
      <c r="T124" s="105"/>
      <c r="U124" s="105"/>
      <c r="V124" s="105">
        <f t="shared" ref="V124:W124" si="133">SUM(V110:V123)</f>
        <v>0</v>
      </c>
      <c r="W124" s="105">
        <f t="shared" si="133"/>
        <v>0</v>
      </c>
      <c r="X124" s="105"/>
      <c r="Y124" s="105">
        <f t="shared" ref="Y124:Z124" si="134">SUM(Y110:Y123)</f>
        <v>0</v>
      </c>
      <c r="Z124" s="105">
        <f t="shared" si="134"/>
        <v>4440</v>
      </c>
      <c r="AA124" s="106"/>
      <c r="AB124" s="106"/>
      <c r="AC124" s="106">
        <f t="shared" ref="AC124:AP124" si="135">SUM(AC110:AC123)</f>
        <v>39623</v>
      </c>
      <c r="AD124" s="105">
        <f t="shared" si="135"/>
        <v>0</v>
      </c>
      <c r="AE124" s="105">
        <f t="shared" si="135"/>
        <v>0</v>
      </c>
      <c r="AF124" s="106">
        <f t="shared" si="135"/>
        <v>148800</v>
      </c>
      <c r="AG124" s="105">
        <f t="shared" si="135"/>
        <v>0</v>
      </c>
      <c r="AH124" s="106">
        <f t="shared" si="135"/>
        <v>88011.099999999977</v>
      </c>
      <c r="AI124" s="106">
        <f t="shared" si="135"/>
        <v>170932.22077922075</v>
      </c>
      <c r="AJ124" s="106">
        <f t="shared" si="135"/>
        <v>258943.32077922078</v>
      </c>
      <c r="AK124" s="106">
        <f t="shared" si="135"/>
        <v>59556.963779220765</v>
      </c>
      <c r="AL124" s="106">
        <f t="shared" si="135"/>
        <v>16920</v>
      </c>
      <c r="AM124" s="106">
        <f t="shared" si="135"/>
        <v>0</v>
      </c>
      <c r="AN124" s="106">
        <f t="shared" si="135"/>
        <v>0</v>
      </c>
      <c r="AO124" s="106">
        <f t="shared" si="135"/>
        <v>0</v>
      </c>
      <c r="AP124" s="106">
        <f t="shared" si="135"/>
        <v>131617.81</v>
      </c>
      <c r="AQ124" s="105"/>
      <c r="AR124" s="106">
        <f t="shared" ref="AR124:BB124" si="136">SUM(AR110:AR123)</f>
        <v>30509.71</v>
      </c>
      <c r="AS124" s="106">
        <f t="shared" si="136"/>
        <v>3418.8</v>
      </c>
      <c r="AT124" s="106">
        <f t="shared" si="136"/>
        <v>16920.02</v>
      </c>
      <c r="AU124" s="106">
        <f t="shared" si="136"/>
        <v>1.6999999992776793E-2</v>
      </c>
      <c r="AV124" s="106">
        <f t="shared" si="136"/>
        <v>199386.34000000003</v>
      </c>
      <c r="AW124" s="105">
        <f t="shared" si="136"/>
        <v>0</v>
      </c>
      <c r="AX124" s="105">
        <f t="shared" si="136"/>
        <v>0</v>
      </c>
      <c r="AY124" s="106">
        <f t="shared" si="136"/>
        <v>59556.963779220765</v>
      </c>
      <c r="AZ124" s="106">
        <f t="shared" si="136"/>
        <v>56967.530571428571</v>
      </c>
      <c r="BA124" s="106">
        <f t="shared" si="136"/>
        <v>116524.49435064936</v>
      </c>
      <c r="BB124" s="106">
        <f t="shared" si="136"/>
        <v>0</v>
      </c>
      <c r="BC124" s="56">
        <f t="shared" si="18"/>
        <v>1.6999999992549419E-2</v>
      </c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</row>
    <row r="125" spans="1:71" ht="13.8">
      <c r="A125" s="108"/>
      <c r="B125" s="7" t="s">
        <v>146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250"/>
      <c r="AB125" s="250"/>
      <c r="AC125" s="250"/>
      <c r="AD125" s="8"/>
      <c r="AE125" s="8"/>
      <c r="AF125" s="8"/>
      <c r="AG125" s="8"/>
      <c r="AH125" s="8"/>
      <c r="AI125" s="250"/>
      <c r="AJ125" s="8"/>
      <c r="AK125" s="8"/>
      <c r="AL125" s="8"/>
      <c r="AM125" s="168"/>
      <c r="AN125" s="168"/>
      <c r="AO125" s="168"/>
      <c r="AP125" s="168"/>
      <c r="AQ125" s="168"/>
      <c r="AR125" s="168"/>
      <c r="AS125" s="168"/>
      <c r="AT125" s="168"/>
      <c r="AU125" s="168"/>
      <c r="AV125" s="168"/>
      <c r="AW125" s="168"/>
      <c r="AX125" s="168"/>
      <c r="AY125" s="169"/>
      <c r="AZ125" s="169"/>
      <c r="BA125" s="169"/>
      <c r="BB125" s="169"/>
      <c r="BC125" s="170">
        <f t="shared" si="18"/>
        <v>0</v>
      </c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</row>
    <row r="126" spans="1:71" ht="13.8">
      <c r="A126" s="172">
        <v>2</v>
      </c>
      <c r="B126" s="283" t="s">
        <v>147</v>
      </c>
      <c r="C126" s="35" t="s">
        <v>40</v>
      </c>
      <c r="D126" s="164" t="s">
        <v>80</v>
      </c>
      <c r="E126" s="77">
        <v>8700</v>
      </c>
      <c r="F126" s="160">
        <v>46113</v>
      </c>
      <c r="G126" s="42">
        <f t="shared" ref="G126:G128" si="137">8647/4</f>
        <v>2161.75</v>
      </c>
      <c r="H126" s="38">
        <v>22</v>
      </c>
      <c r="I126" s="109" t="s">
        <v>41</v>
      </c>
      <c r="J126" s="40"/>
      <c r="K126" s="40">
        <v>163</v>
      </c>
      <c r="L126" s="41">
        <v>200</v>
      </c>
      <c r="M126" s="42">
        <f>K126*L126</f>
        <v>32600</v>
      </c>
      <c r="N126" s="43"/>
      <c r="O126" s="42"/>
      <c r="P126" s="44">
        <f t="shared" ref="P126:P127" si="138">N126*O126</f>
        <v>0</v>
      </c>
      <c r="Q126" s="43"/>
      <c r="R126" s="42"/>
      <c r="S126" s="44">
        <f t="shared" ref="S126:S127" si="139">Q126*R126</f>
        <v>0</v>
      </c>
      <c r="T126" s="43"/>
      <c r="U126" s="43"/>
      <c r="V126" s="43"/>
      <c r="W126" s="43"/>
      <c r="X126" s="42"/>
      <c r="Y126" s="44">
        <f t="shared" ref="Y126:Y127" si="140">W126*X126</f>
        <v>0</v>
      </c>
      <c r="Z126" s="45"/>
      <c r="AA126" s="53"/>
      <c r="AB126" s="53"/>
      <c r="AC126" s="53"/>
      <c r="AD126" s="138"/>
      <c r="AE126" s="45"/>
      <c r="AF126" s="22">
        <f>M126+P126+S126+V126+Y126</f>
        <v>32600</v>
      </c>
      <c r="AG126" s="29"/>
      <c r="AH126" s="258">
        <v>2259.7399999999998</v>
      </c>
      <c r="AI126" s="50">
        <f>(AP126*100)/77</f>
        <v>40077.922077922078</v>
      </c>
      <c r="AJ126" s="25">
        <f>AH126+AI126</f>
        <v>42337.662077922076</v>
      </c>
      <c r="AK126" s="26">
        <f t="shared" ref="AK126:AK128" si="141">AJ126*23%</f>
        <v>9737.6622779220779</v>
      </c>
      <c r="AL126" s="51">
        <v>870</v>
      </c>
      <c r="AM126" s="52"/>
      <c r="AN126" s="52"/>
      <c r="AO126" s="53"/>
      <c r="AP126" s="53">
        <f>AF126-AT126-AL126</f>
        <v>30860</v>
      </c>
      <c r="AQ126" s="53"/>
      <c r="AR126" s="53"/>
      <c r="AS126" s="51"/>
      <c r="AT126" s="51">
        <v>870</v>
      </c>
      <c r="AU126" s="27">
        <f>AJ126-AK126-AL126-AT126-AN126-AR126-AM126-AS126-AP126</f>
        <v>-2.0000000222353265E-4</v>
      </c>
      <c r="AV126" s="28">
        <f t="shared" ref="AV126:AV128" si="142">AL126+AM126+AN126+AR126+AT126+AS126+AP126+AO126+AQ126</f>
        <v>32600</v>
      </c>
      <c r="AW126" s="28"/>
      <c r="AX126" s="28"/>
      <c r="AY126" s="28">
        <f t="shared" ref="AY126:AY128" si="143">AJ126*23%</f>
        <v>9737.6622779220779</v>
      </c>
      <c r="AZ126" s="29">
        <f>AJ126*H126%</f>
        <v>9314.2856571428565</v>
      </c>
      <c r="BA126" s="30">
        <f t="shared" ref="BA126:BA128" si="144">AY126+AZ126</f>
        <v>19051.947935064934</v>
      </c>
      <c r="BB126" s="31">
        <f t="shared" ref="BB126:BB128" si="145">BA126-AZ126-AK126</f>
        <v>0</v>
      </c>
      <c r="BC126" s="56">
        <f t="shared" si="18"/>
        <v>-2.0000000222353265E-4</v>
      </c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</row>
    <row r="127" spans="1:71" ht="13.8">
      <c r="A127" s="171" t="s">
        <v>148</v>
      </c>
      <c r="B127" s="284" t="s">
        <v>149</v>
      </c>
      <c r="C127" s="35" t="s">
        <v>40</v>
      </c>
      <c r="D127" s="133" t="s">
        <v>105</v>
      </c>
      <c r="E127" s="77">
        <v>8700</v>
      </c>
      <c r="F127" s="160">
        <v>46113</v>
      </c>
      <c r="G127" s="42">
        <f t="shared" si="137"/>
        <v>2161.75</v>
      </c>
      <c r="H127" s="38">
        <v>22</v>
      </c>
      <c r="I127" s="109" t="s">
        <v>41</v>
      </c>
      <c r="J127" s="97"/>
      <c r="K127" s="110"/>
      <c r="L127" s="41">
        <v>200</v>
      </c>
      <c r="M127" s="42">
        <f>K127*L127</f>
        <v>0</v>
      </c>
      <c r="N127" s="43"/>
      <c r="O127" s="42"/>
      <c r="P127" s="44">
        <f t="shared" si="138"/>
        <v>0</v>
      </c>
      <c r="Q127" s="43"/>
      <c r="R127" s="42"/>
      <c r="S127" s="44">
        <f t="shared" si="139"/>
        <v>0</v>
      </c>
      <c r="T127" s="43"/>
      <c r="U127" s="43"/>
      <c r="V127" s="43"/>
      <c r="W127" s="43"/>
      <c r="X127" s="42"/>
      <c r="Y127" s="44">
        <f t="shared" si="140"/>
        <v>0</v>
      </c>
      <c r="Z127" s="45"/>
      <c r="AA127" s="76"/>
      <c r="AB127" s="76"/>
      <c r="AC127" s="76"/>
      <c r="AD127" s="138"/>
      <c r="AE127" s="152">
        <v>435.9</v>
      </c>
      <c r="AF127" s="22"/>
      <c r="AG127" s="29"/>
      <c r="AH127" s="92">
        <v>2286.7399999999998</v>
      </c>
      <c r="AI127" s="76"/>
      <c r="AJ127" s="25">
        <f>AH127+AI127+AE127</f>
        <v>2722.64</v>
      </c>
      <c r="AK127" s="26">
        <f t="shared" si="141"/>
        <v>626.20719999999994</v>
      </c>
      <c r="AL127" s="51">
        <v>1040.46</v>
      </c>
      <c r="AM127" s="52"/>
      <c r="AN127" s="52"/>
      <c r="AO127" s="53">
        <v>335.64</v>
      </c>
      <c r="AP127" s="53"/>
      <c r="AQ127" s="53"/>
      <c r="AR127" s="53"/>
      <c r="AS127" s="51"/>
      <c r="AT127" s="51">
        <v>720.33</v>
      </c>
      <c r="AU127" s="27">
        <f>AJ127-AK127-AL127-AT127-AN127-AR127-AM127-AS127-AO127</f>
        <v>2.7999999999792635E-3</v>
      </c>
      <c r="AV127" s="28">
        <f t="shared" si="142"/>
        <v>2096.4299999999998</v>
      </c>
      <c r="AW127" s="28"/>
      <c r="AX127" s="28"/>
      <c r="AY127" s="28">
        <f t="shared" si="143"/>
        <v>626.20719999999994</v>
      </c>
      <c r="AZ127" s="29">
        <f>AJ127*H127%</f>
        <v>598.98079999999993</v>
      </c>
      <c r="BA127" s="30">
        <f t="shared" si="144"/>
        <v>1225.1879999999999</v>
      </c>
      <c r="BB127" s="31">
        <f t="shared" si="145"/>
        <v>0</v>
      </c>
      <c r="BC127" s="56">
        <f t="shared" si="18"/>
        <v>2.8000000002066372E-3</v>
      </c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</row>
    <row r="128" spans="1:71" ht="13.8">
      <c r="A128" s="171" t="s">
        <v>150</v>
      </c>
      <c r="B128" s="285" t="s">
        <v>151</v>
      </c>
      <c r="C128" s="35" t="s">
        <v>40</v>
      </c>
      <c r="D128" s="38" t="s">
        <v>110</v>
      </c>
      <c r="E128" s="38">
        <v>8700</v>
      </c>
      <c r="F128" s="160">
        <v>46113</v>
      </c>
      <c r="G128" s="42">
        <f t="shared" si="137"/>
        <v>2161.75</v>
      </c>
      <c r="H128" s="38">
        <v>22</v>
      </c>
      <c r="I128" s="173" t="s">
        <v>37</v>
      </c>
      <c r="J128" s="97"/>
      <c r="K128" s="110"/>
      <c r="L128" s="41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330">
        <v>1320</v>
      </c>
      <c r="AA128" s="252"/>
      <c r="AB128" s="252"/>
      <c r="AC128" s="252"/>
      <c r="AD128" s="110"/>
      <c r="AE128" s="110"/>
      <c r="AF128" s="111"/>
      <c r="AG128" s="110"/>
      <c r="AH128" s="92">
        <f>8700+Z128</f>
        <v>10020</v>
      </c>
      <c r="AI128" s="45"/>
      <c r="AJ128" s="25">
        <f>AH128+AI128</f>
        <v>10020</v>
      </c>
      <c r="AK128" s="26">
        <f t="shared" si="141"/>
        <v>2304.6</v>
      </c>
      <c r="AL128" s="53">
        <v>3349.5</v>
      </c>
      <c r="AM128" s="53"/>
      <c r="AN128" s="53"/>
      <c r="AO128" s="53"/>
      <c r="AP128" s="53"/>
      <c r="AQ128" s="53"/>
      <c r="AR128" s="53"/>
      <c r="AS128" s="53">
        <v>1016.4</v>
      </c>
      <c r="AT128" s="53">
        <v>3349.5</v>
      </c>
      <c r="AU128" s="27">
        <f>AJ128-AK128-AL128-AT128-AN128-AR128-AM128-AS128</f>
        <v>0</v>
      </c>
      <c r="AV128" s="28">
        <f t="shared" si="142"/>
        <v>7715.4</v>
      </c>
      <c r="AW128" s="28"/>
      <c r="AX128" s="28"/>
      <c r="AY128" s="28">
        <f t="shared" si="143"/>
        <v>2304.6</v>
      </c>
      <c r="AZ128" s="29">
        <f>AJ128*H128%</f>
        <v>2204.4</v>
      </c>
      <c r="BA128" s="30">
        <f t="shared" si="144"/>
        <v>4509</v>
      </c>
      <c r="BB128" s="31">
        <f t="shared" si="145"/>
        <v>0</v>
      </c>
      <c r="BC128" s="56">
        <f t="shared" si="18"/>
        <v>0</v>
      </c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</row>
    <row r="129" spans="1:71" ht="13.8">
      <c r="A129" s="102"/>
      <c r="B129" s="174" t="s">
        <v>152</v>
      </c>
      <c r="C129" s="175"/>
      <c r="D129" s="175"/>
      <c r="E129" s="175"/>
      <c r="F129" s="175"/>
      <c r="G129" s="175"/>
      <c r="H129" s="175"/>
      <c r="I129" s="175"/>
      <c r="J129" s="176"/>
      <c r="K129" s="105">
        <f>SUM(K126:K128)</f>
        <v>163</v>
      </c>
      <c r="L129" s="105"/>
      <c r="M129" s="105">
        <f t="shared" ref="M129:N129" si="146">SUM(M126:M128)</f>
        <v>32600</v>
      </c>
      <c r="N129" s="105">
        <f t="shared" si="146"/>
        <v>0</v>
      </c>
      <c r="O129" s="105"/>
      <c r="P129" s="105">
        <f t="shared" ref="P129:Q129" si="147">SUM(P126:P128)</f>
        <v>0</v>
      </c>
      <c r="Q129" s="105">
        <f t="shared" si="147"/>
        <v>0</v>
      </c>
      <c r="R129" s="105"/>
      <c r="S129" s="105">
        <f>SUM(S126:S128)</f>
        <v>0</v>
      </c>
      <c r="T129" s="105"/>
      <c r="U129" s="105"/>
      <c r="V129" s="105">
        <f t="shared" ref="V129:W129" si="148">SUM(V126:V128)</f>
        <v>0</v>
      </c>
      <c r="W129" s="105">
        <f t="shared" si="148"/>
        <v>0</v>
      </c>
      <c r="X129" s="105"/>
      <c r="Y129" s="105">
        <f t="shared" ref="Y129:Z129" si="149">SUM(Y126:Y128)</f>
        <v>0</v>
      </c>
      <c r="Z129" s="106">
        <f t="shared" si="149"/>
        <v>1320</v>
      </c>
      <c r="AA129" s="106"/>
      <c r="AB129" s="106"/>
      <c r="AC129" s="106">
        <f t="shared" ref="AC129:AP129" si="150">SUM(AC126:AC128)</f>
        <v>0</v>
      </c>
      <c r="AD129" s="105">
        <f t="shared" si="150"/>
        <v>0</v>
      </c>
      <c r="AE129" s="106">
        <f t="shared" si="150"/>
        <v>435.9</v>
      </c>
      <c r="AF129" s="106">
        <f t="shared" si="150"/>
        <v>32600</v>
      </c>
      <c r="AG129" s="106">
        <f t="shared" si="150"/>
        <v>0</v>
      </c>
      <c r="AH129" s="106">
        <f t="shared" si="150"/>
        <v>14566.48</v>
      </c>
      <c r="AI129" s="106">
        <f t="shared" si="150"/>
        <v>40077.922077922078</v>
      </c>
      <c r="AJ129" s="106">
        <f t="shared" si="150"/>
        <v>55080.302077922075</v>
      </c>
      <c r="AK129" s="106">
        <f t="shared" si="150"/>
        <v>12668.469477922079</v>
      </c>
      <c r="AL129" s="106">
        <f t="shared" si="150"/>
        <v>5259.96</v>
      </c>
      <c r="AM129" s="106">
        <f t="shared" si="150"/>
        <v>0</v>
      </c>
      <c r="AN129" s="106">
        <f t="shared" si="150"/>
        <v>0</v>
      </c>
      <c r="AO129" s="106">
        <f t="shared" si="150"/>
        <v>335.64</v>
      </c>
      <c r="AP129" s="106">
        <f t="shared" si="150"/>
        <v>30860</v>
      </c>
      <c r="AQ129" s="105"/>
      <c r="AR129" s="106">
        <f t="shared" ref="AR129:BB129" si="151">SUM(AR126:AR128)</f>
        <v>0</v>
      </c>
      <c r="AS129" s="106">
        <f t="shared" si="151"/>
        <v>1016.4</v>
      </c>
      <c r="AT129" s="106">
        <f t="shared" si="151"/>
        <v>4939.83</v>
      </c>
      <c r="AU129" s="106">
        <f t="shared" si="151"/>
        <v>2.5999999977557309E-3</v>
      </c>
      <c r="AV129" s="106">
        <f t="shared" si="151"/>
        <v>42411.83</v>
      </c>
      <c r="AW129" s="106">
        <f t="shared" si="151"/>
        <v>0</v>
      </c>
      <c r="AX129" s="106">
        <f t="shared" si="151"/>
        <v>0</v>
      </c>
      <c r="AY129" s="106">
        <f t="shared" si="151"/>
        <v>12668.469477922079</v>
      </c>
      <c r="AZ129" s="106">
        <f t="shared" si="151"/>
        <v>12117.666457142856</v>
      </c>
      <c r="BA129" s="106">
        <f t="shared" si="151"/>
        <v>24786.135935064933</v>
      </c>
      <c r="BB129" s="106">
        <f t="shared" si="151"/>
        <v>0</v>
      </c>
      <c r="BC129" s="56">
        <f t="shared" si="18"/>
        <v>2.5999999925261363E-3</v>
      </c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</row>
    <row r="130" spans="1:71" ht="13.8">
      <c r="A130" s="108"/>
      <c r="B130" s="7" t="s">
        <v>153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250"/>
      <c r="AB130" s="250"/>
      <c r="AC130" s="250"/>
      <c r="AD130" s="8"/>
      <c r="AE130" s="8"/>
      <c r="AF130" s="8"/>
      <c r="AG130" s="8"/>
      <c r="AH130" s="8"/>
      <c r="AI130" s="250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9"/>
      <c r="AZ130" s="9"/>
      <c r="BA130" s="9"/>
      <c r="BB130" s="9"/>
      <c r="BC130" s="32">
        <f t="shared" si="18"/>
        <v>0</v>
      </c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</row>
    <row r="131" spans="1:71" ht="13.8">
      <c r="A131" s="177"/>
      <c r="B131" s="178"/>
      <c r="C131" s="179"/>
      <c r="D131" s="179"/>
      <c r="E131" s="179"/>
      <c r="F131" s="179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252"/>
      <c r="AB131" s="252"/>
      <c r="AC131" s="252"/>
      <c r="AD131" s="110"/>
      <c r="AE131" s="110"/>
      <c r="AF131" s="111"/>
      <c r="AG131" s="110"/>
      <c r="AH131" s="110"/>
      <c r="AI131" s="252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32">
        <f t="shared" si="18"/>
        <v>0</v>
      </c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</row>
    <row r="132" spans="1:71" ht="13.8">
      <c r="A132" s="102"/>
      <c r="B132" s="103" t="s">
        <v>154</v>
      </c>
      <c r="C132" s="158"/>
      <c r="D132" s="158"/>
      <c r="E132" s="158"/>
      <c r="F132" s="158"/>
      <c r="G132" s="158"/>
      <c r="H132" s="158"/>
      <c r="I132" s="158"/>
      <c r="J132" s="158"/>
      <c r="K132" s="158">
        <f>K131</f>
        <v>0</v>
      </c>
      <c r="L132" s="158"/>
      <c r="M132" s="158">
        <f t="shared" ref="M132:N132" si="152">M131</f>
        <v>0</v>
      </c>
      <c r="N132" s="158">
        <f t="shared" si="152"/>
        <v>0</v>
      </c>
      <c r="O132" s="158"/>
      <c r="P132" s="158">
        <f t="shared" ref="P132:Q132" si="153">P131</f>
        <v>0</v>
      </c>
      <c r="Q132" s="158">
        <f t="shared" si="153"/>
        <v>0</v>
      </c>
      <c r="R132" s="158"/>
      <c r="S132" s="158">
        <f>S131</f>
        <v>0</v>
      </c>
      <c r="T132" s="158"/>
      <c r="U132" s="158"/>
      <c r="V132" s="158">
        <f t="shared" ref="V132:W132" si="154">V131</f>
        <v>0</v>
      </c>
      <c r="W132" s="158">
        <f t="shared" si="154"/>
        <v>0</v>
      </c>
      <c r="X132" s="158"/>
      <c r="Y132" s="158">
        <f t="shared" ref="Y132:Z132" si="155">Y131</f>
        <v>0</v>
      </c>
      <c r="Z132" s="158">
        <f t="shared" si="155"/>
        <v>0</v>
      </c>
      <c r="AA132" s="184"/>
      <c r="AB132" s="184"/>
      <c r="AC132" s="184"/>
      <c r="AD132" s="158">
        <f t="shared" ref="AD132:AG132" si="156">AD131</f>
        <v>0</v>
      </c>
      <c r="AE132" s="158">
        <f t="shared" si="156"/>
        <v>0</v>
      </c>
      <c r="AF132" s="158">
        <f t="shared" si="156"/>
        <v>0</v>
      </c>
      <c r="AG132" s="158">
        <f t="shared" si="156"/>
        <v>0</v>
      </c>
      <c r="AH132" s="158"/>
      <c r="AI132" s="184">
        <f t="shared" ref="AI132:AN132" si="157">AI131</f>
        <v>0</v>
      </c>
      <c r="AJ132" s="158">
        <f t="shared" si="157"/>
        <v>0</v>
      </c>
      <c r="AK132" s="158">
        <f t="shared" si="157"/>
        <v>0</v>
      </c>
      <c r="AL132" s="158">
        <f t="shared" si="157"/>
        <v>0</v>
      </c>
      <c r="AM132" s="158">
        <f t="shared" si="157"/>
        <v>0</v>
      </c>
      <c r="AN132" s="158">
        <f t="shared" si="157"/>
        <v>0</v>
      </c>
      <c r="AO132" s="158"/>
      <c r="AP132" s="158"/>
      <c r="AQ132" s="158"/>
      <c r="AR132" s="158"/>
      <c r="AS132" s="158"/>
      <c r="AT132" s="158">
        <f t="shared" ref="AT132:AW132" si="158">AT131</f>
        <v>0</v>
      </c>
      <c r="AU132" s="158">
        <f t="shared" si="158"/>
        <v>0</v>
      </c>
      <c r="AV132" s="158">
        <f t="shared" si="158"/>
        <v>0</v>
      </c>
      <c r="AW132" s="158">
        <f t="shared" si="158"/>
        <v>0</v>
      </c>
      <c r="AX132" s="158"/>
      <c r="AY132" s="158">
        <f t="shared" ref="AY132:BB132" si="159">AY131</f>
        <v>0</v>
      </c>
      <c r="AZ132" s="158">
        <f t="shared" si="159"/>
        <v>0</v>
      </c>
      <c r="BA132" s="158">
        <f t="shared" si="159"/>
        <v>0</v>
      </c>
      <c r="BB132" s="158">
        <f t="shared" si="159"/>
        <v>0</v>
      </c>
      <c r="BC132" s="32">
        <f t="shared" si="18"/>
        <v>0</v>
      </c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</row>
    <row r="133" spans="1:71" ht="13.8">
      <c r="A133" s="108"/>
      <c r="B133" s="7" t="s">
        <v>155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250"/>
      <c r="AB133" s="250"/>
      <c r="AC133" s="250"/>
      <c r="AD133" s="8"/>
      <c r="AE133" s="8"/>
      <c r="AF133" s="8"/>
      <c r="AG133" s="8"/>
      <c r="AH133" s="8"/>
      <c r="AI133" s="250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9"/>
      <c r="AZ133" s="9"/>
      <c r="BA133" s="9"/>
      <c r="BB133" s="9"/>
      <c r="BC133" s="32">
        <f t="shared" si="18"/>
        <v>0</v>
      </c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</row>
    <row r="134" spans="1:71" ht="13.8">
      <c r="A134" s="180">
        <v>1</v>
      </c>
      <c r="B134" s="286" t="s">
        <v>156</v>
      </c>
      <c r="C134" s="35" t="s">
        <v>40</v>
      </c>
      <c r="D134" s="164" t="s">
        <v>48</v>
      </c>
      <c r="E134" s="134">
        <v>8700</v>
      </c>
      <c r="F134" s="135">
        <v>46054</v>
      </c>
      <c r="G134" s="110">
        <f t="shared" ref="G134:G135" si="160">E134/2</f>
        <v>4350</v>
      </c>
      <c r="H134" s="109">
        <v>22</v>
      </c>
      <c r="I134" s="173" t="s">
        <v>37</v>
      </c>
      <c r="J134" s="40"/>
      <c r="K134" s="40">
        <v>59</v>
      </c>
      <c r="L134" s="109">
        <v>200</v>
      </c>
      <c r="M134" s="110">
        <f>K134*L134</f>
        <v>11800</v>
      </c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331">
        <v>1320</v>
      </c>
      <c r="AA134" s="53"/>
      <c r="AB134" s="53">
        <f>Z134*0.77</f>
        <v>1016.4</v>
      </c>
      <c r="AC134" s="84">
        <v>7143</v>
      </c>
      <c r="AD134" s="109"/>
      <c r="AE134" s="110"/>
      <c r="AF134" s="22">
        <f t="shared" ref="AF134:AF135" si="161">M134+P134+S134+V134+Y134</f>
        <v>11800</v>
      </c>
      <c r="AG134" s="97"/>
      <c r="AH134" s="258">
        <f>4519.48+Z134+AC134+53.59</f>
        <v>13036.07</v>
      </c>
      <c r="AI134" s="50">
        <f t="shared" ref="AI134:AI135" si="162">(AP134*100)/77</f>
        <v>10749.012987012988</v>
      </c>
      <c r="AJ134" s="25">
        <f t="shared" ref="AJ134:AJ136" si="163">AH134+AI134</f>
        <v>23785.082987012989</v>
      </c>
      <c r="AK134" s="26">
        <f t="shared" ref="AK134:AK136" si="164">AJ134*23%</f>
        <v>5470.5690870129874</v>
      </c>
      <c r="AL134" s="51">
        <v>1740</v>
      </c>
      <c r="AM134" s="52"/>
      <c r="AN134" s="52"/>
      <c r="AO134" s="53"/>
      <c r="AP134" s="53">
        <f t="shared" ref="AP134:AP135" si="165">AF134-AL134-AT134</f>
        <v>8276.74</v>
      </c>
      <c r="AQ134" s="48"/>
      <c r="AR134" s="48">
        <v>5500.11</v>
      </c>
      <c r="AS134" s="51">
        <v>1016.4</v>
      </c>
      <c r="AT134" s="51">
        <f>1742+41.26</f>
        <v>1783.26</v>
      </c>
      <c r="AU134" s="328">
        <v>0</v>
      </c>
      <c r="AV134" s="28">
        <f t="shared" ref="AV134:AV136" si="166">AL134+AM134+AN134+AR134+AT134+AS134+AP134+AO134+AQ134</f>
        <v>18316.509999999998</v>
      </c>
      <c r="AW134" s="181"/>
      <c r="AX134" s="181"/>
      <c r="AY134" s="28">
        <f t="shared" ref="AY134:AY136" si="167">AJ134*23%</f>
        <v>5470.5690870129874</v>
      </c>
      <c r="AZ134" s="29">
        <f>AJ134*H134%</f>
        <v>5232.7182571428575</v>
      </c>
      <c r="BA134" s="30">
        <f t="shared" ref="BA134:BA136" si="168">AY134+AZ134</f>
        <v>10703.287344155844</v>
      </c>
      <c r="BB134" s="31">
        <f t="shared" ref="BB134:BB136" si="169">BA134-AZ134-AK134</f>
        <v>0</v>
      </c>
      <c r="BC134" s="56">
        <f t="shared" si="18"/>
        <v>-1.9960999999966589</v>
      </c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</row>
    <row r="135" spans="1:71" ht="13.8">
      <c r="A135" s="180">
        <v>2</v>
      </c>
      <c r="B135" s="286" t="s">
        <v>157</v>
      </c>
      <c r="C135" s="35" t="s">
        <v>40</v>
      </c>
      <c r="D135" s="134" t="s">
        <v>52</v>
      </c>
      <c r="E135" s="134">
        <v>8700</v>
      </c>
      <c r="F135" s="135">
        <v>46054</v>
      </c>
      <c r="G135" s="110">
        <f t="shared" si="160"/>
        <v>4350</v>
      </c>
      <c r="H135" s="109">
        <v>22</v>
      </c>
      <c r="I135" s="109" t="s">
        <v>41</v>
      </c>
      <c r="J135" s="40"/>
      <c r="K135" s="40">
        <v>25</v>
      </c>
      <c r="L135" s="109">
        <v>200</v>
      </c>
      <c r="M135" s="110">
        <f>K135*L135</f>
        <v>5000</v>
      </c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51"/>
      <c r="AB135" s="51"/>
      <c r="AC135" s="326"/>
      <c r="AD135" s="110"/>
      <c r="AE135" s="110"/>
      <c r="AF135" s="22">
        <f t="shared" si="161"/>
        <v>5000</v>
      </c>
      <c r="AG135" s="97"/>
      <c r="AH135" s="258">
        <v>4350</v>
      </c>
      <c r="AI135" s="50">
        <f t="shared" si="162"/>
        <v>2143.5064935064934</v>
      </c>
      <c r="AJ135" s="25">
        <f t="shared" si="163"/>
        <v>6493.5064935064929</v>
      </c>
      <c r="AK135" s="26">
        <f t="shared" si="164"/>
        <v>1493.5064935064934</v>
      </c>
      <c r="AL135" s="51">
        <v>1674.75</v>
      </c>
      <c r="AM135" s="52"/>
      <c r="AN135" s="52"/>
      <c r="AO135" s="53"/>
      <c r="AP135" s="53">
        <f t="shared" si="165"/>
        <v>1650.5</v>
      </c>
      <c r="AQ135" s="53"/>
      <c r="AR135" s="53"/>
      <c r="AS135" s="51"/>
      <c r="AT135" s="51">
        <v>1674.75</v>
      </c>
      <c r="AU135" s="27">
        <f>AJ135-AK135-AL135-AT135-AN135-AR135-AM135-AS135-AP135</f>
        <v>0</v>
      </c>
      <c r="AV135" s="28">
        <f t="shared" si="166"/>
        <v>5000</v>
      </c>
      <c r="AW135" s="181"/>
      <c r="AX135" s="181"/>
      <c r="AY135" s="28">
        <f t="shared" si="167"/>
        <v>1493.5064935064934</v>
      </c>
      <c r="AZ135" s="29">
        <f>AJ135*H135%</f>
        <v>1428.5714285714284</v>
      </c>
      <c r="BA135" s="30">
        <f t="shared" si="168"/>
        <v>2922.0779220779218</v>
      </c>
      <c r="BB135" s="31">
        <f t="shared" si="169"/>
        <v>0</v>
      </c>
      <c r="BC135" s="56">
        <f t="shared" si="18"/>
        <v>0</v>
      </c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</row>
    <row r="136" spans="1:71" ht="27.6">
      <c r="A136" s="180">
        <v>3</v>
      </c>
      <c r="B136" s="287" t="s">
        <v>158</v>
      </c>
      <c r="C136" s="35" t="s">
        <v>40</v>
      </c>
      <c r="D136" s="134" t="s">
        <v>105</v>
      </c>
      <c r="E136" s="134">
        <v>8700</v>
      </c>
      <c r="F136" s="135">
        <v>46054</v>
      </c>
      <c r="G136" s="109">
        <v>4350</v>
      </c>
      <c r="H136" s="109">
        <v>22</v>
      </c>
      <c r="I136" s="109" t="s">
        <v>41</v>
      </c>
      <c r="J136" s="109">
        <v>3330</v>
      </c>
      <c r="K136" s="110"/>
      <c r="L136" s="109">
        <v>200</v>
      </c>
      <c r="M136" s="110">
        <f>K136*L136</f>
        <v>0</v>
      </c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51"/>
      <c r="AB136" s="51"/>
      <c r="AC136" s="84">
        <v>2069</v>
      </c>
      <c r="AD136" s="110"/>
      <c r="AE136" s="110"/>
      <c r="AF136" s="22"/>
      <c r="AG136" s="110"/>
      <c r="AH136" s="92">
        <f>2256.59+AC136</f>
        <v>4325.59</v>
      </c>
      <c r="AI136" s="50"/>
      <c r="AJ136" s="25">
        <f t="shared" si="163"/>
        <v>4325.59</v>
      </c>
      <c r="AK136" s="26">
        <f t="shared" si="164"/>
        <v>994.88570000000004</v>
      </c>
      <c r="AL136" s="109">
        <v>868.79</v>
      </c>
      <c r="AM136" s="110"/>
      <c r="AN136" s="110"/>
      <c r="AO136" s="53"/>
      <c r="AP136" s="53"/>
      <c r="AQ136" s="48"/>
      <c r="AR136" s="48">
        <v>1593.13</v>
      </c>
      <c r="AS136" s="97"/>
      <c r="AT136" s="40">
        <v>868.78</v>
      </c>
      <c r="AU136" s="27">
        <f>AJ136-AK136-AL136-AT136-AN136-AR136-AM136-AS136</f>
        <v>4.3000000002848537E-3</v>
      </c>
      <c r="AV136" s="28">
        <f t="shared" si="166"/>
        <v>3330.7</v>
      </c>
      <c r="AW136" s="181"/>
      <c r="AX136" s="181"/>
      <c r="AY136" s="28">
        <f t="shared" si="167"/>
        <v>994.88570000000004</v>
      </c>
      <c r="AZ136" s="29">
        <f>AJ136*H136%</f>
        <v>951.62980000000005</v>
      </c>
      <c r="BA136" s="30">
        <f t="shared" si="168"/>
        <v>1946.5155</v>
      </c>
      <c r="BB136" s="31">
        <f t="shared" si="169"/>
        <v>0</v>
      </c>
      <c r="BC136" s="56">
        <f t="shared" si="18"/>
        <v>4.3000000005122274E-3</v>
      </c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</row>
    <row r="137" spans="1:71" ht="13.8">
      <c r="A137" s="102"/>
      <c r="B137" s="103" t="s">
        <v>159</v>
      </c>
      <c r="C137" s="158"/>
      <c r="D137" s="158"/>
      <c r="E137" s="158"/>
      <c r="F137" s="158"/>
      <c r="G137" s="158"/>
      <c r="H137" s="158"/>
      <c r="I137" s="158"/>
      <c r="J137" s="105"/>
      <c r="K137" s="105">
        <f>SUM(K134:K136)</f>
        <v>84</v>
      </c>
      <c r="L137" s="105"/>
      <c r="M137" s="105">
        <f t="shared" ref="M137:N137" si="170">SUM(M134:M136)</f>
        <v>16800</v>
      </c>
      <c r="N137" s="105">
        <f t="shared" si="170"/>
        <v>0</v>
      </c>
      <c r="O137" s="105"/>
      <c r="P137" s="105">
        <f t="shared" ref="P137:Q137" si="171">SUM(P134:P136)</f>
        <v>0</v>
      </c>
      <c r="Q137" s="105">
        <f t="shared" si="171"/>
        <v>0</v>
      </c>
      <c r="R137" s="105"/>
      <c r="S137" s="105">
        <f>SUM(S134:S136)</f>
        <v>0</v>
      </c>
      <c r="T137" s="105"/>
      <c r="U137" s="105"/>
      <c r="V137" s="105">
        <f t="shared" ref="V137:W137" si="172">SUM(V134:V136)</f>
        <v>0</v>
      </c>
      <c r="W137" s="105">
        <f t="shared" si="172"/>
        <v>0</v>
      </c>
      <c r="X137" s="105"/>
      <c r="Y137" s="105">
        <f t="shared" ref="Y137:Z137" si="173">SUM(Y134:Y136)</f>
        <v>0</v>
      </c>
      <c r="Z137" s="105">
        <f t="shared" si="173"/>
        <v>1320</v>
      </c>
      <c r="AA137" s="106"/>
      <c r="AB137" s="106"/>
      <c r="AC137" s="106">
        <f t="shared" ref="AC137:AP137" si="174">SUM(AC134:AC136)</f>
        <v>9212</v>
      </c>
      <c r="AD137" s="105">
        <f t="shared" si="174"/>
        <v>0</v>
      </c>
      <c r="AE137" s="105">
        <f t="shared" si="174"/>
        <v>0</v>
      </c>
      <c r="AF137" s="106">
        <f t="shared" si="174"/>
        <v>16800</v>
      </c>
      <c r="AG137" s="105">
        <f t="shared" si="174"/>
        <v>0</v>
      </c>
      <c r="AH137" s="106">
        <f t="shared" si="174"/>
        <v>21711.66</v>
      </c>
      <c r="AI137" s="106">
        <f t="shared" si="174"/>
        <v>12892.519480519481</v>
      </c>
      <c r="AJ137" s="106">
        <f t="shared" si="174"/>
        <v>34604.17948051948</v>
      </c>
      <c r="AK137" s="106">
        <f t="shared" si="174"/>
        <v>7958.9612805194802</v>
      </c>
      <c r="AL137" s="106">
        <f t="shared" si="174"/>
        <v>4283.54</v>
      </c>
      <c r="AM137" s="106">
        <f t="shared" si="174"/>
        <v>0</v>
      </c>
      <c r="AN137" s="106">
        <f t="shared" si="174"/>
        <v>0</v>
      </c>
      <c r="AO137" s="106">
        <f t="shared" si="174"/>
        <v>0</v>
      </c>
      <c r="AP137" s="106">
        <f t="shared" si="174"/>
        <v>9927.24</v>
      </c>
      <c r="AQ137" s="105"/>
      <c r="AR137" s="106">
        <f t="shared" ref="AR137:BB137" si="175">SUM(AR134:AR136)</f>
        <v>7093.24</v>
      </c>
      <c r="AS137" s="106">
        <f t="shared" si="175"/>
        <v>1016.4</v>
      </c>
      <c r="AT137" s="106">
        <f t="shared" si="175"/>
        <v>4326.79</v>
      </c>
      <c r="AU137" s="106">
        <f t="shared" si="175"/>
        <v>4.3000000002848537E-3</v>
      </c>
      <c r="AV137" s="106">
        <f t="shared" si="175"/>
        <v>26647.21</v>
      </c>
      <c r="AW137" s="182">
        <f t="shared" si="175"/>
        <v>0</v>
      </c>
      <c r="AX137" s="182">
        <f t="shared" si="175"/>
        <v>0</v>
      </c>
      <c r="AY137" s="106">
        <f t="shared" si="175"/>
        <v>7958.9612805194802</v>
      </c>
      <c r="AZ137" s="106">
        <f t="shared" si="175"/>
        <v>7612.9194857142857</v>
      </c>
      <c r="BA137" s="106">
        <f t="shared" si="175"/>
        <v>15571.880766233766</v>
      </c>
      <c r="BB137" s="106">
        <f t="shared" si="175"/>
        <v>0</v>
      </c>
      <c r="BC137" s="56">
        <f t="shared" si="18"/>
        <v>-1.9917999999997846</v>
      </c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</row>
    <row r="138" spans="1:71" ht="13.8">
      <c r="A138" s="108"/>
      <c r="B138" s="7" t="s">
        <v>160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250"/>
      <c r="AB138" s="250"/>
      <c r="AC138" s="250"/>
      <c r="AD138" s="8"/>
      <c r="AE138" s="8"/>
      <c r="AF138" s="8"/>
      <c r="AG138" s="8"/>
      <c r="AH138" s="8"/>
      <c r="AI138" s="250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9"/>
      <c r="AZ138" s="9"/>
      <c r="BA138" s="9"/>
      <c r="BB138" s="9"/>
      <c r="BC138" s="32">
        <f t="shared" si="18"/>
        <v>0</v>
      </c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</row>
    <row r="139" spans="1:71" ht="13.8">
      <c r="A139" s="183">
        <v>1</v>
      </c>
      <c r="B139" s="288" t="s">
        <v>161</v>
      </c>
      <c r="C139" s="35" t="s">
        <v>40</v>
      </c>
      <c r="D139" s="134" t="s">
        <v>162</v>
      </c>
      <c r="E139" s="77">
        <v>8700</v>
      </c>
      <c r="F139" s="160">
        <v>46113</v>
      </c>
      <c r="G139" s="42">
        <f>8647/4</f>
        <v>2161.75</v>
      </c>
      <c r="H139" s="109">
        <v>22</v>
      </c>
      <c r="I139" s="109" t="s">
        <v>41</v>
      </c>
      <c r="J139" s="110"/>
      <c r="K139" s="109">
        <v>52</v>
      </c>
      <c r="L139" s="109">
        <v>200</v>
      </c>
      <c r="M139" s="110">
        <f>K139*L139</f>
        <v>10400</v>
      </c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252"/>
      <c r="AB139" s="252"/>
      <c r="AC139" s="252"/>
      <c r="AD139" s="110"/>
      <c r="AE139" s="110"/>
      <c r="AF139" s="22">
        <f>M139+P139+S139+V139+Y139</f>
        <v>10400</v>
      </c>
      <c r="AG139" s="110"/>
      <c r="AH139" s="227">
        <f>2256.59+AD139+AC139</f>
        <v>2256.59</v>
      </c>
      <c r="AI139" s="50">
        <f>(AP139*100)/77</f>
        <v>11249.90909090909</v>
      </c>
      <c r="AJ139" s="25">
        <f>AH139+AI139</f>
        <v>13506.49909090909</v>
      </c>
      <c r="AK139" s="26">
        <f>AJ139*23%</f>
        <v>3106.4947909090911</v>
      </c>
      <c r="AL139" s="109">
        <v>868.79</v>
      </c>
      <c r="AM139" s="110"/>
      <c r="AN139" s="110"/>
      <c r="AO139" s="110"/>
      <c r="AP139" s="53">
        <f>AF139-AL139-AT139</f>
        <v>8662.4299999999985</v>
      </c>
      <c r="AQ139" s="110"/>
      <c r="AR139" s="110"/>
      <c r="AS139" s="110"/>
      <c r="AT139" s="109">
        <v>868.78</v>
      </c>
      <c r="AU139" s="27">
        <f>AJ139-AK139-AL139-AT139-AN139-AR139-AM139-AS139-AP139</f>
        <v>4.3000000005122274E-3</v>
      </c>
      <c r="AV139" s="28">
        <f>AL139+AM139+AN139+AR139+AT139+AS139+AP139+AO139+AQ139</f>
        <v>10399.999999999998</v>
      </c>
      <c r="AW139" s="110"/>
      <c r="AX139" s="110"/>
      <c r="AY139" s="28">
        <f>AJ139*23%</f>
        <v>3106.4947909090911</v>
      </c>
      <c r="AZ139" s="29">
        <f>AJ139*H139%</f>
        <v>2971.4297999999999</v>
      </c>
      <c r="BA139" s="30">
        <f>AY139+AZ139</f>
        <v>6077.9245909090914</v>
      </c>
      <c r="BB139" s="110"/>
      <c r="BC139" s="56">
        <f t="shared" si="18"/>
        <v>4.3000000005122274E-3</v>
      </c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</row>
    <row r="140" spans="1:71" ht="13.8">
      <c r="A140" s="102"/>
      <c r="B140" s="103" t="s">
        <v>163</v>
      </c>
      <c r="C140" s="158"/>
      <c r="D140" s="158"/>
      <c r="E140" s="158"/>
      <c r="F140" s="158"/>
      <c r="G140" s="158"/>
      <c r="H140" s="158"/>
      <c r="I140" s="158"/>
      <c r="J140" s="158"/>
      <c r="K140" s="158">
        <f t="shared" ref="K140:S140" si="176">K139</f>
        <v>52</v>
      </c>
      <c r="L140" s="158">
        <f t="shared" si="176"/>
        <v>200</v>
      </c>
      <c r="M140" s="158">
        <f t="shared" si="176"/>
        <v>10400</v>
      </c>
      <c r="N140" s="158">
        <f t="shared" si="176"/>
        <v>0</v>
      </c>
      <c r="O140" s="158">
        <f t="shared" si="176"/>
        <v>0</v>
      </c>
      <c r="P140" s="158">
        <f t="shared" si="176"/>
        <v>0</v>
      </c>
      <c r="Q140" s="158">
        <f t="shared" si="176"/>
        <v>0</v>
      </c>
      <c r="R140" s="158">
        <f t="shared" si="176"/>
        <v>0</v>
      </c>
      <c r="S140" s="158">
        <f t="shared" si="176"/>
        <v>0</v>
      </c>
      <c r="T140" s="158"/>
      <c r="U140" s="158"/>
      <c r="V140" s="158">
        <f t="shared" ref="V140:Z140" si="177">V139</f>
        <v>0</v>
      </c>
      <c r="W140" s="158">
        <f t="shared" si="177"/>
        <v>0</v>
      </c>
      <c r="X140" s="158">
        <f t="shared" si="177"/>
        <v>0</v>
      </c>
      <c r="Y140" s="158">
        <f t="shared" si="177"/>
        <v>0</v>
      </c>
      <c r="Z140" s="158">
        <f t="shared" si="177"/>
        <v>0</v>
      </c>
      <c r="AA140" s="184"/>
      <c r="AB140" s="184"/>
      <c r="AC140" s="184">
        <f t="shared" ref="AC140:AP140" si="178">AC139</f>
        <v>0</v>
      </c>
      <c r="AD140" s="158">
        <f t="shared" si="178"/>
        <v>0</v>
      </c>
      <c r="AE140" s="158">
        <f t="shared" si="178"/>
        <v>0</v>
      </c>
      <c r="AF140" s="184">
        <f t="shared" si="178"/>
        <v>10400</v>
      </c>
      <c r="AG140" s="158">
        <f t="shared" si="178"/>
        <v>0</v>
      </c>
      <c r="AH140" s="184">
        <f t="shared" si="178"/>
        <v>2256.59</v>
      </c>
      <c r="AI140" s="184">
        <f t="shared" si="178"/>
        <v>11249.90909090909</v>
      </c>
      <c r="AJ140" s="184">
        <f t="shared" si="178"/>
        <v>13506.49909090909</v>
      </c>
      <c r="AK140" s="184">
        <f t="shared" si="178"/>
        <v>3106.4947909090911</v>
      </c>
      <c r="AL140" s="158">
        <f t="shared" si="178"/>
        <v>868.79</v>
      </c>
      <c r="AM140" s="158">
        <f t="shared" si="178"/>
        <v>0</v>
      </c>
      <c r="AN140" s="158">
        <f t="shared" si="178"/>
        <v>0</v>
      </c>
      <c r="AO140" s="158">
        <f t="shared" si="178"/>
        <v>0</v>
      </c>
      <c r="AP140" s="184">
        <f t="shared" si="178"/>
        <v>8662.4299999999985</v>
      </c>
      <c r="AQ140" s="158"/>
      <c r="AR140" s="158">
        <f t="shared" ref="AR140:AW140" si="179">AR139</f>
        <v>0</v>
      </c>
      <c r="AS140" s="158">
        <f t="shared" si="179"/>
        <v>0</v>
      </c>
      <c r="AT140" s="158">
        <f t="shared" si="179"/>
        <v>868.78</v>
      </c>
      <c r="AU140" s="184">
        <f t="shared" si="179"/>
        <v>4.3000000005122274E-3</v>
      </c>
      <c r="AV140" s="184">
        <f t="shared" si="179"/>
        <v>10399.999999999998</v>
      </c>
      <c r="AW140" s="158">
        <f t="shared" si="179"/>
        <v>0</v>
      </c>
      <c r="AX140" s="158"/>
      <c r="AY140" s="184">
        <f t="shared" ref="AY140:BB140" si="180">AY139</f>
        <v>3106.4947909090911</v>
      </c>
      <c r="AZ140" s="184">
        <f t="shared" si="180"/>
        <v>2971.4297999999999</v>
      </c>
      <c r="BA140" s="184">
        <f t="shared" si="180"/>
        <v>6077.9245909090914</v>
      </c>
      <c r="BB140" s="158">
        <f t="shared" si="180"/>
        <v>0</v>
      </c>
      <c r="BC140" s="56">
        <f t="shared" si="18"/>
        <v>4.3000000005122274E-3</v>
      </c>
      <c r="BD140" s="158">
        <f t="shared" ref="BD140:BO140" si="181">BD139</f>
        <v>0</v>
      </c>
      <c r="BE140" s="158">
        <f t="shared" si="181"/>
        <v>0</v>
      </c>
      <c r="BF140" s="158">
        <f t="shared" si="181"/>
        <v>0</v>
      </c>
      <c r="BG140" s="158">
        <f t="shared" si="181"/>
        <v>0</v>
      </c>
      <c r="BH140" s="158">
        <f t="shared" si="181"/>
        <v>0</v>
      </c>
      <c r="BI140" s="158">
        <f t="shared" si="181"/>
        <v>0</v>
      </c>
      <c r="BJ140" s="158">
        <f t="shared" si="181"/>
        <v>0</v>
      </c>
      <c r="BK140" s="158">
        <f t="shared" si="181"/>
        <v>0</v>
      </c>
      <c r="BL140" s="158">
        <f t="shared" si="181"/>
        <v>0</v>
      </c>
      <c r="BM140" s="158">
        <f t="shared" si="181"/>
        <v>0</v>
      </c>
      <c r="BN140" s="158">
        <f t="shared" si="181"/>
        <v>0</v>
      </c>
      <c r="BO140" s="158">
        <f t="shared" si="181"/>
        <v>0</v>
      </c>
      <c r="BP140" s="359"/>
      <c r="BQ140" s="359"/>
      <c r="BR140" s="359"/>
      <c r="BS140" s="359"/>
    </row>
    <row r="141" spans="1:71" ht="13.8">
      <c r="A141" s="108"/>
      <c r="B141" s="7" t="s">
        <v>164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250"/>
      <c r="AB141" s="250"/>
      <c r="AC141" s="250"/>
      <c r="AD141" s="8"/>
      <c r="AE141" s="8"/>
      <c r="AF141" s="8"/>
      <c r="AG141" s="8"/>
      <c r="AH141" s="8"/>
      <c r="AI141" s="250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9"/>
      <c r="AZ141" s="9"/>
      <c r="BA141" s="9"/>
      <c r="BB141" s="9"/>
      <c r="BC141" s="32">
        <f t="shared" si="18"/>
        <v>0</v>
      </c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</row>
    <row r="142" spans="1:71" ht="13.8">
      <c r="A142" s="180">
        <v>1</v>
      </c>
      <c r="B142" s="286" t="s">
        <v>165</v>
      </c>
      <c r="C142" s="35" t="s">
        <v>40</v>
      </c>
      <c r="D142" s="134" t="s">
        <v>52</v>
      </c>
      <c r="E142" s="134">
        <v>8700</v>
      </c>
      <c r="F142" s="134">
        <v>1</v>
      </c>
      <c r="G142" s="109">
        <v>8700</v>
      </c>
      <c r="H142" s="109">
        <v>22</v>
      </c>
      <c r="I142" s="109" t="s">
        <v>41</v>
      </c>
      <c r="J142" s="40"/>
      <c r="K142" s="40">
        <v>92</v>
      </c>
      <c r="L142" s="109">
        <v>200</v>
      </c>
      <c r="M142" s="110">
        <f>K142*L142</f>
        <v>18400</v>
      </c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331">
        <v>1560</v>
      </c>
      <c r="AA142" s="53"/>
      <c r="AB142" s="53">
        <f>Z142*0.77</f>
        <v>1201.2</v>
      </c>
      <c r="AC142" s="326"/>
      <c r="AD142" s="109"/>
      <c r="AE142" s="110"/>
      <c r="AF142" s="22">
        <f t="shared" ref="AF142:AF145" si="182">M142+P142+S142+V142+Y142</f>
        <v>18400</v>
      </c>
      <c r="AG142" s="97"/>
      <c r="AH142" s="258">
        <f>8700+Z142</f>
        <v>10260</v>
      </c>
      <c r="AI142" s="50">
        <f t="shared" ref="AI142:AI145" si="183">(AP142*100)/77</f>
        <v>15196.103896103896</v>
      </c>
      <c r="AJ142" s="25">
        <f t="shared" ref="AJ142:AJ147" si="184">AH142+AI142</f>
        <v>25456.103896103894</v>
      </c>
      <c r="AK142" s="26">
        <f t="shared" ref="AK142:AK147" si="185">AJ142*23%</f>
        <v>5854.9038961038959</v>
      </c>
      <c r="AL142" s="51">
        <v>3349.5</v>
      </c>
      <c r="AM142" s="52"/>
      <c r="AN142" s="52"/>
      <c r="AO142" s="53"/>
      <c r="AP142" s="53">
        <f>AF142-AL142-AT142</f>
        <v>11701</v>
      </c>
      <c r="AQ142" s="53"/>
      <c r="AR142" s="53"/>
      <c r="AS142" s="51">
        <v>1201.2</v>
      </c>
      <c r="AT142" s="51">
        <v>3349.5</v>
      </c>
      <c r="AU142" s="27">
        <f t="shared" ref="AU142:AU147" si="186">AJ142-AK142-AL142-AT142-AN142-AR142-AM142-AS142-AP142</f>
        <v>0</v>
      </c>
      <c r="AV142" s="28">
        <f t="shared" ref="AV142:AV147" si="187">AL142+AM142+AN142+AR142+AT142+AS142+AP142+AO142+AQ142</f>
        <v>19601.2</v>
      </c>
      <c r="AW142" s="110"/>
      <c r="AX142" s="110"/>
      <c r="AY142" s="28">
        <f t="shared" ref="AY142:AY147" si="188">AJ142*23%</f>
        <v>5854.9038961038959</v>
      </c>
      <c r="AZ142" s="29">
        <f t="shared" ref="AZ142:AZ147" si="189">AJ142*H142%</f>
        <v>5600.3428571428567</v>
      </c>
      <c r="BA142" s="30">
        <f t="shared" ref="BA142:BA147" si="190">AY142+AZ142</f>
        <v>11455.246753246753</v>
      </c>
      <c r="BB142" s="31">
        <f t="shared" ref="BB142:BB147" si="191">BA142-AZ142-AK142</f>
        <v>0</v>
      </c>
      <c r="BC142" s="56">
        <f t="shared" si="18"/>
        <v>0</v>
      </c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</row>
    <row r="143" spans="1:71" ht="13.8">
      <c r="A143" s="185">
        <f t="shared" ref="A143:A147" si="192">A142+1</f>
        <v>2</v>
      </c>
      <c r="B143" s="289" t="s">
        <v>166</v>
      </c>
      <c r="C143" s="35" t="s">
        <v>40</v>
      </c>
      <c r="D143" s="173" t="s">
        <v>93</v>
      </c>
      <c r="E143" s="77">
        <v>8700</v>
      </c>
      <c r="F143" s="160">
        <v>46113</v>
      </c>
      <c r="G143" s="42">
        <f t="shared" ref="G143:G145" si="193">8647/4</f>
        <v>2161.75</v>
      </c>
      <c r="H143" s="109">
        <v>22</v>
      </c>
      <c r="I143" s="109" t="s">
        <v>41</v>
      </c>
      <c r="J143" s="110"/>
      <c r="K143" s="110"/>
      <c r="L143" s="109">
        <v>200</v>
      </c>
      <c r="M143" s="110">
        <f>K143*L143</f>
        <v>0</v>
      </c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43"/>
      <c r="Y143" s="43"/>
      <c r="Z143" s="43"/>
      <c r="AA143" s="252"/>
      <c r="AB143" s="252"/>
      <c r="AC143" s="252"/>
      <c r="AD143" s="110"/>
      <c r="AE143" s="43"/>
      <c r="AF143" s="22">
        <f t="shared" si="182"/>
        <v>0</v>
      </c>
      <c r="AG143" s="110"/>
      <c r="AH143" s="258">
        <v>2259.7399999999998</v>
      </c>
      <c r="AI143" s="50">
        <f t="shared" si="183"/>
        <v>0</v>
      </c>
      <c r="AJ143" s="25">
        <f t="shared" si="184"/>
        <v>2259.7399999999998</v>
      </c>
      <c r="AK143" s="26">
        <f t="shared" si="185"/>
        <v>519.74019999999996</v>
      </c>
      <c r="AL143" s="51">
        <v>870</v>
      </c>
      <c r="AM143" s="52"/>
      <c r="AN143" s="52"/>
      <c r="AO143" s="53"/>
      <c r="AP143" s="53"/>
      <c r="AQ143" s="53"/>
      <c r="AR143" s="53"/>
      <c r="AS143" s="51"/>
      <c r="AT143" s="51">
        <v>870</v>
      </c>
      <c r="AU143" s="27">
        <f t="shared" si="186"/>
        <v>-2.0000000017716957E-4</v>
      </c>
      <c r="AV143" s="28">
        <f t="shared" si="187"/>
        <v>1740</v>
      </c>
      <c r="AW143" s="110"/>
      <c r="AX143" s="110"/>
      <c r="AY143" s="28">
        <f t="shared" si="188"/>
        <v>519.74019999999996</v>
      </c>
      <c r="AZ143" s="29">
        <f t="shared" si="189"/>
        <v>497.14279999999997</v>
      </c>
      <c r="BA143" s="30">
        <f t="shared" si="190"/>
        <v>1016.8829999999999</v>
      </c>
      <c r="BB143" s="31">
        <f t="shared" si="191"/>
        <v>0</v>
      </c>
      <c r="BC143" s="56">
        <f t="shared" si="18"/>
        <v>-2.0000000017716957E-4</v>
      </c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</row>
    <row r="144" spans="1:71" ht="13.8">
      <c r="A144" s="185">
        <f t="shared" si="192"/>
        <v>3</v>
      </c>
      <c r="B144" s="282" t="s">
        <v>167</v>
      </c>
      <c r="C144" s="35" t="s">
        <v>40</v>
      </c>
      <c r="D144" s="173" t="s">
        <v>44</v>
      </c>
      <c r="E144" s="77">
        <v>8700</v>
      </c>
      <c r="F144" s="160">
        <v>46113</v>
      </c>
      <c r="G144" s="42">
        <f t="shared" si="193"/>
        <v>2161.75</v>
      </c>
      <c r="H144" s="109">
        <v>22</v>
      </c>
      <c r="I144" s="109" t="s">
        <v>41</v>
      </c>
      <c r="J144" s="110"/>
      <c r="K144" s="109">
        <v>14</v>
      </c>
      <c r="L144" s="109">
        <v>200</v>
      </c>
      <c r="M144" s="110">
        <f>K144*L144</f>
        <v>2800</v>
      </c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43"/>
      <c r="Y144" s="43"/>
      <c r="Z144" s="43"/>
      <c r="AA144" s="252"/>
      <c r="AB144" s="252"/>
      <c r="AC144" s="252"/>
      <c r="AD144" s="110"/>
      <c r="AE144" s="43"/>
      <c r="AF144" s="22">
        <f t="shared" si="182"/>
        <v>2800</v>
      </c>
      <c r="AG144" s="110"/>
      <c r="AH144" s="258">
        <v>2702.51</v>
      </c>
      <c r="AI144" s="50">
        <f t="shared" si="183"/>
        <v>933.85714285714289</v>
      </c>
      <c r="AJ144" s="25">
        <f t="shared" si="184"/>
        <v>3636.3671428571433</v>
      </c>
      <c r="AK144" s="26">
        <f t="shared" si="185"/>
        <v>836.36444285714299</v>
      </c>
      <c r="AL144" s="51">
        <v>1040.46</v>
      </c>
      <c r="AM144" s="52"/>
      <c r="AN144" s="52"/>
      <c r="AO144" s="53"/>
      <c r="AP144" s="53">
        <f>AF144-AL144-AT144</f>
        <v>719.06999999999994</v>
      </c>
      <c r="AQ144" s="53"/>
      <c r="AR144" s="53"/>
      <c r="AS144" s="51"/>
      <c r="AT144" s="51">
        <v>1040.47</v>
      </c>
      <c r="AU144" s="27">
        <f t="shared" si="186"/>
        <v>2.7000000004591129E-3</v>
      </c>
      <c r="AV144" s="28">
        <f t="shared" si="187"/>
        <v>2800</v>
      </c>
      <c r="AW144" s="110"/>
      <c r="AX144" s="110"/>
      <c r="AY144" s="28">
        <f t="shared" si="188"/>
        <v>836.36444285714299</v>
      </c>
      <c r="AZ144" s="29">
        <f t="shared" si="189"/>
        <v>800.00077142857151</v>
      </c>
      <c r="BA144" s="30">
        <f t="shared" si="190"/>
        <v>1636.3652142857145</v>
      </c>
      <c r="BB144" s="31">
        <f t="shared" si="191"/>
        <v>0</v>
      </c>
      <c r="BC144" s="56">
        <f t="shared" si="18"/>
        <v>2.7000000004591129E-3</v>
      </c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</row>
    <row r="145" spans="1:71" ht="13.8">
      <c r="A145" s="185">
        <f t="shared" si="192"/>
        <v>4</v>
      </c>
      <c r="B145" s="282" t="s">
        <v>168</v>
      </c>
      <c r="C145" s="35" t="s">
        <v>40</v>
      </c>
      <c r="D145" s="173" t="s">
        <v>44</v>
      </c>
      <c r="E145" s="77">
        <v>8700</v>
      </c>
      <c r="F145" s="160">
        <v>46113</v>
      </c>
      <c r="G145" s="42">
        <f t="shared" si="193"/>
        <v>2161.75</v>
      </c>
      <c r="H145" s="109">
        <v>22</v>
      </c>
      <c r="I145" s="109" t="s">
        <v>41</v>
      </c>
      <c r="J145" s="110"/>
      <c r="K145" s="110"/>
      <c r="L145" s="109">
        <v>200</v>
      </c>
      <c r="M145" s="110">
        <f>K145*L145</f>
        <v>0</v>
      </c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43"/>
      <c r="Y145" s="43"/>
      <c r="Z145" s="43"/>
      <c r="AA145" s="252"/>
      <c r="AB145" s="252"/>
      <c r="AC145" s="252"/>
      <c r="AD145" s="110"/>
      <c r="AE145" s="43"/>
      <c r="AF145" s="22">
        <f t="shared" si="182"/>
        <v>0</v>
      </c>
      <c r="AG145" s="110"/>
      <c r="AH145" s="258">
        <v>2702.51</v>
      </c>
      <c r="AI145" s="50">
        <f t="shared" si="183"/>
        <v>0</v>
      </c>
      <c r="AJ145" s="25">
        <f t="shared" si="184"/>
        <v>2702.51</v>
      </c>
      <c r="AK145" s="26">
        <f t="shared" si="185"/>
        <v>621.57730000000004</v>
      </c>
      <c r="AL145" s="51">
        <v>1040.46</v>
      </c>
      <c r="AM145" s="52"/>
      <c r="AN145" s="52"/>
      <c r="AO145" s="53"/>
      <c r="AP145" s="53"/>
      <c r="AQ145" s="53"/>
      <c r="AR145" s="53"/>
      <c r="AS145" s="51"/>
      <c r="AT145" s="51">
        <v>1040.47</v>
      </c>
      <c r="AU145" s="27">
        <f t="shared" si="186"/>
        <v>2.7000000002317393E-3</v>
      </c>
      <c r="AV145" s="28">
        <f t="shared" si="187"/>
        <v>2080.9300000000003</v>
      </c>
      <c r="AW145" s="110"/>
      <c r="AX145" s="110"/>
      <c r="AY145" s="28">
        <f t="shared" si="188"/>
        <v>621.57730000000004</v>
      </c>
      <c r="AZ145" s="29">
        <f t="shared" si="189"/>
        <v>594.55220000000008</v>
      </c>
      <c r="BA145" s="30">
        <f t="shared" si="190"/>
        <v>1216.1295</v>
      </c>
      <c r="BB145" s="31">
        <f t="shared" si="191"/>
        <v>0</v>
      </c>
      <c r="BC145" s="56">
        <f t="shared" si="18"/>
        <v>2.7000000000043656E-3</v>
      </c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</row>
    <row r="146" spans="1:71" ht="13.8">
      <c r="A146" s="185">
        <f t="shared" si="192"/>
        <v>5</v>
      </c>
      <c r="B146" s="284" t="s">
        <v>169</v>
      </c>
      <c r="C146" s="35" t="s">
        <v>40</v>
      </c>
      <c r="D146" s="173" t="s">
        <v>105</v>
      </c>
      <c r="E146" s="77">
        <v>8700</v>
      </c>
      <c r="F146" s="160">
        <v>46054</v>
      </c>
      <c r="G146" s="42">
        <f>E146/2</f>
        <v>4350</v>
      </c>
      <c r="H146" s="109">
        <v>22</v>
      </c>
      <c r="I146" s="109" t="s">
        <v>41</v>
      </c>
      <c r="J146" s="109">
        <v>3330</v>
      </c>
      <c r="K146" s="110"/>
      <c r="L146" s="109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43"/>
      <c r="Y146" s="43"/>
      <c r="Z146" s="43"/>
      <c r="AA146" s="51"/>
      <c r="AB146" s="51"/>
      <c r="AC146" s="84">
        <v>2069</v>
      </c>
      <c r="AD146" s="110"/>
      <c r="AE146" s="43"/>
      <c r="AF146" s="22"/>
      <c r="AG146" s="43"/>
      <c r="AH146" s="92">
        <f>2256.59+AC146</f>
        <v>4325.59</v>
      </c>
      <c r="AI146" s="76"/>
      <c r="AJ146" s="25">
        <f t="shared" si="184"/>
        <v>4325.59</v>
      </c>
      <c r="AK146" s="26">
        <f t="shared" si="185"/>
        <v>994.88570000000004</v>
      </c>
      <c r="AL146" s="109">
        <v>868.79</v>
      </c>
      <c r="AM146" s="173"/>
      <c r="AN146" s="43"/>
      <c r="AO146" s="53"/>
      <c r="AP146" s="53"/>
      <c r="AQ146" s="48"/>
      <c r="AR146" s="48">
        <v>1593.13</v>
      </c>
      <c r="AS146" s="97"/>
      <c r="AT146" s="40">
        <v>868.78</v>
      </c>
      <c r="AU146" s="27">
        <f t="shared" si="186"/>
        <v>4.3000000002848537E-3</v>
      </c>
      <c r="AV146" s="28">
        <f t="shared" si="187"/>
        <v>3330.7</v>
      </c>
      <c r="AW146" s="110"/>
      <c r="AX146" s="110"/>
      <c r="AY146" s="28">
        <f t="shared" si="188"/>
        <v>994.88570000000004</v>
      </c>
      <c r="AZ146" s="29">
        <f t="shared" si="189"/>
        <v>951.62980000000005</v>
      </c>
      <c r="BA146" s="30">
        <f t="shared" si="190"/>
        <v>1946.5155</v>
      </c>
      <c r="BB146" s="31">
        <f t="shared" si="191"/>
        <v>0</v>
      </c>
      <c r="BC146" s="56">
        <f t="shared" si="18"/>
        <v>4.3000000005122274E-3</v>
      </c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</row>
    <row r="147" spans="1:71" ht="13.8">
      <c r="A147" s="185">
        <f t="shared" si="192"/>
        <v>6</v>
      </c>
      <c r="B147" s="290" t="s">
        <v>170</v>
      </c>
      <c r="C147" s="35" t="s">
        <v>40</v>
      </c>
      <c r="D147" s="173" t="s">
        <v>105</v>
      </c>
      <c r="E147" s="77">
        <v>8700</v>
      </c>
      <c r="F147" s="160">
        <v>46113</v>
      </c>
      <c r="G147" s="42">
        <f>8647/4</f>
        <v>2161.75</v>
      </c>
      <c r="H147" s="109">
        <v>22</v>
      </c>
      <c r="I147" s="173" t="s">
        <v>37</v>
      </c>
      <c r="J147" s="97"/>
      <c r="K147" s="110"/>
      <c r="L147" s="109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43"/>
      <c r="Y147" s="43"/>
      <c r="Z147" s="43"/>
      <c r="AA147" s="252"/>
      <c r="AB147" s="252"/>
      <c r="AC147" s="252"/>
      <c r="AD147" s="110"/>
      <c r="AE147" s="43"/>
      <c r="AF147" s="22"/>
      <c r="AG147" s="110"/>
      <c r="AH147" s="266">
        <v>2702.51</v>
      </c>
      <c r="AI147" s="76"/>
      <c r="AJ147" s="25">
        <f t="shared" si="184"/>
        <v>2702.51</v>
      </c>
      <c r="AK147" s="26">
        <f t="shared" si="185"/>
        <v>621.57730000000004</v>
      </c>
      <c r="AL147" s="109">
        <v>1040.46</v>
      </c>
      <c r="AM147" s="173"/>
      <c r="AN147" s="43"/>
      <c r="AO147" s="53"/>
      <c r="AP147" s="53"/>
      <c r="AQ147" s="53"/>
      <c r="AR147" s="53"/>
      <c r="AS147" s="97"/>
      <c r="AT147" s="40">
        <v>1040.47</v>
      </c>
      <c r="AU147" s="27">
        <f t="shared" si="186"/>
        <v>2.7000000002317393E-3</v>
      </c>
      <c r="AV147" s="28">
        <f t="shared" si="187"/>
        <v>2080.9300000000003</v>
      </c>
      <c r="AW147" s="110"/>
      <c r="AX147" s="110"/>
      <c r="AY147" s="28">
        <f t="shared" si="188"/>
        <v>621.57730000000004</v>
      </c>
      <c r="AZ147" s="29">
        <f t="shared" si="189"/>
        <v>594.55220000000008</v>
      </c>
      <c r="BA147" s="30">
        <f t="shared" si="190"/>
        <v>1216.1295</v>
      </c>
      <c r="BB147" s="31">
        <f t="shared" si="191"/>
        <v>0</v>
      </c>
      <c r="BC147" s="56">
        <f t="shared" si="18"/>
        <v>2.7000000000043656E-3</v>
      </c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</row>
    <row r="148" spans="1:71" ht="27.6">
      <c r="A148" s="102"/>
      <c r="B148" s="103" t="s">
        <v>171</v>
      </c>
      <c r="C148" s="158"/>
      <c r="D148" s="158"/>
      <c r="E148" s="158"/>
      <c r="F148" s="158"/>
      <c r="G148" s="158"/>
      <c r="H148" s="158"/>
      <c r="I148" s="158"/>
      <c r="J148" s="105"/>
      <c r="K148" s="105">
        <f>SUM(K142:K147)</f>
        <v>106</v>
      </c>
      <c r="L148" s="105"/>
      <c r="M148" s="105">
        <f t="shared" ref="M148:N148" si="194">SUM(M142:M147)</f>
        <v>21200</v>
      </c>
      <c r="N148" s="105">
        <f t="shared" si="194"/>
        <v>0</v>
      </c>
      <c r="O148" s="105"/>
      <c r="P148" s="105">
        <f t="shared" ref="P148:Q148" si="195">SUM(P142:P147)</f>
        <v>0</v>
      </c>
      <c r="Q148" s="105">
        <f t="shared" si="195"/>
        <v>0</v>
      </c>
      <c r="R148" s="105"/>
      <c r="S148" s="105">
        <f>SUM(S142:S147)</f>
        <v>0</v>
      </c>
      <c r="T148" s="105"/>
      <c r="U148" s="105"/>
      <c r="V148" s="105">
        <f t="shared" ref="V148:W148" si="196">SUM(V142:V147)</f>
        <v>0</v>
      </c>
      <c r="W148" s="105">
        <f t="shared" si="196"/>
        <v>0</v>
      </c>
      <c r="X148" s="105"/>
      <c r="Y148" s="105">
        <f t="shared" ref="Y148:Z148" si="197">SUM(Y142:Y147)</f>
        <v>0</v>
      </c>
      <c r="Z148" s="105">
        <f t="shared" si="197"/>
        <v>1560</v>
      </c>
      <c r="AA148" s="106"/>
      <c r="AB148" s="106"/>
      <c r="AC148" s="106">
        <f t="shared" ref="AC148:AP148" si="198">SUM(AC142:AC147)</f>
        <v>2069</v>
      </c>
      <c r="AD148" s="105">
        <f t="shared" si="198"/>
        <v>0</v>
      </c>
      <c r="AE148" s="105">
        <f t="shared" si="198"/>
        <v>0</v>
      </c>
      <c r="AF148" s="106">
        <f t="shared" si="198"/>
        <v>21200</v>
      </c>
      <c r="AG148" s="105">
        <f t="shared" si="198"/>
        <v>0</v>
      </c>
      <c r="AH148" s="106">
        <f t="shared" si="198"/>
        <v>24952.86</v>
      </c>
      <c r="AI148" s="106">
        <f t="shared" si="198"/>
        <v>16129.961038961039</v>
      </c>
      <c r="AJ148" s="106">
        <f t="shared" si="198"/>
        <v>41082.821038961039</v>
      </c>
      <c r="AK148" s="106">
        <f t="shared" si="198"/>
        <v>9449.04883896104</v>
      </c>
      <c r="AL148" s="106">
        <f t="shared" si="198"/>
        <v>8209.67</v>
      </c>
      <c r="AM148" s="106">
        <f t="shared" si="198"/>
        <v>0</v>
      </c>
      <c r="AN148" s="106">
        <f t="shared" si="198"/>
        <v>0</v>
      </c>
      <c r="AO148" s="106">
        <f t="shared" si="198"/>
        <v>0</v>
      </c>
      <c r="AP148" s="106">
        <f t="shared" si="198"/>
        <v>12420.07</v>
      </c>
      <c r="AQ148" s="105"/>
      <c r="AR148" s="106">
        <f t="shared" ref="AR148:BB148" si="199">SUM(AR142:AR147)</f>
        <v>1593.13</v>
      </c>
      <c r="AS148" s="106">
        <f t="shared" si="199"/>
        <v>1201.2</v>
      </c>
      <c r="AT148" s="106">
        <f t="shared" si="199"/>
        <v>8209.69</v>
      </c>
      <c r="AU148" s="106">
        <f t="shared" si="199"/>
        <v>1.2200000001030276E-2</v>
      </c>
      <c r="AV148" s="106">
        <f t="shared" si="199"/>
        <v>31633.760000000002</v>
      </c>
      <c r="AW148" s="105">
        <f t="shared" si="199"/>
        <v>0</v>
      </c>
      <c r="AX148" s="105">
        <f t="shared" si="199"/>
        <v>0</v>
      </c>
      <c r="AY148" s="106">
        <f t="shared" si="199"/>
        <v>9449.04883896104</v>
      </c>
      <c r="AZ148" s="106">
        <f t="shared" si="199"/>
        <v>9038.2206285714274</v>
      </c>
      <c r="BA148" s="106">
        <f t="shared" si="199"/>
        <v>18487.269467532467</v>
      </c>
      <c r="BB148" s="106">
        <f t="shared" si="199"/>
        <v>0</v>
      </c>
      <c r="BC148" s="56">
        <f t="shared" si="18"/>
        <v>1.2199999997392297E-2</v>
      </c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</row>
    <row r="149" spans="1:71" ht="13.8">
      <c r="A149" s="108"/>
      <c r="B149" s="186" t="s">
        <v>172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250"/>
      <c r="AB149" s="250"/>
      <c r="AC149" s="250"/>
      <c r="AD149" s="8"/>
      <c r="AE149" s="8"/>
      <c r="AF149" s="8"/>
      <c r="AG149" s="8"/>
      <c r="AH149" s="8"/>
      <c r="AI149" s="250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9"/>
      <c r="AZ149" s="9"/>
      <c r="BA149" s="9"/>
      <c r="BB149" s="9"/>
      <c r="BC149" s="32">
        <f t="shared" si="18"/>
        <v>0</v>
      </c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</row>
    <row r="150" spans="1:71" ht="27.6">
      <c r="A150" s="187">
        <v>1</v>
      </c>
      <c r="B150" s="291" t="s">
        <v>173</v>
      </c>
      <c r="C150" s="35" t="s">
        <v>40</v>
      </c>
      <c r="D150" s="109" t="s">
        <v>80</v>
      </c>
      <c r="E150" s="77">
        <v>8700</v>
      </c>
      <c r="F150" s="160">
        <v>46113</v>
      </c>
      <c r="G150" s="42">
        <f>8647/4</f>
        <v>2161.75</v>
      </c>
      <c r="H150" s="109">
        <v>22</v>
      </c>
      <c r="I150" s="110"/>
      <c r="J150" s="110"/>
      <c r="K150" s="109">
        <v>64</v>
      </c>
      <c r="L150" s="109">
        <v>200</v>
      </c>
      <c r="M150" s="110">
        <f>K150*L150</f>
        <v>12800</v>
      </c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252"/>
      <c r="AB150" s="252"/>
      <c r="AC150" s="252"/>
      <c r="AD150" s="110"/>
      <c r="AE150" s="110"/>
      <c r="AF150" s="22">
        <f>M150+P150+S150+V150+Y150</f>
        <v>12800</v>
      </c>
      <c r="AG150" s="110"/>
      <c r="AH150" s="258">
        <v>2702.51</v>
      </c>
      <c r="AI150" s="50">
        <f>(AP150*100)/77</f>
        <v>13920.870129870133</v>
      </c>
      <c r="AJ150" s="25">
        <f>AH150+AI150</f>
        <v>16623.380129870133</v>
      </c>
      <c r="AK150" s="26">
        <f>AJ150*23%</f>
        <v>3823.3774298701305</v>
      </c>
      <c r="AL150" s="109">
        <v>1040.46</v>
      </c>
      <c r="AM150" s="110"/>
      <c r="AN150" s="110"/>
      <c r="AO150" s="110"/>
      <c r="AP150" s="53">
        <f>AF150-AL150-AT150</f>
        <v>10719.070000000002</v>
      </c>
      <c r="AQ150" s="110"/>
      <c r="AR150" s="110"/>
      <c r="AS150" s="110"/>
      <c r="AT150" s="109">
        <v>1040.47</v>
      </c>
      <c r="AU150" s="27">
        <f>AJ150-AK150-AL150-AT150-AN150-AR150-AM150-AP150</f>
        <v>2.7000000009138603E-3</v>
      </c>
      <c r="AV150" s="28">
        <f>AL150+AM150+AN150+AR150+AT150+AS150+AP150+AO150+AQ150</f>
        <v>12800.000000000002</v>
      </c>
      <c r="AW150" s="110"/>
      <c r="AX150" s="110"/>
      <c r="AY150" s="28">
        <f>AJ150*23%</f>
        <v>3823.3774298701305</v>
      </c>
      <c r="AZ150" s="29">
        <f>AJ150*H150%</f>
        <v>3657.1436285714294</v>
      </c>
      <c r="BA150" s="30">
        <f>AY150+AZ150</f>
        <v>7480.5210584415599</v>
      </c>
      <c r="BB150" s="31">
        <f>BA150-AZ150-AK150</f>
        <v>0</v>
      </c>
      <c r="BC150" s="56">
        <f t="shared" si="18"/>
        <v>2.7000000009138603E-3</v>
      </c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</row>
    <row r="151" spans="1:71" ht="13.8">
      <c r="A151" s="188"/>
      <c r="B151" s="189" t="s">
        <v>174</v>
      </c>
      <c r="C151" s="292"/>
      <c r="D151" s="158"/>
      <c r="E151" s="158"/>
      <c r="F151" s="158"/>
      <c r="G151" s="158"/>
      <c r="H151" s="158"/>
      <c r="I151" s="158"/>
      <c r="J151" s="158"/>
      <c r="K151" s="158">
        <f>K150</f>
        <v>64</v>
      </c>
      <c r="L151" s="158"/>
      <c r="M151" s="158">
        <f t="shared" ref="M151:N151" si="200">M150</f>
        <v>12800</v>
      </c>
      <c r="N151" s="158">
        <f t="shared" si="200"/>
        <v>0</v>
      </c>
      <c r="O151" s="158"/>
      <c r="P151" s="158">
        <f t="shared" ref="P151:Q151" si="201">P150</f>
        <v>0</v>
      </c>
      <c r="Q151" s="158">
        <f t="shared" si="201"/>
        <v>0</v>
      </c>
      <c r="R151" s="158"/>
      <c r="S151" s="158">
        <f>S150</f>
        <v>0</v>
      </c>
      <c r="T151" s="158"/>
      <c r="U151" s="158"/>
      <c r="V151" s="158">
        <f t="shared" ref="V151:W151" si="202">V150</f>
        <v>0</v>
      </c>
      <c r="W151" s="158">
        <f t="shared" si="202"/>
        <v>0</v>
      </c>
      <c r="X151" s="158"/>
      <c r="Y151" s="158">
        <f t="shared" ref="Y151:Z151" si="203">Y150</f>
        <v>0</v>
      </c>
      <c r="Z151" s="158">
        <f t="shared" si="203"/>
        <v>0</v>
      </c>
      <c r="AA151" s="184"/>
      <c r="AB151" s="184"/>
      <c r="AC151" s="184"/>
      <c r="AD151" s="158">
        <f t="shared" ref="AD151:AO151" si="204">AD150</f>
        <v>0</v>
      </c>
      <c r="AE151" s="158">
        <f t="shared" si="204"/>
        <v>0</v>
      </c>
      <c r="AF151" s="184">
        <f t="shared" si="204"/>
        <v>12800</v>
      </c>
      <c r="AG151" s="158">
        <f t="shared" si="204"/>
        <v>0</v>
      </c>
      <c r="AH151" s="184">
        <f t="shared" si="204"/>
        <v>2702.51</v>
      </c>
      <c r="AI151" s="184">
        <f t="shared" si="204"/>
        <v>13920.870129870133</v>
      </c>
      <c r="AJ151" s="184">
        <f t="shared" si="204"/>
        <v>16623.380129870133</v>
      </c>
      <c r="AK151" s="184">
        <f t="shared" si="204"/>
        <v>3823.3774298701305</v>
      </c>
      <c r="AL151" s="158">
        <f t="shared" si="204"/>
        <v>1040.46</v>
      </c>
      <c r="AM151" s="158">
        <f t="shared" si="204"/>
        <v>0</v>
      </c>
      <c r="AN151" s="158">
        <f t="shared" si="204"/>
        <v>0</v>
      </c>
      <c r="AO151" s="158">
        <f t="shared" si="204"/>
        <v>0</v>
      </c>
      <c r="AP151" s="158"/>
      <c r="AQ151" s="158"/>
      <c r="AR151" s="158">
        <f t="shared" ref="AR151:AW151" si="205">AR150</f>
        <v>0</v>
      </c>
      <c r="AS151" s="158">
        <f t="shared" si="205"/>
        <v>0</v>
      </c>
      <c r="AT151" s="158">
        <f t="shared" si="205"/>
        <v>1040.47</v>
      </c>
      <c r="AU151" s="184">
        <f t="shared" si="205"/>
        <v>2.7000000009138603E-3</v>
      </c>
      <c r="AV151" s="184">
        <f t="shared" si="205"/>
        <v>12800.000000000002</v>
      </c>
      <c r="AW151" s="158">
        <f t="shared" si="205"/>
        <v>0</v>
      </c>
      <c r="AX151" s="158"/>
      <c r="AY151" s="184">
        <f t="shared" ref="AY151:BB151" si="206">AY150</f>
        <v>3823.3774298701305</v>
      </c>
      <c r="AZ151" s="184">
        <f t="shared" si="206"/>
        <v>3657.1436285714294</v>
      </c>
      <c r="BA151" s="190">
        <f t="shared" si="206"/>
        <v>7480.5210584415599</v>
      </c>
      <c r="BB151" s="184">
        <f t="shared" si="206"/>
        <v>0</v>
      </c>
      <c r="BC151" s="56">
        <f t="shared" si="18"/>
        <v>2.7000000009138603E-3</v>
      </c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</row>
    <row r="152" spans="1:71" ht="31.2">
      <c r="A152" s="188"/>
      <c r="B152" s="191" t="s">
        <v>175</v>
      </c>
      <c r="C152" s="293"/>
      <c r="D152" s="158"/>
      <c r="E152" s="158"/>
      <c r="F152" s="158"/>
      <c r="G152" s="158"/>
      <c r="H152" s="158"/>
      <c r="I152" s="158"/>
      <c r="J152" s="114"/>
      <c r="K152" s="114">
        <f>K151+K148+K140+K137+K132+K129+K124+K108</f>
        <v>2442</v>
      </c>
      <c r="L152" s="114"/>
      <c r="M152" s="114">
        <f t="shared" ref="M152:N152" si="207">M151+M148+M140+M137+M132+M129+M124+M108</f>
        <v>466700</v>
      </c>
      <c r="N152" s="114">
        <f t="shared" si="207"/>
        <v>0</v>
      </c>
      <c r="O152" s="114"/>
      <c r="P152" s="114">
        <f t="shared" ref="P152:Q152" si="208">P151+P148+P140+P137+P132+P129+P124+P108</f>
        <v>0</v>
      </c>
      <c r="Q152" s="114">
        <f t="shared" si="208"/>
        <v>18</v>
      </c>
      <c r="R152" s="114"/>
      <c r="S152" s="114">
        <f>S151+S148+S140+S137+S132+S129+S124+S108</f>
        <v>9000</v>
      </c>
      <c r="T152" s="114"/>
      <c r="U152" s="114"/>
      <c r="V152" s="114">
        <f t="shared" ref="V152:W152" si="209">V151+V148+V140+V137+V132+V129+V124+V108</f>
        <v>0</v>
      </c>
      <c r="W152" s="114">
        <f t="shared" si="209"/>
        <v>0</v>
      </c>
      <c r="X152" s="114"/>
      <c r="Y152" s="114">
        <f t="shared" ref="Y152:Z152" si="210">Y151+Y148+Y140+Y137+Y132+Y129+Y124+Y108</f>
        <v>0</v>
      </c>
      <c r="Z152" s="115">
        <f t="shared" si="210"/>
        <v>10200</v>
      </c>
      <c r="AA152" s="115"/>
      <c r="AB152" s="115"/>
      <c r="AC152" s="115">
        <f t="shared" ref="AC152:AP152" si="211">AC151+AC148+AC140+AC137+AC132+AC129+AC124+AC108</f>
        <v>223049</v>
      </c>
      <c r="AD152" s="114">
        <f t="shared" si="211"/>
        <v>24092.09</v>
      </c>
      <c r="AE152" s="115">
        <f t="shared" si="211"/>
        <v>821.09999999999991</v>
      </c>
      <c r="AF152" s="115">
        <f t="shared" si="211"/>
        <v>476100</v>
      </c>
      <c r="AG152" s="115">
        <f t="shared" si="211"/>
        <v>0</v>
      </c>
      <c r="AH152" s="115">
        <f t="shared" si="211"/>
        <v>570668</v>
      </c>
      <c r="AI152" s="115">
        <f t="shared" si="211"/>
        <v>509026.25974025973</v>
      </c>
      <c r="AJ152" s="115">
        <f t="shared" si="211"/>
        <v>1148577.74974026</v>
      </c>
      <c r="AK152" s="115">
        <f t="shared" si="211"/>
        <v>264172.88244025968</v>
      </c>
      <c r="AL152" s="115">
        <f t="shared" si="211"/>
        <v>131110.15999999997</v>
      </c>
      <c r="AM152" s="115">
        <f t="shared" si="211"/>
        <v>0</v>
      </c>
      <c r="AN152" s="115">
        <f t="shared" si="211"/>
        <v>21504.97</v>
      </c>
      <c r="AO152" s="115">
        <f t="shared" si="211"/>
        <v>632.24</v>
      </c>
      <c r="AP152" s="115">
        <f t="shared" si="211"/>
        <v>377965.43</v>
      </c>
      <c r="AQ152" s="114"/>
      <c r="AR152" s="115">
        <f t="shared" ref="AR152:BB152" si="212">AR151+AR148+AR140+AR137+AR132+AR129+AR124+AR108</f>
        <v>175947.13</v>
      </c>
      <c r="AS152" s="115">
        <f t="shared" si="212"/>
        <v>6652.8</v>
      </c>
      <c r="AT152" s="115">
        <f t="shared" si="212"/>
        <v>160808.66000000003</v>
      </c>
      <c r="AU152" s="115">
        <f t="shared" si="212"/>
        <v>-933.59659999991914</v>
      </c>
      <c r="AV152" s="115">
        <f t="shared" si="212"/>
        <v>885340.46000000008</v>
      </c>
      <c r="AW152" s="192">
        <f t="shared" si="212"/>
        <v>0</v>
      </c>
      <c r="AX152" s="192">
        <f t="shared" si="212"/>
        <v>0</v>
      </c>
      <c r="AY152" s="115">
        <f t="shared" si="212"/>
        <v>264172.88244025968</v>
      </c>
      <c r="AZ152" s="115">
        <f t="shared" si="212"/>
        <v>240608.48961285711</v>
      </c>
      <c r="BA152" s="115">
        <f t="shared" si="212"/>
        <v>504781.37205311691</v>
      </c>
      <c r="BB152" s="115">
        <f t="shared" si="212"/>
        <v>0</v>
      </c>
      <c r="BC152" s="56">
        <f t="shared" si="18"/>
        <v>-935.59269999980461</v>
      </c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</row>
    <row r="153" spans="1:71" ht="13.8">
      <c r="A153" s="193"/>
      <c r="B153" s="194"/>
      <c r="C153" s="294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  <c r="AA153" s="295"/>
      <c r="AB153" s="295"/>
      <c r="AC153" s="295"/>
      <c r="AD153" s="195"/>
      <c r="AE153" s="195"/>
      <c r="AF153" s="195"/>
      <c r="AG153" s="195"/>
      <c r="AH153" s="195"/>
      <c r="AI153" s="295"/>
      <c r="AJ153" s="195"/>
      <c r="AK153" s="195"/>
      <c r="AL153" s="195"/>
      <c r="AM153" s="195"/>
      <c r="AN153" s="195"/>
      <c r="AO153" s="195"/>
      <c r="AP153" s="195"/>
      <c r="AQ153" s="195"/>
      <c r="AR153" s="195"/>
      <c r="AS153" s="195"/>
      <c r="AT153" s="195"/>
      <c r="AU153" s="195"/>
      <c r="AV153" s="195"/>
      <c r="AW153" s="195"/>
      <c r="AX153" s="195"/>
      <c r="AY153" s="196"/>
      <c r="AZ153" s="110"/>
      <c r="BA153" s="110"/>
      <c r="BB153" s="110"/>
      <c r="BC153" s="32">
        <f t="shared" si="18"/>
        <v>0</v>
      </c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</row>
    <row r="154" spans="1:71" ht="13.8">
      <c r="A154" s="124"/>
      <c r="B154" s="125" t="s">
        <v>176</v>
      </c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254"/>
      <c r="AB154" s="254"/>
      <c r="AC154" s="254"/>
      <c r="AD154" s="126"/>
      <c r="AE154" s="126"/>
      <c r="AF154" s="126"/>
      <c r="AG154" s="126"/>
      <c r="AH154" s="126"/>
      <c r="AI154" s="254"/>
      <c r="AJ154" s="126"/>
      <c r="AK154" s="126"/>
      <c r="AL154" s="126"/>
      <c r="AM154" s="126"/>
      <c r="AN154" s="126"/>
      <c r="AO154" s="126"/>
      <c r="AP154" s="126"/>
      <c r="AQ154" s="126"/>
      <c r="AR154" s="126"/>
      <c r="AS154" s="126"/>
      <c r="AT154" s="126"/>
      <c r="AU154" s="126"/>
      <c r="AV154" s="126"/>
      <c r="AW154" s="126"/>
      <c r="AX154" s="126"/>
      <c r="AY154" s="127"/>
      <c r="AZ154" s="127"/>
      <c r="BA154" s="127"/>
      <c r="BB154" s="127"/>
      <c r="BC154" s="32">
        <f t="shared" si="18"/>
        <v>0</v>
      </c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</row>
    <row r="155" spans="1:71" ht="13.8">
      <c r="A155" s="108"/>
      <c r="B155" s="7" t="s">
        <v>177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250"/>
      <c r="AB155" s="250"/>
      <c r="AC155" s="250"/>
      <c r="AD155" s="8"/>
      <c r="AE155" s="8"/>
      <c r="AF155" s="8"/>
      <c r="AG155" s="8"/>
      <c r="AH155" s="8"/>
      <c r="AI155" s="250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9"/>
      <c r="AZ155" s="9"/>
      <c r="BA155" s="9"/>
      <c r="BB155" s="9"/>
      <c r="BC155" s="32">
        <f t="shared" si="18"/>
        <v>0</v>
      </c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</row>
    <row r="156" spans="1:71" ht="13.8">
      <c r="A156" s="197"/>
      <c r="B156" s="198"/>
      <c r="C156" s="110"/>
      <c r="D156" s="110"/>
      <c r="E156" s="110"/>
      <c r="F156" s="110"/>
      <c r="G156" s="110"/>
      <c r="H156" s="110"/>
      <c r="I156" s="110"/>
      <c r="J156" s="110"/>
      <c r="K156" s="110"/>
      <c r="L156" s="109">
        <v>200</v>
      </c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252"/>
      <c r="AB156" s="252"/>
      <c r="AC156" s="252"/>
      <c r="AD156" s="110"/>
      <c r="AE156" s="110"/>
      <c r="AF156" s="22">
        <f t="shared" ref="AF156:AF157" si="213">M156+P156+S156+V156+Y156</f>
        <v>0</v>
      </c>
      <c r="AG156" s="110"/>
      <c r="AH156" s="110"/>
      <c r="AI156" s="252"/>
      <c r="AJ156" s="25">
        <f t="shared" ref="AJ156:AJ157" si="214">AH156+AI156</f>
        <v>0</v>
      </c>
      <c r="AK156" s="26">
        <f t="shared" ref="AK156:AK157" si="215">AJ156*23%</f>
        <v>0</v>
      </c>
      <c r="AL156" s="110"/>
      <c r="AM156" s="110"/>
      <c r="AN156" s="110"/>
      <c r="AO156" s="110"/>
      <c r="AP156" s="110"/>
      <c r="AQ156" s="110"/>
      <c r="AR156" s="110"/>
      <c r="AS156" s="110"/>
      <c r="AT156" s="110"/>
      <c r="AU156" s="27">
        <f t="shared" ref="AU156:AU157" si="216">AJ156-AK156-AL156-AT156-AN156-AR156-AM156</f>
        <v>0</v>
      </c>
      <c r="AV156" s="28">
        <f t="shared" ref="AV156:AV157" si="217">AL156+AM156+AN156+AR156+AT156+AS156</f>
        <v>0</v>
      </c>
      <c r="AW156" s="110"/>
      <c r="AX156" s="110"/>
      <c r="AY156" s="28">
        <f t="shared" ref="AY156:AY157" si="218">AJ156*23%</f>
        <v>0</v>
      </c>
      <c r="AZ156" s="29">
        <f>AJ156*H156%</f>
        <v>0</v>
      </c>
      <c r="BA156" s="30">
        <f t="shared" ref="BA156:BA157" si="219">AY156+AZ156</f>
        <v>0</v>
      </c>
      <c r="BB156" s="110"/>
      <c r="BC156" s="56">
        <f t="shared" si="18"/>
        <v>0</v>
      </c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</row>
    <row r="157" spans="1:71" ht="13.8">
      <c r="A157" s="197"/>
      <c r="B157" s="198"/>
      <c r="C157" s="110"/>
      <c r="D157" s="110"/>
      <c r="E157" s="110"/>
      <c r="F157" s="110"/>
      <c r="G157" s="110"/>
      <c r="H157" s="110"/>
      <c r="I157" s="110"/>
      <c r="J157" s="110"/>
      <c r="K157" s="110"/>
      <c r="L157" s="109">
        <v>200</v>
      </c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252"/>
      <c r="AB157" s="252"/>
      <c r="AC157" s="252"/>
      <c r="AD157" s="110"/>
      <c r="AE157" s="110"/>
      <c r="AF157" s="22">
        <f t="shared" si="213"/>
        <v>0</v>
      </c>
      <c r="AG157" s="110"/>
      <c r="AH157" s="110"/>
      <c r="AI157" s="252"/>
      <c r="AJ157" s="25">
        <f t="shared" si="214"/>
        <v>0</v>
      </c>
      <c r="AK157" s="26">
        <f t="shared" si="215"/>
        <v>0</v>
      </c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27">
        <f t="shared" si="216"/>
        <v>0</v>
      </c>
      <c r="AV157" s="28">
        <f t="shared" si="217"/>
        <v>0</v>
      </c>
      <c r="AW157" s="110"/>
      <c r="AX157" s="110"/>
      <c r="AY157" s="28">
        <f t="shared" si="218"/>
        <v>0</v>
      </c>
      <c r="AZ157" s="29">
        <f>AJ157*H157%</f>
        <v>0</v>
      </c>
      <c r="BA157" s="30">
        <f t="shared" si="219"/>
        <v>0</v>
      </c>
      <c r="BB157" s="110"/>
      <c r="BC157" s="56">
        <f t="shared" si="18"/>
        <v>0</v>
      </c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</row>
    <row r="158" spans="1:71" ht="13.8">
      <c r="A158" s="102"/>
      <c r="B158" s="103" t="s">
        <v>178</v>
      </c>
      <c r="C158" s="158"/>
      <c r="D158" s="158"/>
      <c r="E158" s="158"/>
      <c r="F158" s="158"/>
      <c r="G158" s="158"/>
      <c r="H158" s="158"/>
      <c r="I158" s="158"/>
      <c r="J158" s="104"/>
      <c r="K158" s="104">
        <f>K156+K157</f>
        <v>0</v>
      </c>
      <c r="L158" s="104"/>
      <c r="M158" s="104">
        <f t="shared" ref="M158:N158" si="220">M156+M157</f>
        <v>0</v>
      </c>
      <c r="N158" s="104">
        <f t="shared" si="220"/>
        <v>0</v>
      </c>
      <c r="O158" s="104"/>
      <c r="P158" s="104">
        <f t="shared" ref="P158:Q158" si="221">P156+P157</f>
        <v>0</v>
      </c>
      <c r="Q158" s="104">
        <f t="shared" si="221"/>
        <v>0</v>
      </c>
      <c r="R158" s="104"/>
      <c r="S158" s="104">
        <f>S156+S157</f>
        <v>0</v>
      </c>
      <c r="T158" s="104"/>
      <c r="U158" s="104"/>
      <c r="V158" s="104">
        <f t="shared" ref="V158:W158" si="222">V156+V157</f>
        <v>0</v>
      </c>
      <c r="W158" s="104">
        <f t="shared" si="222"/>
        <v>0</v>
      </c>
      <c r="X158" s="104"/>
      <c r="Y158" s="104">
        <f t="shared" ref="Y158:Z158" si="223">Y156+Y157</f>
        <v>0</v>
      </c>
      <c r="Z158" s="104">
        <f t="shared" si="223"/>
        <v>0</v>
      </c>
      <c r="AA158" s="112"/>
      <c r="AB158" s="112"/>
      <c r="AC158" s="112">
        <f t="shared" ref="AC158:AP158" si="224">AC156+AC157</f>
        <v>0</v>
      </c>
      <c r="AD158" s="104">
        <f t="shared" si="224"/>
        <v>0</v>
      </c>
      <c r="AE158" s="104">
        <f t="shared" si="224"/>
        <v>0</v>
      </c>
      <c r="AF158" s="112">
        <f t="shared" si="224"/>
        <v>0</v>
      </c>
      <c r="AG158" s="104">
        <f t="shared" si="224"/>
        <v>0</v>
      </c>
      <c r="AH158" s="104">
        <f t="shared" si="224"/>
        <v>0</v>
      </c>
      <c r="AI158" s="112">
        <f t="shared" si="224"/>
        <v>0</v>
      </c>
      <c r="AJ158" s="112">
        <f t="shared" si="224"/>
        <v>0</v>
      </c>
      <c r="AK158" s="112">
        <f t="shared" si="224"/>
        <v>0</v>
      </c>
      <c r="AL158" s="104">
        <f t="shared" si="224"/>
        <v>0</v>
      </c>
      <c r="AM158" s="104">
        <f t="shared" si="224"/>
        <v>0</v>
      </c>
      <c r="AN158" s="104">
        <f t="shared" si="224"/>
        <v>0</v>
      </c>
      <c r="AO158" s="104">
        <f t="shared" si="224"/>
        <v>0</v>
      </c>
      <c r="AP158" s="104">
        <f t="shared" si="224"/>
        <v>0</v>
      </c>
      <c r="AQ158" s="104"/>
      <c r="AR158" s="104">
        <f t="shared" ref="AR158:BB158" si="225">AR156+AR157</f>
        <v>0</v>
      </c>
      <c r="AS158" s="104">
        <f t="shared" si="225"/>
        <v>0</v>
      </c>
      <c r="AT158" s="104">
        <f t="shared" si="225"/>
        <v>0</v>
      </c>
      <c r="AU158" s="112">
        <f t="shared" si="225"/>
        <v>0</v>
      </c>
      <c r="AV158" s="112">
        <f t="shared" si="225"/>
        <v>0</v>
      </c>
      <c r="AW158" s="104">
        <f t="shared" si="225"/>
        <v>0</v>
      </c>
      <c r="AX158" s="104">
        <f t="shared" si="225"/>
        <v>0</v>
      </c>
      <c r="AY158" s="112">
        <f t="shared" si="225"/>
        <v>0</v>
      </c>
      <c r="AZ158" s="112">
        <f t="shared" si="225"/>
        <v>0</v>
      </c>
      <c r="BA158" s="112">
        <f t="shared" si="225"/>
        <v>0</v>
      </c>
      <c r="BB158" s="104">
        <f t="shared" si="225"/>
        <v>0</v>
      </c>
      <c r="BC158" s="56">
        <f t="shared" si="18"/>
        <v>0</v>
      </c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</row>
    <row r="159" spans="1:71" ht="15.6">
      <c r="A159" s="102"/>
      <c r="B159" s="103" t="s">
        <v>179</v>
      </c>
      <c r="C159" s="158"/>
      <c r="D159" s="158"/>
      <c r="E159" s="158"/>
      <c r="F159" s="158"/>
      <c r="G159" s="158"/>
      <c r="H159" s="158"/>
      <c r="I159" s="158"/>
      <c r="J159" s="114"/>
      <c r="K159" s="114">
        <f>K158</f>
        <v>0</v>
      </c>
      <c r="L159" s="114"/>
      <c r="M159" s="114">
        <f t="shared" ref="M159:N159" si="226">M158</f>
        <v>0</v>
      </c>
      <c r="N159" s="114">
        <f t="shared" si="226"/>
        <v>0</v>
      </c>
      <c r="O159" s="114"/>
      <c r="P159" s="114">
        <f t="shared" ref="P159:Q159" si="227">P158</f>
        <v>0</v>
      </c>
      <c r="Q159" s="114">
        <f t="shared" si="227"/>
        <v>0</v>
      </c>
      <c r="R159" s="114"/>
      <c r="S159" s="114">
        <f>S158</f>
        <v>0</v>
      </c>
      <c r="T159" s="114"/>
      <c r="U159" s="114"/>
      <c r="V159" s="114">
        <f t="shared" ref="V159:W159" si="228">V158</f>
        <v>0</v>
      </c>
      <c r="W159" s="114">
        <f t="shared" si="228"/>
        <v>0</v>
      </c>
      <c r="X159" s="114"/>
      <c r="Y159" s="114">
        <f t="shared" ref="Y159:Z159" si="229">Y158</f>
        <v>0</v>
      </c>
      <c r="Z159" s="114">
        <f t="shared" si="229"/>
        <v>0</v>
      </c>
      <c r="AA159" s="115"/>
      <c r="AB159" s="115"/>
      <c r="AC159" s="115">
        <f t="shared" ref="AC159:AP159" si="230">AC158</f>
        <v>0</v>
      </c>
      <c r="AD159" s="114">
        <f t="shared" si="230"/>
        <v>0</v>
      </c>
      <c r="AE159" s="114">
        <f t="shared" si="230"/>
        <v>0</v>
      </c>
      <c r="AF159" s="115">
        <f t="shared" si="230"/>
        <v>0</v>
      </c>
      <c r="AG159" s="114">
        <f t="shared" si="230"/>
        <v>0</v>
      </c>
      <c r="AH159" s="114">
        <f t="shared" si="230"/>
        <v>0</v>
      </c>
      <c r="AI159" s="115">
        <f t="shared" si="230"/>
        <v>0</v>
      </c>
      <c r="AJ159" s="115">
        <f t="shared" si="230"/>
        <v>0</v>
      </c>
      <c r="AK159" s="115">
        <f t="shared" si="230"/>
        <v>0</v>
      </c>
      <c r="AL159" s="114">
        <f t="shared" si="230"/>
        <v>0</v>
      </c>
      <c r="AM159" s="114">
        <f t="shared" si="230"/>
        <v>0</v>
      </c>
      <c r="AN159" s="114">
        <f t="shared" si="230"/>
        <v>0</v>
      </c>
      <c r="AO159" s="114">
        <f t="shared" si="230"/>
        <v>0</v>
      </c>
      <c r="AP159" s="114">
        <f t="shared" si="230"/>
        <v>0</v>
      </c>
      <c r="AQ159" s="114"/>
      <c r="AR159" s="114">
        <f t="shared" ref="AR159:BB159" si="231">AR158</f>
        <v>0</v>
      </c>
      <c r="AS159" s="114">
        <f t="shared" si="231"/>
        <v>0</v>
      </c>
      <c r="AT159" s="114">
        <f t="shared" si="231"/>
        <v>0</v>
      </c>
      <c r="AU159" s="115">
        <f t="shared" si="231"/>
        <v>0</v>
      </c>
      <c r="AV159" s="115">
        <f t="shared" si="231"/>
        <v>0</v>
      </c>
      <c r="AW159" s="114">
        <f t="shared" si="231"/>
        <v>0</v>
      </c>
      <c r="AX159" s="114">
        <f t="shared" si="231"/>
        <v>0</v>
      </c>
      <c r="AY159" s="115">
        <f t="shared" si="231"/>
        <v>0</v>
      </c>
      <c r="AZ159" s="115">
        <f t="shared" si="231"/>
        <v>0</v>
      </c>
      <c r="BA159" s="115">
        <f t="shared" si="231"/>
        <v>0</v>
      </c>
      <c r="BB159" s="114">
        <f t="shared" si="231"/>
        <v>0</v>
      </c>
      <c r="BC159" s="56">
        <f t="shared" si="18"/>
        <v>0</v>
      </c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</row>
    <row r="160" spans="1:71" ht="13.8">
      <c r="A160" s="199"/>
      <c r="B160" s="1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19"/>
      <c r="AB160" s="219"/>
      <c r="AC160" s="219"/>
      <c r="AD160" s="200"/>
      <c r="AE160" s="200"/>
      <c r="AF160" s="200"/>
      <c r="AG160" s="200"/>
      <c r="AH160" s="200"/>
      <c r="AI160" s="219"/>
      <c r="AJ160" s="200"/>
      <c r="AK160" s="200"/>
      <c r="AL160" s="200"/>
      <c r="AM160" s="200"/>
      <c r="AN160" s="200"/>
      <c r="AO160" s="200"/>
      <c r="AP160" s="200"/>
      <c r="AQ160" s="200"/>
      <c r="AR160" s="200"/>
      <c r="AS160" s="200"/>
      <c r="AT160" s="200"/>
      <c r="AU160" s="200"/>
      <c r="AV160" s="200"/>
      <c r="AW160" s="200"/>
      <c r="AX160" s="200"/>
      <c r="AY160" s="110"/>
      <c r="AZ160" s="110"/>
      <c r="BA160" s="110"/>
      <c r="BB160" s="110"/>
      <c r="BC160" s="32">
        <f t="shared" si="18"/>
        <v>0</v>
      </c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</row>
    <row r="161" spans="1:71" ht="13.8">
      <c r="A161" s="124"/>
      <c r="B161" s="125" t="s">
        <v>180</v>
      </c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254"/>
      <c r="AB161" s="254"/>
      <c r="AC161" s="254"/>
      <c r="AD161" s="126"/>
      <c r="AE161" s="126"/>
      <c r="AF161" s="126"/>
      <c r="AG161" s="126"/>
      <c r="AH161" s="126"/>
      <c r="AI161" s="254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/>
      <c r="AT161" s="126"/>
      <c r="AU161" s="126"/>
      <c r="AV161" s="126"/>
      <c r="AW161" s="126"/>
      <c r="AX161" s="126"/>
      <c r="AY161" s="201"/>
      <c r="AZ161" s="201"/>
      <c r="BA161" s="201"/>
      <c r="BB161" s="201"/>
      <c r="BC161" s="32">
        <f t="shared" si="18"/>
        <v>0</v>
      </c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</row>
    <row r="162" spans="1:71" ht="13.8">
      <c r="A162" s="108"/>
      <c r="B162" s="6" t="s">
        <v>181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296"/>
      <c r="AB162" s="296"/>
      <c r="AC162" s="296"/>
      <c r="AD162" s="10"/>
      <c r="AE162" s="10"/>
      <c r="AF162" s="10"/>
      <c r="AG162" s="10"/>
      <c r="AH162" s="10"/>
      <c r="AI162" s="296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32">
        <f t="shared" si="18"/>
        <v>0</v>
      </c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</row>
    <row r="163" spans="1:71" ht="13.8">
      <c r="A163" s="180">
        <v>1</v>
      </c>
      <c r="B163" s="288" t="s">
        <v>182</v>
      </c>
      <c r="C163" s="38" t="s">
        <v>40</v>
      </c>
      <c r="D163" s="77" t="s">
        <v>87</v>
      </c>
      <c r="E163" s="77">
        <v>8700</v>
      </c>
      <c r="F163" s="134">
        <v>1</v>
      </c>
      <c r="G163" s="109">
        <v>8700</v>
      </c>
      <c r="H163" s="109">
        <v>22</v>
      </c>
      <c r="I163" s="109" t="s">
        <v>41</v>
      </c>
      <c r="J163" s="40"/>
      <c r="K163" s="40">
        <v>117</v>
      </c>
      <c r="L163" s="109">
        <v>200</v>
      </c>
      <c r="M163" s="110">
        <f>K163*L163</f>
        <v>23400</v>
      </c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252"/>
      <c r="AB163" s="252"/>
      <c r="AC163" s="252"/>
      <c r="AD163" s="110"/>
      <c r="AE163" s="110"/>
      <c r="AF163" s="22">
        <f t="shared" ref="AF163:AF164" si="232">M163+P163+S163+V163+Y163+Z163</f>
        <v>23400</v>
      </c>
      <c r="AG163" s="97"/>
      <c r="AH163" s="258">
        <f>8700+AE163</f>
        <v>8700</v>
      </c>
      <c r="AI163" s="50">
        <f>(AP163*100)/77</f>
        <v>21689.610389610389</v>
      </c>
      <c r="AJ163" s="25">
        <f t="shared" ref="AJ163:AJ165" si="233">AH163+AI163</f>
        <v>30389.610389610389</v>
      </c>
      <c r="AK163" s="26">
        <f t="shared" ref="AK163:AK165" si="234">AJ163*23%</f>
        <v>6989.6103896103896</v>
      </c>
      <c r="AL163" s="51">
        <v>3349.5</v>
      </c>
      <c r="AM163" s="52"/>
      <c r="AN163" s="52"/>
      <c r="AO163" s="47"/>
      <c r="AP163" s="53">
        <f>AF163-AL163-AT163</f>
        <v>16701</v>
      </c>
      <c r="AQ163" s="53"/>
      <c r="AR163" s="53"/>
      <c r="AS163" s="51"/>
      <c r="AT163" s="51">
        <v>3349.5</v>
      </c>
      <c r="AU163" s="27">
        <f>AJ163-AK163-AL163-AT163-AN163-AR163-AM163-AO163-AP163</f>
        <v>0</v>
      </c>
      <c r="AV163" s="28">
        <f t="shared" ref="AV163:AV164" si="235">AL163+AM163+AN163+AR163+AT163+AS163+AO163</f>
        <v>6699</v>
      </c>
      <c r="AW163" s="110"/>
      <c r="AX163" s="110"/>
      <c r="AY163" s="28">
        <f t="shared" ref="AY163:AY165" si="236">AJ163*23%</f>
        <v>6989.6103896103896</v>
      </c>
      <c r="AZ163" s="29">
        <f>AJ163*H163%</f>
        <v>6685.7142857142853</v>
      </c>
      <c r="BA163" s="30">
        <f t="shared" ref="BA163:BA165" si="237">AY163+AZ163</f>
        <v>13675.324675324675</v>
      </c>
      <c r="BB163" s="31">
        <f t="shared" ref="BB163:BB165" si="238">BA163-AZ163-AK163</f>
        <v>0</v>
      </c>
      <c r="BC163" s="229">
        <f t="shared" si="18"/>
        <v>16701</v>
      </c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</row>
    <row r="164" spans="1:71" ht="13.8">
      <c r="A164" s="180">
        <v>2</v>
      </c>
      <c r="B164" s="297" t="s">
        <v>264</v>
      </c>
      <c r="C164" s="35" t="s">
        <v>40</v>
      </c>
      <c r="D164" s="205" t="s">
        <v>44</v>
      </c>
      <c r="E164" s="77">
        <v>8700</v>
      </c>
      <c r="F164" s="160">
        <v>46113</v>
      </c>
      <c r="G164" s="42">
        <f>8647/4</f>
        <v>2161.75</v>
      </c>
      <c r="H164" s="109">
        <v>22</v>
      </c>
      <c r="I164" s="109" t="s">
        <v>41</v>
      </c>
      <c r="J164" s="40"/>
      <c r="K164" s="40"/>
      <c r="L164" s="109">
        <v>200</v>
      </c>
      <c r="M164" s="110">
        <f>K164*L164</f>
        <v>0</v>
      </c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252"/>
      <c r="AB164" s="252"/>
      <c r="AC164" s="252"/>
      <c r="AD164" s="110"/>
      <c r="AE164" s="110"/>
      <c r="AF164" s="22">
        <f t="shared" si="232"/>
        <v>0</v>
      </c>
      <c r="AG164" s="97"/>
      <c r="AH164" s="258">
        <f>1746.16+AE164</f>
        <v>1746.16</v>
      </c>
      <c r="AI164" s="50"/>
      <c r="AJ164" s="25">
        <f t="shared" si="233"/>
        <v>1746.16</v>
      </c>
      <c r="AK164" s="26">
        <f t="shared" si="234"/>
        <v>401.61680000000001</v>
      </c>
      <c r="AL164" s="51">
        <v>474.55</v>
      </c>
      <c r="AM164" s="52"/>
      <c r="AN164" s="52"/>
      <c r="AO164" s="47"/>
      <c r="AP164" s="53"/>
      <c r="AQ164" s="53"/>
      <c r="AR164" s="53"/>
      <c r="AS164" s="51"/>
      <c r="AT164" s="51">
        <v>869.99</v>
      </c>
      <c r="AU164" s="27">
        <f>AJ164-AK164-AL164-AT164-AN164-AR164-AM164-AO164</f>
        <v>3.200000000106229E-3</v>
      </c>
      <c r="AV164" s="28">
        <f t="shared" si="235"/>
        <v>1344.54</v>
      </c>
      <c r="AW164" s="110"/>
      <c r="AX164" s="110"/>
      <c r="AY164" s="28">
        <f t="shared" si="236"/>
        <v>401.61680000000001</v>
      </c>
      <c r="AZ164" s="29">
        <f>AJ164*H164%</f>
        <v>384.15520000000004</v>
      </c>
      <c r="BA164" s="30">
        <f t="shared" si="237"/>
        <v>785.77200000000005</v>
      </c>
      <c r="BB164" s="31">
        <f t="shared" si="238"/>
        <v>0</v>
      </c>
      <c r="BC164" s="224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</row>
    <row r="165" spans="1:71" ht="13.8">
      <c r="A165" s="180">
        <v>3</v>
      </c>
      <c r="B165" s="287" t="s">
        <v>183</v>
      </c>
      <c r="C165" s="38" t="s">
        <v>40</v>
      </c>
      <c r="D165" s="173" t="s">
        <v>105</v>
      </c>
      <c r="E165" s="134">
        <v>8700</v>
      </c>
      <c r="F165" s="135">
        <v>46054</v>
      </c>
      <c r="G165" s="110">
        <f>E165/2</f>
        <v>4350</v>
      </c>
      <c r="H165" s="109">
        <v>22</v>
      </c>
      <c r="I165" s="109" t="s">
        <v>41</v>
      </c>
      <c r="J165" s="109">
        <v>20000</v>
      </c>
      <c r="K165" s="110"/>
      <c r="L165" s="109">
        <v>200</v>
      </c>
      <c r="M165" s="110">
        <f>K165*L165</f>
        <v>0</v>
      </c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51"/>
      <c r="AB165" s="51"/>
      <c r="AC165" s="84">
        <v>23718</v>
      </c>
      <c r="AD165" s="110"/>
      <c r="AE165" s="110"/>
      <c r="AF165" s="22"/>
      <c r="AG165" s="110"/>
      <c r="AH165" s="92">
        <f>2256.59+AC165</f>
        <v>25974.59</v>
      </c>
      <c r="AI165" s="252"/>
      <c r="AJ165" s="25">
        <f t="shared" si="233"/>
        <v>25974.59</v>
      </c>
      <c r="AK165" s="26">
        <f t="shared" si="234"/>
        <v>5974.1557000000003</v>
      </c>
      <c r="AL165" s="109">
        <v>868.79</v>
      </c>
      <c r="AM165" s="109"/>
      <c r="AN165" s="110"/>
      <c r="AO165" s="110"/>
      <c r="AP165" s="40"/>
      <c r="AQ165" s="162"/>
      <c r="AR165" s="162">
        <v>18262.86</v>
      </c>
      <c r="AS165" s="110"/>
      <c r="AT165" s="40">
        <v>868.78</v>
      </c>
      <c r="AU165" s="27">
        <f>AJ165-AK165-AL165-AT165-AN165-AR165-AM165</f>
        <v>4.3000000005122274E-3</v>
      </c>
      <c r="AV165" s="28">
        <f>AL165+AM165+AN165+AR165+AT165+AS165</f>
        <v>20000.43</v>
      </c>
      <c r="AW165" s="110"/>
      <c r="AX165" s="110"/>
      <c r="AY165" s="28">
        <f t="shared" si="236"/>
        <v>5974.1557000000003</v>
      </c>
      <c r="AZ165" s="29">
        <f>AJ165*H165%</f>
        <v>5714.4098000000004</v>
      </c>
      <c r="BA165" s="30">
        <f t="shared" si="237"/>
        <v>11688.565500000001</v>
      </c>
      <c r="BB165" s="31">
        <f t="shared" si="238"/>
        <v>0</v>
      </c>
      <c r="BC165" s="229">
        <f t="shared" ref="BC165:BC186" si="239">AJ165-AK165-AV165</f>
        <v>4.3000000005122274E-3</v>
      </c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</row>
    <row r="166" spans="1:71" ht="13.8">
      <c r="A166" s="102"/>
      <c r="B166" s="202" t="s">
        <v>184</v>
      </c>
      <c r="C166" s="105"/>
      <c r="D166" s="203"/>
      <c r="E166" s="203"/>
      <c r="F166" s="203"/>
      <c r="G166" s="158"/>
      <c r="H166" s="158"/>
      <c r="I166" s="158"/>
      <c r="J166" s="104"/>
      <c r="K166" s="104">
        <f>K163+K165+K164</f>
        <v>117</v>
      </c>
      <c r="L166" s="104"/>
      <c r="M166" s="104">
        <f t="shared" ref="M166:N166" si="240">M163+M165+M164</f>
        <v>23400</v>
      </c>
      <c r="N166" s="104">
        <f t="shared" si="240"/>
        <v>0</v>
      </c>
      <c r="O166" s="104"/>
      <c r="P166" s="104">
        <f t="shared" ref="P166:Q166" si="241">P163+P165+P164</f>
        <v>0</v>
      </c>
      <c r="Q166" s="104">
        <f t="shared" si="241"/>
        <v>0</v>
      </c>
      <c r="R166" s="104"/>
      <c r="S166" s="104">
        <f>S163+S165+S164</f>
        <v>0</v>
      </c>
      <c r="T166" s="104"/>
      <c r="U166" s="104"/>
      <c r="V166" s="104">
        <f t="shared" ref="V166:W166" si="242">V163+V165+V164</f>
        <v>0</v>
      </c>
      <c r="W166" s="104">
        <f t="shared" si="242"/>
        <v>0</v>
      </c>
      <c r="X166" s="104"/>
      <c r="Y166" s="104">
        <f t="shared" ref="Y166:Z166" si="243">Y163+Y165+Y164</f>
        <v>0</v>
      </c>
      <c r="Z166" s="104">
        <f t="shared" si="243"/>
        <v>0</v>
      </c>
      <c r="AA166" s="104"/>
      <c r="AB166" s="112">
        <f t="shared" ref="AB166:AP166" si="244">AB163+AB165+AB164</f>
        <v>0</v>
      </c>
      <c r="AC166" s="112">
        <f t="shared" si="244"/>
        <v>23718</v>
      </c>
      <c r="AD166" s="104">
        <f t="shared" si="244"/>
        <v>0</v>
      </c>
      <c r="AE166" s="104">
        <f t="shared" si="244"/>
        <v>0</v>
      </c>
      <c r="AF166" s="112">
        <f t="shared" si="244"/>
        <v>23400</v>
      </c>
      <c r="AG166" s="104">
        <f t="shared" si="244"/>
        <v>0</v>
      </c>
      <c r="AH166" s="112">
        <f t="shared" si="244"/>
        <v>36420.75</v>
      </c>
      <c r="AI166" s="112">
        <f t="shared" si="244"/>
        <v>21689.610389610389</v>
      </c>
      <c r="AJ166" s="112">
        <f t="shared" si="244"/>
        <v>58110.360389610389</v>
      </c>
      <c r="AK166" s="112">
        <f t="shared" si="244"/>
        <v>13365.38288961039</v>
      </c>
      <c r="AL166" s="112">
        <f t="shared" si="244"/>
        <v>4692.84</v>
      </c>
      <c r="AM166" s="112">
        <f t="shared" si="244"/>
        <v>0</v>
      </c>
      <c r="AN166" s="112">
        <f t="shared" si="244"/>
        <v>0</v>
      </c>
      <c r="AO166" s="112">
        <f t="shared" si="244"/>
        <v>0</v>
      </c>
      <c r="AP166" s="112">
        <f t="shared" si="244"/>
        <v>16701</v>
      </c>
      <c r="AQ166" s="104"/>
      <c r="AR166" s="112">
        <f t="shared" ref="AR166:BB166" si="245">AR163+AR165+AR164</f>
        <v>18262.86</v>
      </c>
      <c r="AS166" s="112">
        <f t="shared" si="245"/>
        <v>0</v>
      </c>
      <c r="AT166" s="112">
        <f t="shared" si="245"/>
        <v>5088.2699999999995</v>
      </c>
      <c r="AU166" s="112">
        <f t="shared" si="245"/>
        <v>7.5000000006184564E-3</v>
      </c>
      <c r="AV166" s="112">
        <f t="shared" si="245"/>
        <v>28043.97</v>
      </c>
      <c r="AW166" s="104">
        <f t="shared" si="245"/>
        <v>0</v>
      </c>
      <c r="AX166" s="104">
        <f t="shared" si="245"/>
        <v>0</v>
      </c>
      <c r="AY166" s="112">
        <f t="shared" si="245"/>
        <v>13365.38288961039</v>
      </c>
      <c r="AZ166" s="112">
        <f t="shared" si="245"/>
        <v>12784.279285714285</v>
      </c>
      <c r="BA166" s="112">
        <f t="shared" si="245"/>
        <v>26149.662175324676</v>
      </c>
      <c r="BB166" s="112">
        <f t="shared" si="245"/>
        <v>0</v>
      </c>
      <c r="BC166" s="56">
        <f t="shared" si="239"/>
        <v>16701.0075</v>
      </c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</row>
    <row r="167" spans="1:71" ht="13.8">
      <c r="A167" s="108"/>
      <c r="B167" s="7" t="s">
        <v>185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250"/>
      <c r="AB167" s="250"/>
      <c r="AC167" s="250"/>
      <c r="AD167" s="8"/>
      <c r="AE167" s="8"/>
      <c r="AF167" s="119"/>
      <c r="AG167" s="8"/>
      <c r="AH167" s="8"/>
      <c r="AI167" s="250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9"/>
      <c r="AZ167" s="9"/>
      <c r="BA167" s="9"/>
      <c r="BB167" s="9"/>
      <c r="BC167" s="32">
        <f t="shared" si="239"/>
        <v>0</v>
      </c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</row>
    <row r="168" spans="1:71" ht="13.8">
      <c r="A168" s="180">
        <v>1</v>
      </c>
      <c r="B168" s="297" t="s">
        <v>186</v>
      </c>
      <c r="C168" s="35" t="s">
        <v>40</v>
      </c>
      <c r="D168" s="204" t="s">
        <v>80</v>
      </c>
      <c r="E168" s="134">
        <v>8700</v>
      </c>
      <c r="F168" s="135">
        <v>46054</v>
      </c>
      <c r="G168" s="110">
        <f>E168/2</f>
        <v>4350</v>
      </c>
      <c r="H168" s="109">
        <v>22</v>
      </c>
      <c r="I168" s="109" t="s">
        <v>41</v>
      </c>
      <c r="J168" s="40"/>
      <c r="K168" s="40">
        <v>108</v>
      </c>
      <c r="L168" s="109">
        <v>200</v>
      </c>
      <c r="M168" s="110">
        <f>K168*L168</f>
        <v>21600</v>
      </c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326"/>
      <c r="AB168" s="326"/>
      <c r="AC168" s="326"/>
      <c r="AD168" s="110"/>
      <c r="AE168" s="110"/>
      <c r="AF168" s="22">
        <f t="shared" ref="AF168:AF173" si="246">M168+P168+S168+V168+Y168+Z168+AE168</f>
        <v>21600</v>
      </c>
      <c r="AG168" s="97"/>
      <c r="AH168" s="258">
        <v>4519.4799999999996</v>
      </c>
      <c r="AI168" s="50">
        <f>(AP168*100)/77</f>
        <v>23532.467532467534</v>
      </c>
      <c r="AJ168" s="25">
        <f t="shared" ref="AJ168:AJ174" si="247">AH168+AI168</f>
        <v>28051.947532467533</v>
      </c>
      <c r="AK168" s="26">
        <f t="shared" ref="AK168:AK174" si="248">AJ168*23%</f>
        <v>6451.9479324675331</v>
      </c>
      <c r="AL168" s="51">
        <v>1740</v>
      </c>
      <c r="AM168" s="52"/>
      <c r="AN168" s="52"/>
      <c r="AO168" s="53"/>
      <c r="AP168" s="53">
        <f>AF168-AL168-AT168</f>
        <v>18120</v>
      </c>
      <c r="AQ168" s="53"/>
      <c r="AR168" s="53"/>
      <c r="AS168" s="51"/>
      <c r="AT168" s="51">
        <v>1740</v>
      </c>
      <c r="AU168" s="27">
        <f>AJ168-AK168-AL168-AT168-AN168-AR168-AM168-AP168</f>
        <v>-4.0000000080908649E-4</v>
      </c>
      <c r="AV168" s="28">
        <f t="shared" ref="AV168:AV174" si="249">AL168+AM168+AN168+AR168+AT168+AS168</f>
        <v>3480</v>
      </c>
      <c r="AW168" s="110"/>
      <c r="AX168" s="110"/>
      <c r="AY168" s="28">
        <f t="shared" ref="AY168:AY174" si="250">AJ168*23%</f>
        <v>6451.9479324675331</v>
      </c>
      <c r="AZ168" s="29">
        <f t="shared" ref="AZ168:AZ174" si="251">AJ168*H168%</f>
        <v>6171.428457142857</v>
      </c>
      <c r="BA168" s="30">
        <f t="shared" ref="BA168:BA174" si="252">AY168+AZ168</f>
        <v>12623.37638961039</v>
      </c>
      <c r="BB168" s="31">
        <f t="shared" ref="BB168:BB174" si="253">BA168-AZ168-AK168</f>
        <v>0</v>
      </c>
      <c r="BC168" s="229">
        <f t="shared" si="239"/>
        <v>18119.999599999999</v>
      </c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</row>
    <row r="169" spans="1:71" ht="27.6">
      <c r="A169" s="171" t="s">
        <v>42</v>
      </c>
      <c r="B169" s="289" t="s">
        <v>265</v>
      </c>
      <c r="C169" s="35" t="s">
        <v>40</v>
      </c>
      <c r="D169" s="205" t="s">
        <v>44</v>
      </c>
      <c r="E169" s="77">
        <v>8700</v>
      </c>
      <c r="F169" s="160">
        <v>46113</v>
      </c>
      <c r="G169" s="42">
        <f>8647/4</f>
        <v>2161.75</v>
      </c>
      <c r="H169" s="109">
        <v>22</v>
      </c>
      <c r="I169" s="109" t="s">
        <v>41</v>
      </c>
      <c r="J169" s="110"/>
      <c r="K169" s="110"/>
      <c r="L169" s="109">
        <v>200</v>
      </c>
      <c r="M169" s="110">
        <f>K169*L169</f>
        <v>0</v>
      </c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252"/>
      <c r="AB169" s="252"/>
      <c r="AC169" s="252"/>
      <c r="AD169" s="110"/>
      <c r="AE169" s="110"/>
      <c r="AF169" s="22">
        <f t="shared" si="246"/>
        <v>0</v>
      </c>
      <c r="AG169" s="97"/>
      <c r="AH169" s="258">
        <v>2702.51</v>
      </c>
      <c r="AI169" s="46"/>
      <c r="AJ169" s="25">
        <f t="shared" si="247"/>
        <v>2702.51</v>
      </c>
      <c r="AK169" s="26">
        <f t="shared" si="248"/>
        <v>621.57730000000004</v>
      </c>
      <c r="AL169" s="51">
        <v>1040.46</v>
      </c>
      <c r="AM169" s="52"/>
      <c r="AN169" s="52"/>
      <c r="AO169" s="53"/>
      <c r="AP169" s="53"/>
      <c r="AQ169" s="53"/>
      <c r="AR169" s="53"/>
      <c r="AS169" s="51"/>
      <c r="AT169" s="51">
        <v>1040.47</v>
      </c>
      <c r="AU169" s="27">
        <f t="shared" ref="AU169:AU174" si="254">AJ169-AK169-AL169-AT169-AN169-AR169-AM169</f>
        <v>2.7000000002317393E-3</v>
      </c>
      <c r="AV169" s="28">
        <f t="shared" si="249"/>
        <v>2080.9300000000003</v>
      </c>
      <c r="AW169" s="110"/>
      <c r="AX169" s="110"/>
      <c r="AY169" s="28">
        <f t="shared" si="250"/>
        <v>621.57730000000004</v>
      </c>
      <c r="AZ169" s="29">
        <f t="shared" si="251"/>
        <v>594.55220000000008</v>
      </c>
      <c r="BA169" s="30">
        <f t="shared" si="252"/>
        <v>1216.1295</v>
      </c>
      <c r="BB169" s="31">
        <f t="shared" si="253"/>
        <v>0</v>
      </c>
      <c r="BC169" s="229">
        <f t="shared" si="239"/>
        <v>2.7000000000043656E-3</v>
      </c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</row>
    <row r="170" spans="1:71" ht="13.8">
      <c r="A170" s="171" t="s">
        <v>148</v>
      </c>
      <c r="B170" s="298" t="s">
        <v>187</v>
      </c>
      <c r="C170" s="35" t="s">
        <v>40</v>
      </c>
      <c r="D170" s="206" t="s">
        <v>58</v>
      </c>
      <c r="E170" s="109">
        <v>8700</v>
      </c>
      <c r="F170" s="109">
        <v>1</v>
      </c>
      <c r="G170" s="101">
        <v>8700</v>
      </c>
      <c r="H170" s="165">
        <v>8.41</v>
      </c>
      <c r="I170" s="109" t="s">
        <v>37</v>
      </c>
      <c r="J170" s="110"/>
      <c r="K170" s="110"/>
      <c r="L170" s="109">
        <v>200</v>
      </c>
      <c r="M170" s="110">
        <f>K170*L170</f>
        <v>0</v>
      </c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252"/>
      <c r="AB170" s="252"/>
      <c r="AC170" s="252"/>
      <c r="AD170" s="109"/>
      <c r="AE170" s="110"/>
      <c r="AF170" s="22">
        <f t="shared" si="246"/>
        <v>0</v>
      </c>
      <c r="AG170" s="97"/>
      <c r="AH170" s="258">
        <v>8700</v>
      </c>
      <c r="AI170" s="46"/>
      <c r="AJ170" s="25">
        <f t="shared" si="247"/>
        <v>8700</v>
      </c>
      <c r="AK170" s="26">
        <f t="shared" si="248"/>
        <v>2001</v>
      </c>
      <c r="AL170" s="51">
        <v>3349.5</v>
      </c>
      <c r="AM170" s="51"/>
      <c r="AN170" s="51"/>
      <c r="AO170" s="53"/>
      <c r="AP170" s="53"/>
      <c r="AQ170" s="53"/>
      <c r="AR170" s="53"/>
      <c r="AS170" s="51"/>
      <c r="AT170" s="51">
        <v>3349.5</v>
      </c>
      <c r="AU170" s="27">
        <f t="shared" si="254"/>
        <v>0</v>
      </c>
      <c r="AV170" s="28">
        <f t="shared" si="249"/>
        <v>6699</v>
      </c>
      <c r="AW170" s="110"/>
      <c r="AX170" s="110"/>
      <c r="AY170" s="28">
        <f t="shared" si="250"/>
        <v>2001</v>
      </c>
      <c r="AZ170" s="29">
        <f t="shared" si="251"/>
        <v>731.67000000000007</v>
      </c>
      <c r="BA170" s="30">
        <f t="shared" si="252"/>
        <v>2732.67</v>
      </c>
      <c r="BB170" s="31">
        <f t="shared" si="253"/>
        <v>0</v>
      </c>
      <c r="BC170" s="229">
        <f t="shared" si="239"/>
        <v>0</v>
      </c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</row>
    <row r="171" spans="1:71" ht="13.8">
      <c r="A171" s="171" t="s">
        <v>150</v>
      </c>
      <c r="B171" s="332" t="s">
        <v>226</v>
      </c>
      <c r="C171" s="35" t="s">
        <v>40</v>
      </c>
      <c r="D171" s="204" t="s">
        <v>80</v>
      </c>
      <c r="E171" s="134">
        <v>8700</v>
      </c>
      <c r="F171" s="134">
        <v>1</v>
      </c>
      <c r="G171" s="109">
        <v>8700</v>
      </c>
      <c r="H171" s="109">
        <v>22</v>
      </c>
      <c r="I171" s="109" t="s">
        <v>41</v>
      </c>
      <c r="J171" s="109"/>
      <c r="K171" s="110"/>
      <c r="L171" s="109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51"/>
      <c r="AB171" s="51"/>
      <c r="AC171" s="51"/>
      <c r="AD171" s="110"/>
      <c r="AE171" s="110"/>
      <c r="AF171" s="22">
        <f t="shared" si="246"/>
        <v>0</v>
      </c>
      <c r="AG171" s="110"/>
      <c r="AH171" s="92">
        <v>8700</v>
      </c>
      <c r="AI171" s="252"/>
      <c r="AJ171" s="25">
        <f t="shared" si="247"/>
        <v>8700</v>
      </c>
      <c r="AK171" s="26">
        <f t="shared" si="248"/>
        <v>2001</v>
      </c>
      <c r="AL171" s="109">
        <v>3349.5</v>
      </c>
      <c r="AM171" s="109"/>
      <c r="AN171" s="110"/>
      <c r="AO171" s="53"/>
      <c r="AP171" s="53"/>
      <c r="AQ171" s="69"/>
      <c r="AR171" s="69"/>
      <c r="AS171" s="110"/>
      <c r="AT171" s="40">
        <v>3349.5</v>
      </c>
      <c r="AU171" s="27">
        <f t="shared" si="254"/>
        <v>0</v>
      </c>
      <c r="AV171" s="28">
        <f t="shared" si="249"/>
        <v>6699</v>
      </c>
      <c r="AW171" s="110"/>
      <c r="AX171" s="110"/>
      <c r="AY171" s="28">
        <f t="shared" si="250"/>
        <v>2001</v>
      </c>
      <c r="AZ171" s="29">
        <f t="shared" si="251"/>
        <v>1914</v>
      </c>
      <c r="BA171" s="30">
        <f t="shared" si="252"/>
        <v>3915</v>
      </c>
      <c r="BB171" s="31">
        <f t="shared" si="253"/>
        <v>0</v>
      </c>
      <c r="BC171" s="229">
        <f t="shared" si="239"/>
        <v>0</v>
      </c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</row>
    <row r="172" spans="1:71" ht="13.8">
      <c r="A172" s="171"/>
      <c r="B172" s="332" t="s">
        <v>266</v>
      </c>
      <c r="C172" s="35" t="s">
        <v>40</v>
      </c>
      <c r="D172" s="204" t="s">
        <v>80</v>
      </c>
      <c r="E172" s="134">
        <v>8700</v>
      </c>
      <c r="F172" s="160">
        <v>46113</v>
      </c>
      <c r="G172" s="42">
        <f t="shared" ref="G172:G173" si="255">8647/4</f>
        <v>2161.75</v>
      </c>
      <c r="H172" s="109">
        <v>22</v>
      </c>
      <c r="I172" s="109" t="s">
        <v>41</v>
      </c>
      <c r="J172" s="109"/>
      <c r="K172" s="110"/>
      <c r="L172" s="109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51"/>
      <c r="AB172" s="51"/>
      <c r="AC172" s="51"/>
      <c r="AD172" s="110"/>
      <c r="AE172" s="110"/>
      <c r="AF172" s="22">
        <f t="shared" si="246"/>
        <v>0</v>
      </c>
      <c r="AG172" s="110"/>
      <c r="AH172" s="92">
        <v>1951.59</v>
      </c>
      <c r="AI172" s="252"/>
      <c r="AJ172" s="25">
        <f t="shared" si="247"/>
        <v>1951.59</v>
      </c>
      <c r="AK172" s="26">
        <f t="shared" si="248"/>
        <v>448.8657</v>
      </c>
      <c r="AL172" s="109">
        <v>632.72</v>
      </c>
      <c r="AM172" s="109"/>
      <c r="AN172" s="110"/>
      <c r="AO172" s="53"/>
      <c r="AP172" s="53"/>
      <c r="AQ172" s="69"/>
      <c r="AR172" s="69"/>
      <c r="AS172" s="110"/>
      <c r="AT172" s="40">
        <v>870</v>
      </c>
      <c r="AU172" s="27">
        <f t="shared" si="254"/>
        <v>4.2999999998301064E-3</v>
      </c>
      <c r="AV172" s="28">
        <f t="shared" si="249"/>
        <v>1502.72</v>
      </c>
      <c r="AW172" s="110"/>
      <c r="AX172" s="110"/>
      <c r="AY172" s="28">
        <f t="shared" si="250"/>
        <v>448.8657</v>
      </c>
      <c r="AZ172" s="29">
        <f t="shared" si="251"/>
        <v>429.34979999999996</v>
      </c>
      <c r="BA172" s="30">
        <f t="shared" si="252"/>
        <v>878.21550000000002</v>
      </c>
      <c r="BB172" s="31">
        <f t="shared" si="253"/>
        <v>0</v>
      </c>
      <c r="BC172" s="229">
        <f t="shared" si="239"/>
        <v>4.2999999998301064E-3</v>
      </c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</row>
    <row r="173" spans="1:71" ht="13.8">
      <c r="A173" s="171" t="s">
        <v>227</v>
      </c>
      <c r="B173" s="333" t="s">
        <v>228</v>
      </c>
      <c r="C173" s="35" t="s">
        <v>40</v>
      </c>
      <c r="D173" s="173" t="s">
        <v>105</v>
      </c>
      <c r="E173" s="134">
        <v>8700</v>
      </c>
      <c r="F173" s="160">
        <v>46113</v>
      </c>
      <c r="G173" s="42">
        <f t="shared" si="255"/>
        <v>2161.75</v>
      </c>
      <c r="H173" s="109">
        <v>22</v>
      </c>
      <c r="I173" s="109" t="s">
        <v>41</v>
      </c>
      <c r="J173" s="109"/>
      <c r="K173" s="109"/>
      <c r="L173" s="109">
        <v>200</v>
      </c>
      <c r="M173" s="110">
        <f>K173*L173</f>
        <v>0</v>
      </c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51"/>
      <c r="AB173" s="51"/>
      <c r="AC173" s="51"/>
      <c r="AD173" s="110"/>
      <c r="AE173" s="110"/>
      <c r="AF173" s="22">
        <f t="shared" si="246"/>
        <v>0</v>
      </c>
      <c r="AG173" s="110"/>
      <c r="AH173" s="92">
        <v>2702.51</v>
      </c>
      <c r="AI173" s="252">
        <f>(AP173*100)/77</f>
        <v>0</v>
      </c>
      <c r="AJ173" s="25">
        <f t="shared" si="247"/>
        <v>2702.51</v>
      </c>
      <c r="AK173" s="26">
        <f t="shared" si="248"/>
        <v>621.57730000000004</v>
      </c>
      <c r="AL173" s="109">
        <v>1040.46</v>
      </c>
      <c r="AM173" s="109"/>
      <c r="AN173" s="110"/>
      <c r="AO173" s="53"/>
      <c r="AP173" s="53"/>
      <c r="AQ173" s="69"/>
      <c r="AR173" s="69"/>
      <c r="AS173" s="110"/>
      <c r="AT173" s="40">
        <v>1040.47</v>
      </c>
      <c r="AU173" s="27">
        <f t="shared" si="254"/>
        <v>2.7000000002317393E-3</v>
      </c>
      <c r="AV173" s="28">
        <f t="shared" si="249"/>
        <v>2080.9300000000003</v>
      </c>
      <c r="AW173" s="110"/>
      <c r="AX173" s="110"/>
      <c r="AY173" s="28">
        <f t="shared" si="250"/>
        <v>621.57730000000004</v>
      </c>
      <c r="AZ173" s="29">
        <f t="shared" si="251"/>
        <v>594.55220000000008</v>
      </c>
      <c r="BA173" s="30">
        <f t="shared" si="252"/>
        <v>1216.1295</v>
      </c>
      <c r="BB173" s="31">
        <f t="shared" si="253"/>
        <v>0</v>
      </c>
      <c r="BC173" s="229">
        <f t="shared" si="239"/>
        <v>2.7000000000043656E-3</v>
      </c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</row>
    <row r="174" spans="1:71" ht="13.8">
      <c r="A174" s="171" t="s">
        <v>229</v>
      </c>
      <c r="B174" s="290" t="s">
        <v>188</v>
      </c>
      <c r="C174" s="35" t="s">
        <v>40</v>
      </c>
      <c r="D174" s="173" t="s">
        <v>105</v>
      </c>
      <c r="E174" s="134">
        <v>8700</v>
      </c>
      <c r="F174" s="135">
        <v>46054</v>
      </c>
      <c r="G174" s="110">
        <f>E174/2</f>
        <v>4350</v>
      </c>
      <c r="H174" s="109">
        <v>22</v>
      </c>
      <c r="I174" s="109" t="s">
        <v>41</v>
      </c>
      <c r="J174" s="109">
        <v>6658</v>
      </c>
      <c r="K174" s="110"/>
      <c r="L174" s="109">
        <v>200</v>
      </c>
      <c r="M174" s="110">
        <f>K174*L174</f>
        <v>0</v>
      </c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51"/>
      <c r="AB174" s="51"/>
      <c r="AC174" s="84">
        <v>4128</v>
      </c>
      <c r="AD174" s="110"/>
      <c r="AE174" s="110"/>
      <c r="AF174" s="111"/>
      <c r="AG174" s="110"/>
      <c r="AH174" s="92">
        <f>4519.48+AC174</f>
        <v>8647.48</v>
      </c>
      <c r="AI174" s="252"/>
      <c r="AJ174" s="25">
        <f t="shared" si="247"/>
        <v>8647.48</v>
      </c>
      <c r="AK174" s="26">
        <f t="shared" si="248"/>
        <v>1988.9204</v>
      </c>
      <c r="AL174" s="109">
        <v>1740</v>
      </c>
      <c r="AM174" s="109"/>
      <c r="AN174" s="110"/>
      <c r="AO174" s="53"/>
      <c r="AP174" s="53"/>
      <c r="AQ174" s="48"/>
      <c r="AR174" s="48">
        <v>3178.56</v>
      </c>
      <c r="AS174" s="110"/>
      <c r="AT174" s="40">
        <v>1740</v>
      </c>
      <c r="AU174" s="27">
        <f t="shared" si="254"/>
        <v>-4.0000000035433914E-4</v>
      </c>
      <c r="AV174" s="28">
        <f t="shared" si="249"/>
        <v>6658.5599999999995</v>
      </c>
      <c r="AW174" s="110"/>
      <c r="AX174" s="110"/>
      <c r="AY174" s="28">
        <f t="shared" si="250"/>
        <v>1988.9204</v>
      </c>
      <c r="AZ174" s="29">
        <f t="shared" si="251"/>
        <v>1902.4456</v>
      </c>
      <c r="BA174" s="30">
        <f t="shared" si="252"/>
        <v>3891.366</v>
      </c>
      <c r="BB174" s="31">
        <f t="shared" si="253"/>
        <v>0</v>
      </c>
      <c r="BC174" s="229">
        <f t="shared" si="239"/>
        <v>-3.9999999989959178E-4</v>
      </c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</row>
    <row r="175" spans="1:71" ht="13.8">
      <c r="A175" s="102"/>
      <c r="B175" s="103" t="s">
        <v>189</v>
      </c>
      <c r="C175" s="158"/>
      <c r="D175" s="158"/>
      <c r="E175" s="158"/>
      <c r="F175" s="158"/>
      <c r="G175" s="158"/>
      <c r="H175" s="158"/>
      <c r="I175" s="158"/>
      <c r="J175" s="105"/>
      <c r="K175" s="105">
        <f>SUM(K168:K174)</f>
        <v>108</v>
      </c>
      <c r="L175" s="105"/>
      <c r="M175" s="105">
        <f t="shared" ref="M175:N175" si="256">SUM(M168:M174)</f>
        <v>21600</v>
      </c>
      <c r="N175" s="105">
        <f t="shared" si="256"/>
        <v>0</v>
      </c>
      <c r="O175" s="105"/>
      <c r="P175" s="105">
        <f t="shared" ref="P175:Q175" si="257">SUM(P168:P174)</f>
        <v>0</v>
      </c>
      <c r="Q175" s="105">
        <f t="shared" si="257"/>
        <v>0</v>
      </c>
      <c r="R175" s="105"/>
      <c r="S175" s="105">
        <f>SUM(S168:S174)</f>
        <v>0</v>
      </c>
      <c r="T175" s="105"/>
      <c r="U175" s="105"/>
      <c r="V175" s="105">
        <f t="shared" ref="V175:W175" si="258">SUM(V168:V174)</f>
        <v>0</v>
      </c>
      <c r="W175" s="105">
        <f t="shared" si="258"/>
        <v>0</v>
      </c>
      <c r="X175" s="105"/>
      <c r="Y175" s="105">
        <f t="shared" ref="Y175:Z175" si="259">SUM(Y168:Y174)</f>
        <v>0</v>
      </c>
      <c r="Z175" s="105">
        <f t="shared" si="259"/>
        <v>0</v>
      </c>
      <c r="AA175" s="106"/>
      <c r="AB175" s="106"/>
      <c r="AC175" s="106">
        <f t="shared" ref="AC175:AP175" si="260">SUM(AC168:AC174)</f>
        <v>4128</v>
      </c>
      <c r="AD175" s="105">
        <f t="shared" si="260"/>
        <v>0</v>
      </c>
      <c r="AE175" s="105">
        <f t="shared" si="260"/>
        <v>0</v>
      </c>
      <c r="AF175" s="106">
        <f t="shared" si="260"/>
        <v>21600</v>
      </c>
      <c r="AG175" s="105">
        <f t="shared" si="260"/>
        <v>0</v>
      </c>
      <c r="AH175" s="106">
        <f t="shared" si="260"/>
        <v>37923.569999999992</v>
      </c>
      <c r="AI175" s="106">
        <f t="shared" si="260"/>
        <v>23532.467532467534</v>
      </c>
      <c r="AJ175" s="106">
        <f t="shared" si="260"/>
        <v>61456.037532467526</v>
      </c>
      <c r="AK175" s="106">
        <f t="shared" si="260"/>
        <v>14134.888632467533</v>
      </c>
      <c r="AL175" s="106">
        <f t="shared" si="260"/>
        <v>12892.64</v>
      </c>
      <c r="AM175" s="106">
        <f t="shared" si="260"/>
        <v>0</v>
      </c>
      <c r="AN175" s="106">
        <f t="shared" si="260"/>
        <v>0</v>
      </c>
      <c r="AO175" s="106">
        <f t="shared" si="260"/>
        <v>0</v>
      </c>
      <c r="AP175" s="106">
        <f t="shared" si="260"/>
        <v>18120</v>
      </c>
      <c r="AQ175" s="105"/>
      <c r="AR175" s="106">
        <f t="shared" ref="AR175:BB175" si="261">SUM(AR168:AR174)</f>
        <v>3178.56</v>
      </c>
      <c r="AS175" s="106">
        <f t="shared" si="261"/>
        <v>0</v>
      </c>
      <c r="AT175" s="106">
        <f t="shared" si="261"/>
        <v>13129.94</v>
      </c>
      <c r="AU175" s="106">
        <f t="shared" si="261"/>
        <v>8.8999999991301593E-3</v>
      </c>
      <c r="AV175" s="106">
        <f t="shared" si="261"/>
        <v>29201.14</v>
      </c>
      <c r="AW175" s="105">
        <f t="shared" si="261"/>
        <v>0</v>
      </c>
      <c r="AX175" s="105">
        <f t="shared" si="261"/>
        <v>0</v>
      </c>
      <c r="AY175" s="106">
        <f t="shared" si="261"/>
        <v>14134.888632467533</v>
      </c>
      <c r="AZ175" s="106">
        <f t="shared" si="261"/>
        <v>12337.998257142859</v>
      </c>
      <c r="BA175" s="106">
        <f t="shared" si="261"/>
        <v>26472.886889610389</v>
      </c>
      <c r="BB175" s="106">
        <f t="shared" si="261"/>
        <v>0</v>
      </c>
      <c r="BC175" s="56">
        <f t="shared" si="239"/>
        <v>18120.008899999993</v>
      </c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</row>
    <row r="176" spans="1:71" ht="31.2">
      <c r="A176" s="188"/>
      <c r="B176" s="207" t="s">
        <v>190</v>
      </c>
      <c r="C176" s="158"/>
      <c r="D176" s="158"/>
      <c r="E176" s="158"/>
      <c r="F176" s="158"/>
      <c r="G176" s="158"/>
      <c r="H176" s="158"/>
      <c r="I176" s="158"/>
      <c r="J176" s="114"/>
      <c r="K176" s="114">
        <f>K175+K166</f>
        <v>225</v>
      </c>
      <c r="L176" s="114"/>
      <c r="M176" s="114">
        <f t="shared" ref="M176:N176" si="262">M175+M166</f>
        <v>45000</v>
      </c>
      <c r="N176" s="114">
        <f t="shared" si="262"/>
        <v>0</v>
      </c>
      <c r="O176" s="114"/>
      <c r="P176" s="114">
        <f t="shared" ref="P176:Q176" si="263">P175+P166</f>
        <v>0</v>
      </c>
      <c r="Q176" s="114">
        <f t="shared" si="263"/>
        <v>0</v>
      </c>
      <c r="R176" s="114"/>
      <c r="S176" s="114">
        <f>S175+S166</f>
        <v>0</v>
      </c>
      <c r="T176" s="114"/>
      <c r="U176" s="114"/>
      <c r="V176" s="114">
        <f t="shared" ref="V176:W176" si="264">V175+V166</f>
        <v>0</v>
      </c>
      <c r="W176" s="114">
        <f t="shared" si="264"/>
        <v>0</v>
      </c>
      <c r="X176" s="114"/>
      <c r="Y176" s="114">
        <f t="shared" ref="Y176:Z176" si="265">Y175+Y166</f>
        <v>0</v>
      </c>
      <c r="Z176" s="114">
        <f t="shared" si="265"/>
        <v>0</v>
      </c>
      <c r="AA176" s="115"/>
      <c r="AB176" s="115"/>
      <c r="AC176" s="115">
        <f t="shared" ref="AC176:AP176" si="266">AC175+AC166</f>
        <v>27846</v>
      </c>
      <c r="AD176" s="114">
        <f t="shared" si="266"/>
        <v>0</v>
      </c>
      <c r="AE176" s="114">
        <f t="shared" si="266"/>
        <v>0</v>
      </c>
      <c r="AF176" s="115">
        <f t="shared" si="266"/>
        <v>45000</v>
      </c>
      <c r="AG176" s="114">
        <f t="shared" si="266"/>
        <v>0</v>
      </c>
      <c r="AH176" s="115">
        <f t="shared" si="266"/>
        <v>74344.319999999992</v>
      </c>
      <c r="AI176" s="115">
        <f t="shared" si="266"/>
        <v>45222.077922077922</v>
      </c>
      <c r="AJ176" s="115">
        <f t="shared" si="266"/>
        <v>119566.39792207791</v>
      </c>
      <c r="AK176" s="115">
        <f t="shared" si="266"/>
        <v>27500.271522077921</v>
      </c>
      <c r="AL176" s="115">
        <f t="shared" si="266"/>
        <v>17585.48</v>
      </c>
      <c r="AM176" s="115">
        <f t="shared" si="266"/>
        <v>0</v>
      </c>
      <c r="AN176" s="115">
        <f t="shared" si="266"/>
        <v>0</v>
      </c>
      <c r="AO176" s="115">
        <f t="shared" si="266"/>
        <v>0</v>
      </c>
      <c r="AP176" s="115">
        <f t="shared" si="266"/>
        <v>34821</v>
      </c>
      <c r="AQ176" s="114"/>
      <c r="AR176" s="115">
        <f t="shared" ref="AR176:BB176" si="267">AR175+AR166</f>
        <v>21441.420000000002</v>
      </c>
      <c r="AS176" s="115">
        <f t="shared" si="267"/>
        <v>0</v>
      </c>
      <c r="AT176" s="115">
        <f t="shared" si="267"/>
        <v>18218.21</v>
      </c>
      <c r="AU176" s="115">
        <f t="shared" si="267"/>
        <v>1.6399999999748616E-2</v>
      </c>
      <c r="AV176" s="115">
        <f t="shared" si="267"/>
        <v>57245.11</v>
      </c>
      <c r="AW176" s="114">
        <f t="shared" si="267"/>
        <v>0</v>
      </c>
      <c r="AX176" s="114">
        <f t="shared" si="267"/>
        <v>0</v>
      </c>
      <c r="AY176" s="115">
        <f t="shared" si="267"/>
        <v>27500.271522077921</v>
      </c>
      <c r="AZ176" s="115">
        <f t="shared" si="267"/>
        <v>25122.277542857144</v>
      </c>
      <c r="BA176" s="115">
        <f t="shared" si="267"/>
        <v>52622.549064935069</v>
      </c>
      <c r="BB176" s="115">
        <f t="shared" si="267"/>
        <v>0</v>
      </c>
      <c r="BC176" s="56">
        <f t="shared" si="239"/>
        <v>34821.016399999993</v>
      </c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</row>
    <row r="177" spans="1:71" ht="13.8">
      <c r="A177" s="116"/>
      <c r="B177" s="208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52"/>
      <c r="AB177" s="52"/>
      <c r="AC177" s="52"/>
      <c r="AD177" s="97"/>
      <c r="AE177" s="97"/>
      <c r="AF177" s="97"/>
      <c r="AG177" s="97"/>
      <c r="AH177" s="97"/>
      <c r="AI177" s="52"/>
      <c r="AJ177" s="97"/>
      <c r="AK177" s="97"/>
      <c r="AL177" s="97"/>
      <c r="AM177" s="97"/>
      <c r="AN177" s="97"/>
      <c r="AO177" s="97"/>
      <c r="AP177" s="97"/>
      <c r="AQ177" s="97"/>
      <c r="AR177" s="97"/>
      <c r="AS177" s="97"/>
      <c r="AT177" s="97"/>
      <c r="AU177" s="97"/>
      <c r="AV177" s="97"/>
      <c r="AW177" s="97"/>
      <c r="AX177" s="97"/>
      <c r="AY177" s="97"/>
      <c r="AZ177" s="97"/>
      <c r="BA177" s="97"/>
      <c r="BB177" s="97"/>
      <c r="BC177" s="32">
        <f t="shared" si="239"/>
        <v>0</v>
      </c>
      <c r="BD177" s="123"/>
      <c r="BE177" s="123"/>
      <c r="BF177" s="123"/>
      <c r="BG177" s="123"/>
      <c r="BH177" s="123"/>
      <c r="BI177" s="123"/>
      <c r="BJ177" s="123"/>
      <c r="BK177" s="123"/>
      <c r="BL177" s="123"/>
      <c r="BM177" s="123"/>
      <c r="BN177" s="123"/>
      <c r="BO177" s="123"/>
      <c r="BP177" s="123"/>
      <c r="BQ177" s="123"/>
      <c r="BR177" s="123"/>
      <c r="BS177" s="123"/>
    </row>
    <row r="178" spans="1:71" ht="27.6">
      <c r="A178" s="124"/>
      <c r="B178" s="3" t="s">
        <v>191</v>
      </c>
      <c r="C178" s="201"/>
      <c r="D178" s="201"/>
      <c r="E178" s="201"/>
      <c r="F178" s="201"/>
      <c r="G178" s="201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  <c r="R178" s="201"/>
      <c r="S178" s="201"/>
      <c r="T178" s="201"/>
      <c r="U178" s="201"/>
      <c r="V178" s="201"/>
      <c r="W178" s="201"/>
      <c r="X178" s="201"/>
      <c r="Y178" s="201"/>
      <c r="Z178" s="201"/>
      <c r="AA178" s="299"/>
      <c r="AB178" s="299"/>
      <c r="AC178" s="299"/>
      <c r="AD178" s="201"/>
      <c r="AE178" s="201"/>
      <c r="AF178" s="201"/>
      <c r="AG178" s="201"/>
      <c r="AH178" s="201"/>
      <c r="AI178" s="299"/>
      <c r="AJ178" s="201"/>
      <c r="AK178" s="201"/>
      <c r="AL178" s="201"/>
      <c r="AM178" s="201"/>
      <c r="AN178" s="201"/>
      <c r="AO178" s="201"/>
      <c r="AP178" s="201"/>
      <c r="AQ178" s="201"/>
      <c r="AR178" s="201"/>
      <c r="AS178" s="201"/>
      <c r="AT178" s="201"/>
      <c r="AU178" s="201"/>
      <c r="AV178" s="201"/>
      <c r="AW178" s="201"/>
      <c r="AX178" s="201"/>
      <c r="AY178" s="201"/>
      <c r="AZ178" s="201"/>
      <c r="BA178" s="201"/>
      <c r="BB178" s="201"/>
      <c r="BC178" s="32">
        <f t="shared" si="239"/>
        <v>0</v>
      </c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</row>
    <row r="179" spans="1:71" ht="13.8">
      <c r="A179" s="108"/>
      <c r="B179" s="7" t="s">
        <v>192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250"/>
      <c r="AB179" s="250"/>
      <c r="AC179" s="250"/>
      <c r="AD179" s="8"/>
      <c r="AE179" s="8"/>
      <c r="AF179" s="8"/>
      <c r="AG179" s="8"/>
      <c r="AH179" s="8"/>
      <c r="AI179" s="50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9"/>
      <c r="AZ179" s="9"/>
      <c r="BA179" s="9"/>
      <c r="BB179" s="9"/>
      <c r="BC179" s="32">
        <f t="shared" si="239"/>
        <v>0</v>
      </c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</row>
    <row r="180" spans="1:71" ht="13.8">
      <c r="A180" s="171" t="s">
        <v>33</v>
      </c>
      <c r="B180" s="282" t="s">
        <v>193</v>
      </c>
      <c r="C180" s="35" t="s">
        <v>40</v>
      </c>
      <c r="D180" s="109" t="s">
        <v>80</v>
      </c>
      <c r="E180" s="77">
        <v>8700</v>
      </c>
      <c r="F180" s="209">
        <v>46113</v>
      </c>
      <c r="G180" s="42">
        <f t="shared" ref="G180:G181" si="268">8647/4</f>
        <v>2161.75</v>
      </c>
      <c r="H180" s="109">
        <v>22</v>
      </c>
      <c r="I180" s="173" t="s">
        <v>37</v>
      </c>
      <c r="J180" s="40"/>
      <c r="K180" s="40">
        <v>81</v>
      </c>
      <c r="L180" s="41">
        <v>200</v>
      </c>
      <c r="M180" s="42">
        <f>K180*L180</f>
        <v>16200</v>
      </c>
      <c r="N180" s="43"/>
      <c r="O180" s="42"/>
      <c r="P180" s="44">
        <f t="shared" ref="P180:P182" si="269">N180*O180</f>
        <v>0</v>
      </c>
      <c r="Q180" s="43"/>
      <c r="R180" s="42"/>
      <c r="S180" s="44">
        <f t="shared" ref="S180:S182" si="270">Q180*R180</f>
        <v>0</v>
      </c>
      <c r="T180" s="43"/>
      <c r="U180" s="43"/>
      <c r="V180" s="43"/>
      <c r="W180" s="43"/>
      <c r="X180" s="42"/>
      <c r="Y180" s="44">
        <f t="shared" ref="Y180:Y182" si="271">W180*X180</f>
        <v>0</v>
      </c>
      <c r="Z180" s="110"/>
      <c r="AA180" s="252"/>
      <c r="AB180" s="252"/>
      <c r="AC180" s="252"/>
      <c r="AD180" s="109"/>
      <c r="AE180" s="110"/>
      <c r="AF180" s="22">
        <f t="shared" ref="AF180:AF183" si="272">M180+P180+S180+V180+Y180+Z180+AE180</f>
        <v>16200</v>
      </c>
      <c r="AG180" s="97"/>
      <c r="AH180" s="258">
        <v>2702.51</v>
      </c>
      <c r="AI180" s="50">
        <f t="shared" ref="AI180:AI181" si="273">(AP180*100)/77</f>
        <v>18336.454545454548</v>
      </c>
      <c r="AJ180" s="25">
        <f t="shared" ref="AJ180:AJ183" si="274">AH180+AI180</f>
        <v>21038.964545454546</v>
      </c>
      <c r="AK180" s="26">
        <f t="shared" ref="AK180:AK183" si="275">AJ180*23%</f>
        <v>4838.9618454545462</v>
      </c>
      <c r="AL180" s="51">
        <v>1040.46</v>
      </c>
      <c r="AM180" s="51"/>
      <c r="AN180" s="51"/>
      <c r="AO180" s="53"/>
      <c r="AP180" s="53">
        <f t="shared" ref="AP180:AP181" si="276">AF180-AL180-AT180</f>
        <v>14119.070000000002</v>
      </c>
      <c r="AQ180" s="53"/>
      <c r="AR180" s="53"/>
      <c r="AS180" s="51"/>
      <c r="AT180" s="51">
        <v>1040.47</v>
      </c>
      <c r="AU180" s="27">
        <f t="shared" ref="AU180:AU182" si="277">AJ180-AK180-AL180-AT180-AN180-AR180-AM180-AP180</f>
        <v>2.7000000009138603E-3</v>
      </c>
      <c r="AV180" s="28">
        <f t="shared" ref="AV180:AV183" si="278">AL180+AM180+AN180+AR180+AT180+AS180</f>
        <v>2080.9300000000003</v>
      </c>
      <c r="AW180" s="110"/>
      <c r="AX180" s="110"/>
      <c r="AY180" s="28">
        <f t="shared" ref="AY180:AY183" si="279">AJ180*23%</f>
        <v>4838.9618454545462</v>
      </c>
      <c r="AZ180" s="29">
        <f>AJ180*H180%</f>
        <v>4628.5722000000005</v>
      </c>
      <c r="BA180" s="30">
        <f t="shared" ref="BA180:BA183" si="280">AY180+AZ180</f>
        <v>9467.5340454545476</v>
      </c>
      <c r="BB180" s="31">
        <f t="shared" ref="BB180:BB183" si="281">BA180-AZ180-AK180</f>
        <v>0</v>
      </c>
      <c r="BC180" s="229">
        <f t="shared" si="239"/>
        <v>14119.072700000001</v>
      </c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</row>
    <row r="181" spans="1:71" ht="13.8">
      <c r="A181" s="171" t="s">
        <v>42</v>
      </c>
      <c r="B181" s="282" t="s">
        <v>194</v>
      </c>
      <c r="C181" s="35" t="s">
        <v>40</v>
      </c>
      <c r="D181" s="109" t="s">
        <v>80</v>
      </c>
      <c r="E181" s="77">
        <v>8700</v>
      </c>
      <c r="F181" s="160">
        <v>46113</v>
      </c>
      <c r="G181" s="42">
        <f t="shared" si="268"/>
        <v>2161.75</v>
      </c>
      <c r="H181" s="40">
        <v>22</v>
      </c>
      <c r="I181" s="173" t="s">
        <v>37</v>
      </c>
      <c r="J181" s="40"/>
      <c r="K181" s="40">
        <v>109</v>
      </c>
      <c r="L181" s="41">
        <v>200</v>
      </c>
      <c r="M181" s="42">
        <f>K181*L181</f>
        <v>21800</v>
      </c>
      <c r="N181" s="43"/>
      <c r="O181" s="42"/>
      <c r="P181" s="44">
        <f t="shared" si="269"/>
        <v>0</v>
      </c>
      <c r="Q181" s="43"/>
      <c r="R181" s="42"/>
      <c r="S181" s="44">
        <f t="shared" si="270"/>
        <v>0</v>
      </c>
      <c r="T181" s="43"/>
      <c r="U181" s="43"/>
      <c r="V181" s="43"/>
      <c r="W181" s="43"/>
      <c r="X181" s="42"/>
      <c r="Y181" s="44">
        <f t="shared" si="271"/>
        <v>0</v>
      </c>
      <c r="Z181" s="110"/>
      <c r="AA181" s="252"/>
      <c r="AB181" s="252"/>
      <c r="AC181" s="252"/>
      <c r="AD181" s="110"/>
      <c r="AE181" s="110"/>
      <c r="AF181" s="22">
        <f t="shared" si="272"/>
        <v>21800</v>
      </c>
      <c r="AG181" s="97"/>
      <c r="AH181" s="258">
        <v>2256.59</v>
      </c>
      <c r="AI181" s="50">
        <f t="shared" si="273"/>
        <v>26055.103896103898</v>
      </c>
      <c r="AJ181" s="25">
        <f t="shared" si="274"/>
        <v>28311.693896103898</v>
      </c>
      <c r="AK181" s="26">
        <f t="shared" si="275"/>
        <v>6511.6895961038972</v>
      </c>
      <c r="AL181" s="51">
        <v>868.79</v>
      </c>
      <c r="AM181" s="52"/>
      <c r="AN181" s="52"/>
      <c r="AO181" s="53"/>
      <c r="AP181" s="53">
        <f t="shared" si="276"/>
        <v>20062.43</v>
      </c>
      <c r="AQ181" s="53"/>
      <c r="AR181" s="53"/>
      <c r="AS181" s="51"/>
      <c r="AT181" s="51">
        <v>868.78</v>
      </c>
      <c r="AU181" s="27">
        <f t="shared" si="277"/>
        <v>4.3000000005122274E-3</v>
      </c>
      <c r="AV181" s="28">
        <f t="shared" si="278"/>
        <v>1737.57</v>
      </c>
      <c r="AW181" s="110"/>
      <c r="AX181" s="110"/>
      <c r="AY181" s="28">
        <f t="shared" si="279"/>
        <v>6511.6895961038972</v>
      </c>
      <c r="AZ181" s="29">
        <f>AJ181*H181%</f>
        <v>6228.5726571428577</v>
      </c>
      <c r="BA181" s="30">
        <f t="shared" si="280"/>
        <v>12740.262253246754</v>
      </c>
      <c r="BB181" s="31">
        <f t="shared" si="281"/>
        <v>0</v>
      </c>
      <c r="BC181" s="229">
        <f t="shared" si="239"/>
        <v>20062.434300000001</v>
      </c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</row>
    <row r="182" spans="1:71" ht="13.8">
      <c r="A182" s="171" t="s">
        <v>148</v>
      </c>
      <c r="B182" s="289" t="s">
        <v>208</v>
      </c>
      <c r="C182" s="35" t="s">
        <v>40</v>
      </c>
      <c r="D182" s="109" t="s">
        <v>209</v>
      </c>
      <c r="E182" s="134">
        <v>8700</v>
      </c>
      <c r="F182" s="135">
        <v>46054</v>
      </c>
      <c r="G182" s="110">
        <f>E182/2</f>
        <v>4350</v>
      </c>
      <c r="H182" s="109">
        <v>22</v>
      </c>
      <c r="I182" s="109" t="s">
        <v>41</v>
      </c>
      <c r="J182" s="40"/>
      <c r="K182" s="40"/>
      <c r="L182" s="41">
        <v>200</v>
      </c>
      <c r="M182" s="42">
        <f>K182*L182</f>
        <v>0</v>
      </c>
      <c r="N182" s="43"/>
      <c r="O182" s="42"/>
      <c r="P182" s="44">
        <f t="shared" si="269"/>
        <v>0</v>
      </c>
      <c r="Q182" s="43"/>
      <c r="R182" s="42"/>
      <c r="S182" s="44">
        <f t="shared" si="270"/>
        <v>0</v>
      </c>
      <c r="T182" s="43"/>
      <c r="U182" s="43"/>
      <c r="V182" s="43"/>
      <c r="W182" s="43"/>
      <c r="X182" s="42"/>
      <c r="Y182" s="44">
        <f t="shared" si="271"/>
        <v>0</v>
      </c>
      <c r="Z182" s="110"/>
      <c r="AA182" s="252"/>
      <c r="AB182" s="252"/>
      <c r="AC182" s="252"/>
      <c r="AD182" s="110"/>
      <c r="AE182" s="110"/>
      <c r="AF182" s="22">
        <f t="shared" si="272"/>
        <v>0</v>
      </c>
      <c r="AG182" s="97"/>
      <c r="AH182" s="258">
        <v>6756.27</v>
      </c>
      <c r="AI182" s="50"/>
      <c r="AJ182" s="25">
        <f t="shared" si="274"/>
        <v>6756.27</v>
      </c>
      <c r="AK182" s="26">
        <f t="shared" si="275"/>
        <v>1553.9421000000002</v>
      </c>
      <c r="AL182" s="51">
        <v>2601.16</v>
      </c>
      <c r="AM182" s="52"/>
      <c r="AN182" s="52"/>
      <c r="AO182" s="53"/>
      <c r="AP182" s="53"/>
      <c r="AQ182" s="53"/>
      <c r="AR182" s="53"/>
      <c r="AS182" s="51"/>
      <c r="AT182" s="51">
        <v>2601.17</v>
      </c>
      <c r="AU182" s="27">
        <f t="shared" si="277"/>
        <v>-2.0999999997002305E-3</v>
      </c>
      <c r="AV182" s="28">
        <f t="shared" si="278"/>
        <v>5202.33</v>
      </c>
      <c r="AW182" s="110"/>
      <c r="AX182" s="110"/>
      <c r="AY182" s="28">
        <f t="shared" si="279"/>
        <v>1553.9421000000002</v>
      </c>
      <c r="AZ182" s="29">
        <f>AJ182*H182%</f>
        <v>1486.3794</v>
      </c>
      <c r="BA182" s="30">
        <f t="shared" si="280"/>
        <v>3040.3215</v>
      </c>
      <c r="BB182" s="31">
        <f t="shared" si="281"/>
        <v>0</v>
      </c>
      <c r="BC182" s="229">
        <f t="shared" si="239"/>
        <v>-2.0999999997002305E-3</v>
      </c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</row>
    <row r="183" spans="1:71" ht="13.8">
      <c r="A183" s="171" t="s">
        <v>150</v>
      </c>
      <c r="B183" s="284" t="s">
        <v>195</v>
      </c>
      <c r="C183" s="35" t="s">
        <v>40</v>
      </c>
      <c r="D183" s="109" t="s">
        <v>105</v>
      </c>
      <c r="E183" s="77">
        <v>8700</v>
      </c>
      <c r="F183" s="160">
        <v>46113</v>
      </c>
      <c r="G183" s="42">
        <f>8647/4</f>
        <v>2161.75</v>
      </c>
      <c r="H183" s="109">
        <v>22</v>
      </c>
      <c r="I183" s="109" t="s">
        <v>41</v>
      </c>
      <c r="J183" s="40">
        <v>6658</v>
      </c>
      <c r="K183" s="97"/>
      <c r="L183" s="109">
        <v>200</v>
      </c>
      <c r="M183" s="110">
        <f>K183*L183</f>
        <v>0</v>
      </c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51"/>
      <c r="AB183" s="51"/>
      <c r="AC183" s="84">
        <v>6391</v>
      </c>
      <c r="AD183" s="110"/>
      <c r="AE183" s="110"/>
      <c r="AF183" s="22">
        <f t="shared" si="272"/>
        <v>0</v>
      </c>
      <c r="AG183" s="97"/>
      <c r="AH183" s="92">
        <f>2256.59+AC183</f>
        <v>8647.59</v>
      </c>
      <c r="AI183" s="252"/>
      <c r="AJ183" s="25">
        <f t="shared" si="274"/>
        <v>8647.59</v>
      </c>
      <c r="AK183" s="26">
        <f t="shared" si="275"/>
        <v>1988.9457000000002</v>
      </c>
      <c r="AL183" s="109">
        <v>868.79</v>
      </c>
      <c r="AM183" s="51"/>
      <c r="AN183" s="110"/>
      <c r="AO183" s="53"/>
      <c r="AP183" s="53"/>
      <c r="AQ183" s="48"/>
      <c r="AR183" s="48">
        <v>4921.07</v>
      </c>
      <c r="AS183" s="110"/>
      <c r="AT183" s="40">
        <v>868.78</v>
      </c>
      <c r="AU183" s="27">
        <f>AJ183-AK183-AL183-AT183-AN183-AR183-AM183</f>
        <v>4.3000000005122274E-3</v>
      </c>
      <c r="AV183" s="28">
        <f t="shared" si="278"/>
        <v>6658.6399999999994</v>
      </c>
      <c r="AW183" s="110"/>
      <c r="AX183" s="110"/>
      <c r="AY183" s="28">
        <f t="shared" si="279"/>
        <v>1988.9457000000002</v>
      </c>
      <c r="AZ183" s="29">
        <f>AJ183*H183%</f>
        <v>1902.4698000000001</v>
      </c>
      <c r="BA183" s="30">
        <f t="shared" si="280"/>
        <v>3891.4155000000001</v>
      </c>
      <c r="BB183" s="31">
        <f t="shared" si="281"/>
        <v>0</v>
      </c>
      <c r="BC183" s="229">
        <f t="shared" si="239"/>
        <v>4.3000000005122274E-3</v>
      </c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</row>
    <row r="184" spans="1:71" ht="13.8">
      <c r="A184" s="102"/>
      <c r="B184" s="103" t="s">
        <v>196</v>
      </c>
      <c r="C184" s="158"/>
      <c r="D184" s="158"/>
      <c r="E184" s="158"/>
      <c r="F184" s="158"/>
      <c r="G184" s="158"/>
      <c r="H184" s="158"/>
      <c r="I184" s="158"/>
      <c r="J184" s="104"/>
      <c r="K184" s="104">
        <f t="shared" ref="K184:N184" si="282">K180+K183+K181</f>
        <v>190</v>
      </c>
      <c r="L184" s="104">
        <f t="shared" si="282"/>
        <v>600</v>
      </c>
      <c r="M184" s="104">
        <f t="shared" si="282"/>
        <v>38000</v>
      </c>
      <c r="N184" s="104">
        <f t="shared" si="282"/>
        <v>0</v>
      </c>
      <c r="O184" s="104"/>
      <c r="P184" s="104">
        <f t="shared" ref="P184:Q184" si="283">P180+P183+P181</f>
        <v>0</v>
      </c>
      <c r="Q184" s="104">
        <f t="shared" si="283"/>
        <v>0</v>
      </c>
      <c r="R184" s="104"/>
      <c r="S184" s="104">
        <f>S180+S183+S181</f>
        <v>0</v>
      </c>
      <c r="T184" s="104"/>
      <c r="U184" s="104"/>
      <c r="V184" s="104">
        <f t="shared" ref="V184:W184" si="284">V180+V183+V181</f>
        <v>0</v>
      </c>
      <c r="W184" s="104">
        <f t="shared" si="284"/>
        <v>0</v>
      </c>
      <c r="X184" s="104"/>
      <c r="Y184" s="104">
        <f t="shared" ref="Y184:Z184" si="285">Y180+Y183+Y181</f>
        <v>0</v>
      </c>
      <c r="Z184" s="104">
        <f t="shared" si="285"/>
        <v>0</v>
      </c>
      <c r="AA184" s="112"/>
      <c r="AB184" s="112"/>
      <c r="AC184" s="112">
        <f t="shared" ref="AC184:AG184" si="286">AC180+AC183+AC181</f>
        <v>6391</v>
      </c>
      <c r="AD184" s="104">
        <f t="shared" si="286"/>
        <v>0</v>
      </c>
      <c r="AE184" s="104">
        <f t="shared" si="286"/>
        <v>0</v>
      </c>
      <c r="AF184" s="112">
        <f t="shared" si="286"/>
        <v>38000</v>
      </c>
      <c r="AG184" s="104">
        <f t="shared" si="286"/>
        <v>0</v>
      </c>
      <c r="AH184" s="112">
        <f>AH180+AH183+AH181+AH182</f>
        <v>20362.96</v>
      </c>
      <c r="AI184" s="112">
        <f t="shared" ref="AI184:AK184" si="287">AI180+AI183+AI181</f>
        <v>44391.558441558445</v>
      </c>
      <c r="AJ184" s="112">
        <f t="shared" si="287"/>
        <v>57998.248441558448</v>
      </c>
      <c r="AK184" s="112">
        <f t="shared" si="287"/>
        <v>13339.597141558443</v>
      </c>
      <c r="AL184" s="112">
        <f>AL180+AL183+AL181+AL182</f>
        <v>5379.2</v>
      </c>
      <c r="AM184" s="112">
        <f t="shared" ref="AM184:AP184" si="288">AM180+AM183+AM181</f>
        <v>0</v>
      </c>
      <c r="AN184" s="112">
        <f t="shared" si="288"/>
        <v>0</v>
      </c>
      <c r="AO184" s="112">
        <f t="shared" si="288"/>
        <v>0</v>
      </c>
      <c r="AP184" s="112">
        <f t="shared" si="288"/>
        <v>34181.5</v>
      </c>
      <c r="AQ184" s="104"/>
      <c r="AR184" s="112">
        <f t="shared" ref="AR184:AS184" si="289">AR180+AR183+AR181</f>
        <v>4921.07</v>
      </c>
      <c r="AS184" s="112">
        <f t="shared" si="289"/>
        <v>0</v>
      </c>
      <c r="AT184" s="112">
        <f>AT180+AT183+AT181+AT182</f>
        <v>5379.2</v>
      </c>
      <c r="AU184" s="112">
        <f t="shared" ref="AU184:BB184" si="290">AU180+AU183+AU181</f>
        <v>1.1300000001938315E-2</v>
      </c>
      <c r="AV184" s="112">
        <f t="shared" si="290"/>
        <v>10477.14</v>
      </c>
      <c r="AW184" s="104">
        <f t="shared" si="290"/>
        <v>0</v>
      </c>
      <c r="AX184" s="104">
        <f t="shared" si="290"/>
        <v>0</v>
      </c>
      <c r="AY184" s="112">
        <f t="shared" si="290"/>
        <v>13339.597141558443</v>
      </c>
      <c r="AZ184" s="112">
        <f t="shared" si="290"/>
        <v>12759.614657142858</v>
      </c>
      <c r="BA184" s="112">
        <f t="shared" si="290"/>
        <v>26099.211798701301</v>
      </c>
      <c r="BB184" s="112">
        <f t="shared" si="290"/>
        <v>0</v>
      </c>
      <c r="BC184" s="56">
        <f t="shared" si="239"/>
        <v>34181.511300000006</v>
      </c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</row>
    <row r="185" spans="1:71" ht="31.2">
      <c r="A185" s="102"/>
      <c r="B185" s="113" t="s">
        <v>197</v>
      </c>
      <c r="C185" s="158"/>
      <c r="D185" s="158"/>
      <c r="E185" s="158"/>
      <c r="F185" s="158"/>
      <c r="G185" s="158"/>
      <c r="H185" s="114"/>
      <c r="I185" s="114"/>
      <c r="J185" s="114"/>
      <c r="K185" s="114">
        <f t="shared" ref="K185:N185" si="291">K184</f>
        <v>190</v>
      </c>
      <c r="L185" s="114">
        <f t="shared" si="291"/>
        <v>600</v>
      </c>
      <c r="M185" s="114">
        <f t="shared" si="291"/>
        <v>38000</v>
      </c>
      <c r="N185" s="114">
        <f t="shared" si="291"/>
        <v>0</v>
      </c>
      <c r="O185" s="114"/>
      <c r="P185" s="114">
        <f t="shared" ref="P185:Q185" si="292">P184</f>
        <v>0</v>
      </c>
      <c r="Q185" s="114">
        <f t="shared" si="292"/>
        <v>0</v>
      </c>
      <c r="R185" s="114"/>
      <c r="S185" s="114">
        <f>S184</f>
        <v>0</v>
      </c>
      <c r="T185" s="114"/>
      <c r="U185" s="114"/>
      <c r="V185" s="114">
        <f t="shared" ref="V185:W185" si="293">V184</f>
        <v>0</v>
      </c>
      <c r="W185" s="114">
        <f t="shared" si="293"/>
        <v>0</v>
      </c>
      <c r="X185" s="114"/>
      <c r="Y185" s="114">
        <f t="shared" ref="Y185:Z185" si="294">Y184</f>
        <v>0</v>
      </c>
      <c r="Z185" s="114">
        <f t="shared" si="294"/>
        <v>0</v>
      </c>
      <c r="AA185" s="115"/>
      <c r="AB185" s="115"/>
      <c r="AC185" s="115">
        <f t="shared" ref="AC185:AP185" si="295">AC184</f>
        <v>6391</v>
      </c>
      <c r="AD185" s="114">
        <f t="shared" si="295"/>
        <v>0</v>
      </c>
      <c r="AE185" s="114">
        <f t="shared" si="295"/>
        <v>0</v>
      </c>
      <c r="AF185" s="115">
        <f t="shared" si="295"/>
        <v>38000</v>
      </c>
      <c r="AG185" s="114">
        <f t="shared" si="295"/>
        <v>0</v>
      </c>
      <c r="AH185" s="115">
        <f t="shared" si="295"/>
        <v>20362.96</v>
      </c>
      <c r="AI185" s="115">
        <f t="shared" si="295"/>
        <v>44391.558441558445</v>
      </c>
      <c r="AJ185" s="115">
        <f t="shared" si="295"/>
        <v>57998.248441558448</v>
      </c>
      <c r="AK185" s="115">
        <f t="shared" si="295"/>
        <v>13339.597141558443</v>
      </c>
      <c r="AL185" s="115">
        <f t="shared" si="295"/>
        <v>5379.2</v>
      </c>
      <c r="AM185" s="115">
        <f t="shared" si="295"/>
        <v>0</v>
      </c>
      <c r="AN185" s="115">
        <f t="shared" si="295"/>
        <v>0</v>
      </c>
      <c r="AO185" s="115">
        <f t="shared" si="295"/>
        <v>0</v>
      </c>
      <c r="AP185" s="115">
        <f t="shared" si="295"/>
        <v>34181.5</v>
      </c>
      <c r="AQ185" s="114"/>
      <c r="AR185" s="115">
        <f t="shared" ref="AR185:BB185" si="296">AR184</f>
        <v>4921.07</v>
      </c>
      <c r="AS185" s="115">
        <f t="shared" si="296"/>
        <v>0</v>
      </c>
      <c r="AT185" s="115">
        <f t="shared" si="296"/>
        <v>5379.2</v>
      </c>
      <c r="AU185" s="115">
        <f t="shared" si="296"/>
        <v>1.1300000001938315E-2</v>
      </c>
      <c r="AV185" s="115">
        <f t="shared" si="296"/>
        <v>10477.14</v>
      </c>
      <c r="AW185" s="114">
        <f t="shared" si="296"/>
        <v>0</v>
      </c>
      <c r="AX185" s="114">
        <f t="shared" si="296"/>
        <v>0</v>
      </c>
      <c r="AY185" s="115">
        <f t="shared" si="296"/>
        <v>13339.597141558443</v>
      </c>
      <c r="AZ185" s="115">
        <f t="shared" si="296"/>
        <v>12759.614657142858</v>
      </c>
      <c r="BA185" s="115">
        <f t="shared" si="296"/>
        <v>26099.211798701301</v>
      </c>
      <c r="BB185" s="115">
        <f t="shared" si="296"/>
        <v>0</v>
      </c>
      <c r="BC185" s="56">
        <f t="shared" si="239"/>
        <v>34181.511300000006</v>
      </c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</row>
    <row r="186" spans="1:71" ht="13.8">
      <c r="A186" s="199"/>
      <c r="B186" s="1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19"/>
      <c r="AB186" s="219"/>
      <c r="AC186" s="219"/>
      <c r="AD186" s="200"/>
      <c r="AE186" s="200"/>
      <c r="AF186" s="200"/>
      <c r="AG186" s="200"/>
      <c r="AH186" s="200"/>
      <c r="AI186" s="219"/>
      <c r="AJ186" s="200"/>
      <c r="AK186" s="200"/>
      <c r="AL186" s="200"/>
      <c r="AM186" s="200"/>
      <c r="AN186" s="200"/>
      <c r="AO186" s="200"/>
      <c r="AP186" s="200"/>
      <c r="AQ186" s="200"/>
      <c r="AR186" s="200"/>
      <c r="AS186" s="200"/>
      <c r="AT186" s="200"/>
      <c r="AU186" s="200"/>
      <c r="AV186" s="200"/>
      <c r="AW186" s="200"/>
      <c r="AX186" s="200"/>
      <c r="AY186" s="200"/>
      <c r="AZ186" s="200"/>
      <c r="BA186" s="200"/>
      <c r="BB186" s="200"/>
      <c r="BC186" s="32">
        <f t="shared" si="239"/>
        <v>0</v>
      </c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</row>
    <row r="187" spans="1:71" ht="15.6">
      <c r="A187" s="210"/>
      <c r="B187" s="211" t="s">
        <v>198</v>
      </c>
      <c r="C187" s="212"/>
      <c r="D187" s="212"/>
      <c r="E187" s="212"/>
      <c r="F187" s="212"/>
      <c r="G187" s="212"/>
      <c r="H187" s="212"/>
      <c r="I187" s="213"/>
      <c r="J187" s="213"/>
      <c r="K187" s="213">
        <f>K185+K176+K159+K152+K64</f>
        <v>5078</v>
      </c>
      <c r="L187" s="213"/>
      <c r="M187" s="213">
        <f t="shared" ref="M187:N187" si="297">M185+M176+M159+M152+M64</f>
        <v>1029650</v>
      </c>
      <c r="N187" s="213">
        <f t="shared" si="297"/>
        <v>64</v>
      </c>
      <c r="O187" s="213"/>
      <c r="P187" s="213">
        <f t="shared" ref="P187:Q187" si="298">P185+P176+P159+P152+P64</f>
        <v>10440</v>
      </c>
      <c r="Q187" s="213">
        <f t="shared" si="298"/>
        <v>18</v>
      </c>
      <c r="R187" s="213"/>
      <c r="S187" s="213">
        <f>S185+S176+S159+S152+S64</f>
        <v>9000</v>
      </c>
      <c r="T187" s="213"/>
      <c r="U187" s="213"/>
      <c r="V187" s="213">
        <f t="shared" ref="V187:W187" si="299">V185+V176+V159+V152+V64</f>
        <v>0</v>
      </c>
      <c r="W187" s="213">
        <f t="shared" si="299"/>
        <v>22</v>
      </c>
      <c r="X187" s="213"/>
      <c r="Y187" s="213">
        <f t="shared" ref="Y187:Z187" si="300">Y185+Y176+Y159+Y152+Y64</f>
        <v>3520</v>
      </c>
      <c r="Z187" s="214">
        <f t="shared" si="300"/>
        <v>17820</v>
      </c>
      <c r="AA187" s="214"/>
      <c r="AB187" s="214"/>
      <c r="AC187" s="214">
        <f t="shared" ref="AC187:AP187" si="301">AC185+AC176+AC159+AC152+AC64</f>
        <v>329903</v>
      </c>
      <c r="AD187" s="213">
        <f t="shared" si="301"/>
        <v>240829.87999999998</v>
      </c>
      <c r="AE187" s="214">
        <f t="shared" si="301"/>
        <v>821.09999999999991</v>
      </c>
      <c r="AF187" s="214">
        <f t="shared" si="301"/>
        <v>1054210</v>
      </c>
      <c r="AG187" s="214">
        <f t="shared" si="301"/>
        <v>192132.05000000002</v>
      </c>
      <c r="AH187" s="214">
        <f t="shared" si="301"/>
        <v>682981.47857142857</v>
      </c>
      <c r="AI187" s="214">
        <f t="shared" si="301"/>
        <v>1129279.2207792208</v>
      </c>
      <c r="AJ187" s="300">
        <f t="shared" si="301"/>
        <v>2444813.3793506492</v>
      </c>
      <c r="AK187" s="301">
        <f t="shared" si="301"/>
        <v>562307.07725064934</v>
      </c>
      <c r="AL187" s="214">
        <f t="shared" si="301"/>
        <v>242118.37999999995</v>
      </c>
      <c r="AM187" s="214">
        <f t="shared" si="301"/>
        <v>4603.8100000000004</v>
      </c>
      <c r="AN187" s="214">
        <f t="shared" si="301"/>
        <v>210540.69000000003</v>
      </c>
      <c r="AO187" s="214">
        <f t="shared" si="301"/>
        <v>632.24</v>
      </c>
      <c r="AP187" s="214">
        <f t="shared" si="301"/>
        <v>804118.19</v>
      </c>
      <c r="AQ187" s="213"/>
      <c r="AR187" s="214">
        <f t="shared" ref="AR187:BB187" si="302">AR185+AR176+AR159+AR152+AR64</f>
        <v>310901.73</v>
      </c>
      <c r="AS187" s="214">
        <f t="shared" si="302"/>
        <v>23251.19</v>
      </c>
      <c r="AT187" s="214">
        <f t="shared" si="302"/>
        <v>283491.50000000006</v>
      </c>
      <c r="AU187" s="302">
        <f t="shared" si="302"/>
        <v>-6186.1717999999064</v>
      </c>
      <c r="AV187" s="214">
        <f t="shared" si="302"/>
        <v>1819691.9700000002</v>
      </c>
      <c r="AW187" s="215">
        <f t="shared" si="302"/>
        <v>0</v>
      </c>
      <c r="AX187" s="215">
        <f t="shared" si="302"/>
        <v>0</v>
      </c>
      <c r="AY187" s="214">
        <f t="shared" si="302"/>
        <v>562307.07725064934</v>
      </c>
      <c r="AZ187" s="214">
        <f t="shared" si="302"/>
        <v>492635.21748076624</v>
      </c>
      <c r="BA187" s="303">
        <f t="shared" si="302"/>
        <v>1054942.2947314156</v>
      </c>
      <c r="BB187" s="214">
        <f t="shared" si="302"/>
        <v>0</v>
      </c>
      <c r="BC187" s="32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</row>
    <row r="188" spans="1:71" ht="13.8">
      <c r="A188" s="216"/>
      <c r="B188" s="1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  <c r="AB188" s="200"/>
      <c r="AC188" s="200"/>
      <c r="AD188" s="200"/>
      <c r="AE188" s="200"/>
      <c r="AF188" s="200"/>
      <c r="AG188" s="200"/>
      <c r="AH188" s="200"/>
      <c r="AI188" s="200"/>
      <c r="AJ188" s="200"/>
      <c r="AK188" s="200"/>
      <c r="AL188" s="200"/>
      <c r="AM188" s="200"/>
      <c r="AN188" s="200"/>
      <c r="AO188" s="200"/>
      <c r="AP188" s="200"/>
      <c r="AQ188" s="200"/>
      <c r="AR188" s="200"/>
      <c r="AS188" s="221"/>
      <c r="AT188" s="200"/>
      <c r="AU188" s="200"/>
      <c r="AV188" s="200"/>
      <c r="AW188" s="200"/>
      <c r="AX188" s="200"/>
      <c r="AY188" s="200"/>
      <c r="AZ188" s="200"/>
      <c r="BA188" s="200"/>
      <c r="BB188" s="200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</row>
    <row r="189" spans="1:71" ht="13.8">
      <c r="A189" s="217"/>
      <c r="B189" s="218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21"/>
      <c r="AB189" s="221"/>
      <c r="AC189" s="221"/>
      <c r="AD189" s="200"/>
      <c r="AE189" s="200"/>
      <c r="AF189" s="200"/>
      <c r="AG189" s="200"/>
      <c r="AH189" s="200"/>
      <c r="AI189" s="200"/>
      <c r="AJ189" s="200"/>
      <c r="AK189" s="221"/>
      <c r="AL189" s="200"/>
      <c r="AM189" s="200"/>
      <c r="AN189" s="200"/>
      <c r="AO189" s="200"/>
      <c r="AP189" s="221"/>
      <c r="AQ189" s="221"/>
      <c r="AR189" s="221"/>
      <c r="AS189" s="200"/>
      <c r="AT189" s="200"/>
      <c r="AU189" s="200"/>
      <c r="AV189" s="200"/>
      <c r="AW189" s="200"/>
      <c r="AX189" s="200"/>
      <c r="AY189" s="200"/>
      <c r="AZ189" s="200"/>
      <c r="BA189" s="200"/>
      <c r="BB189" s="200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</row>
    <row r="190" spans="1:71" ht="13.8">
      <c r="A190" s="216"/>
      <c r="B190" s="220">
        <v>1</v>
      </c>
      <c r="C190" s="109">
        <v>1</v>
      </c>
      <c r="D190" s="200"/>
      <c r="E190" s="200"/>
      <c r="F190" s="200"/>
      <c r="G190" s="200"/>
      <c r="H190" s="200"/>
      <c r="I190" s="200"/>
      <c r="J190" s="200"/>
      <c r="K190" s="200">
        <f>K187-K64</f>
        <v>2857</v>
      </c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  <c r="AB190" s="200"/>
      <c r="AC190" s="200"/>
      <c r="AD190" s="200"/>
      <c r="AE190" s="200"/>
      <c r="AF190" s="200"/>
      <c r="AG190" s="200"/>
      <c r="AH190" s="221"/>
      <c r="AI190" s="221"/>
      <c r="AJ190" s="200"/>
      <c r="AK190" s="200"/>
      <c r="AL190" s="200"/>
      <c r="AM190" s="200"/>
      <c r="AN190" s="200"/>
      <c r="AO190" s="200"/>
      <c r="AP190" s="200"/>
      <c r="AQ190" s="200"/>
      <c r="AR190" s="200"/>
      <c r="AS190" s="200"/>
      <c r="AT190" s="200"/>
      <c r="AU190" s="200"/>
      <c r="AV190" s="200"/>
      <c r="AW190" s="200"/>
      <c r="AX190" s="200"/>
      <c r="AY190" s="200"/>
      <c r="AZ190" s="200"/>
      <c r="BA190" s="200"/>
      <c r="BB190" s="200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</row>
    <row r="191" spans="1:71" ht="17.399999999999999">
      <c r="A191" s="216"/>
      <c r="B191" s="222">
        <v>46054</v>
      </c>
      <c r="C191" s="109">
        <v>0.5</v>
      </c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21"/>
      <c r="AB191" s="221"/>
      <c r="AC191" s="221"/>
      <c r="AD191" s="200"/>
      <c r="AE191" s="200"/>
      <c r="AF191" s="200"/>
      <c r="AG191" s="200"/>
      <c r="AH191" s="200"/>
      <c r="AI191" s="200"/>
      <c r="AJ191" s="200"/>
      <c r="AK191" s="200"/>
      <c r="AL191" s="200"/>
      <c r="AM191" s="304"/>
      <c r="AN191" s="200"/>
      <c r="AO191" s="334"/>
      <c r="AP191" s="221"/>
      <c r="AQ191" s="221"/>
      <c r="AR191" s="450"/>
      <c r="AS191" s="451"/>
      <c r="AT191" s="451"/>
      <c r="AU191" s="200"/>
      <c r="AV191" s="200"/>
      <c r="AW191" s="200"/>
      <c r="AX191" s="200"/>
      <c r="AY191" s="200"/>
      <c r="AZ191" s="200"/>
      <c r="BA191" s="200"/>
      <c r="BB191" s="200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</row>
    <row r="192" spans="1:71" ht="13.8">
      <c r="A192" s="216"/>
      <c r="B192" s="222">
        <v>46113</v>
      </c>
      <c r="C192" s="109">
        <v>0.25</v>
      </c>
      <c r="D192" s="200"/>
      <c r="E192" s="200"/>
      <c r="F192" s="200"/>
      <c r="G192" s="200"/>
      <c r="H192" s="200"/>
      <c r="I192" s="200"/>
      <c r="J192" s="200"/>
      <c r="K192" s="221">
        <v>2733</v>
      </c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  <c r="AB192" s="200"/>
      <c r="AC192" s="200"/>
      <c r="AD192" s="200"/>
      <c r="AE192" s="200"/>
      <c r="AF192" s="200"/>
      <c r="AG192" s="200"/>
      <c r="AH192" s="200"/>
      <c r="AI192" s="221"/>
      <c r="AJ192" s="200"/>
      <c r="AK192" s="200"/>
      <c r="AL192" s="200"/>
      <c r="AM192" s="200"/>
      <c r="AN192" s="200"/>
      <c r="AO192" s="200"/>
      <c r="AP192" s="200"/>
      <c r="AQ192" s="200"/>
      <c r="AR192" s="200"/>
      <c r="AS192" s="200"/>
      <c r="AT192" s="200"/>
      <c r="AU192" s="200"/>
      <c r="AV192" s="200"/>
      <c r="AW192" s="200"/>
      <c r="AX192" s="200"/>
      <c r="AY192" s="200"/>
      <c r="AZ192" s="200"/>
      <c r="BA192" s="200"/>
      <c r="BB192" s="200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</row>
    <row r="193" spans="1:71" ht="13.8">
      <c r="A193" s="216"/>
      <c r="B193" s="222">
        <v>46145</v>
      </c>
      <c r="C193" s="109">
        <v>0.6</v>
      </c>
      <c r="D193" s="200"/>
      <c r="E193" s="200"/>
      <c r="F193" s="200"/>
      <c r="G193" s="200"/>
      <c r="H193" s="200"/>
      <c r="I193" s="200"/>
      <c r="J193" s="200"/>
      <c r="K193" s="200">
        <f>K190-K192</f>
        <v>124</v>
      </c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  <c r="AB193" s="200"/>
      <c r="AC193" s="200"/>
      <c r="AD193" s="200"/>
      <c r="AE193" s="200"/>
      <c r="AF193" s="200"/>
      <c r="AG193" s="200"/>
      <c r="AH193" s="200"/>
      <c r="AI193" s="200"/>
      <c r="AJ193" s="200"/>
      <c r="AK193" s="200"/>
      <c r="AL193" s="200"/>
      <c r="AM193" s="200"/>
      <c r="AN193" s="200"/>
      <c r="AO193" s="200"/>
      <c r="AP193" s="200"/>
      <c r="AQ193" s="200"/>
      <c r="AR193" s="200"/>
      <c r="AS193" s="200"/>
      <c r="AT193" s="200"/>
      <c r="AU193" s="200"/>
      <c r="AV193" s="200"/>
      <c r="AW193" s="200"/>
      <c r="AX193" s="200"/>
      <c r="AY193" s="200"/>
      <c r="AZ193" s="200"/>
      <c r="BA193" s="200"/>
      <c r="BB193" s="200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</row>
    <row r="194" spans="1:71" ht="13.8">
      <c r="A194" s="216"/>
      <c r="B194" s="222">
        <v>46115</v>
      </c>
      <c r="C194" s="109">
        <v>0.75</v>
      </c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  <c r="AB194" s="200"/>
      <c r="AC194" s="200"/>
      <c r="AD194" s="200"/>
      <c r="AE194" s="200"/>
      <c r="AF194" s="200"/>
      <c r="AG194" s="200"/>
      <c r="AH194" s="200"/>
      <c r="AI194" s="200"/>
      <c r="AJ194" s="200"/>
      <c r="AK194" s="200"/>
      <c r="AL194" s="200"/>
      <c r="AM194" s="200"/>
      <c r="AN194" s="200"/>
      <c r="AO194" s="200"/>
      <c r="AP194" s="200"/>
      <c r="AQ194" s="200"/>
      <c r="AR194" s="200"/>
      <c r="AS194" s="200"/>
      <c r="AT194" s="200"/>
      <c r="AU194" s="200"/>
      <c r="AV194" s="200"/>
      <c r="AW194" s="200"/>
      <c r="AX194" s="200"/>
      <c r="AY194" s="200"/>
      <c r="AZ194" s="200"/>
      <c r="BA194" s="200"/>
      <c r="BB194" s="200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</row>
    <row r="195" spans="1:71" ht="13.8">
      <c r="A195" s="216"/>
      <c r="B195" s="1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  <c r="AB195" s="200"/>
      <c r="AC195" s="200"/>
      <c r="AD195" s="200"/>
      <c r="AE195" s="200"/>
      <c r="AF195" s="200"/>
      <c r="AG195" s="335" t="s">
        <v>230</v>
      </c>
      <c r="AH195" s="200"/>
      <c r="AI195" s="200"/>
      <c r="AJ195" s="200"/>
      <c r="AK195" s="200"/>
      <c r="AL195" s="200"/>
      <c r="AM195" s="200"/>
      <c r="AN195" s="200"/>
      <c r="AO195" s="200"/>
      <c r="AP195" s="200"/>
      <c r="AQ195" s="200"/>
      <c r="AR195" s="200"/>
      <c r="AS195" s="200"/>
      <c r="AT195" s="200"/>
      <c r="AU195" s="200"/>
      <c r="AV195" s="200"/>
      <c r="AW195" s="200"/>
      <c r="AX195" s="200"/>
      <c r="AY195" s="200"/>
      <c r="AZ195" s="200"/>
      <c r="BA195" s="200"/>
      <c r="BB195" s="200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</row>
    <row r="196" spans="1:71" ht="13.8">
      <c r="A196" s="216"/>
      <c r="B196" s="1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  <c r="AB196" s="200"/>
      <c r="AC196" s="200"/>
      <c r="AD196" s="200"/>
      <c r="AE196" s="200"/>
      <c r="AF196" s="200"/>
      <c r="AG196" s="336"/>
      <c r="AH196" s="200"/>
      <c r="AI196" s="200"/>
      <c r="AJ196" s="200"/>
      <c r="AK196" s="200"/>
      <c r="AL196" s="200"/>
      <c r="AM196" s="200"/>
      <c r="AN196" s="200"/>
      <c r="AO196" s="200"/>
      <c r="AP196" s="200"/>
      <c r="AQ196" s="200"/>
      <c r="AR196" s="200"/>
      <c r="AS196" s="200"/>
      <c r="AT196" s="200"/>
      <c r="AU196" s="200"/>
      <c r="AV196" s="200"/>
      <c r="AW196" s="200"/>
      <c r="AX196" s="200"/>
      <c r="AY196" s="200"/>
      <c r="AZ196" s="200"/>
      <c r="BA196" s="200"/>
      <c r="BB196" s="200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</row>
    <row r="197" spans="1:71" ht="13.8">
      <c r="A197" s="216"/>
      <c r="B197" s="1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  <c r="AB197" s="200"/>
      <c r="AC197" s="200"/>
      <c r="AD197" s="200"/>
      <c r="AE197" s="200"/>
      <c r="AF197" s="200"/>
      <c r="AG197" s="336" t="s">
        <v>231</v>
      </c>
      <c r="AH197" s="200"/>
      <c r="AI197" s="200"/>
      <c r="AJ197" s="200"/>
      <c r="AK197" s="200"/>
      <c r="AL197" s="200"/>
      <c r="AM197" s="200"/>
      <c r="AN197" s="200"/>
      <c r="AO197" s="200"/>
      <c r="AP197" s="200"/>
      <c r="AQ197" s="200"/>
      <c r="AR197" s="200"/>
      <c r="AS197" s="200"/>
      <c r="AT197" s="200"/>
      <c r="AU197" s="200"/>
      <c r="AV197" s="200"/>
      <c r="AW197" s="200"/>
      <c r="AX197" s="200"/>
      <c r="AY197" s="200"/>
      <c r="AZ197" s="200"/>
      <c r="BA197" s="200"/>
      <c r="BB197" s="200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</row>
    <row r="198" spans="1:71" ht="13.8">
      <c r="A198" s="1"/>
      <c r="B198" s="1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  <c r="AB198" s="200"/>
      <c r="AC198" s="200"/>
      <c r="AD198" s="200"/>
      <c r="AE198" s="200"/>
      <c r="AF198" s="200"/>
      <c r="AG198" s="221" t="s">
        <v>232</v>
      </c>
      <c r="AH198" s="200"/>
      <c r="AI198" s="200"/>
      <c r="AJ198" s="200"/>
      <c r="AK198" s="200"/>
      <c r="AL198" s="200"/>
      <c r="AM198" s="200"/>
      <c r="AN198" s="200"/>
      <c r="AO198" s="200"/>
      <c r="AP198" s="200"/>
      <c r="AQ198" s="200"/>
      <c r="AR198" s="200"/>
      <c r="AS198" s="200"/>
      <c r="AT198" s="200"/>
      <c r="AU198" s="200"/>
      <c r="AV198" s="200"/>
      <c r="AW198" s="200"/>
      <c r="AX198" s="200"/>
      <c r="AY198" s="200"/>
      <c r="AZ198" s="200"/>
      <c r="BA198" s="200"/>
      <c r="BB198" s="200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</row>
    <row r="199" spans="1:71" ht="13.8">
      <c r="A199" s="1"/>
      <c r="B199" s="1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  <c r="AB199" s="200"/>
      <c r="AC199" s="200"/>
      <c r="AD199" s="200"/>
      <c r="AE199" s="200"/>
      <c r="AF199" s="200"/>
      <c r="AG199" s="336" t="s">
        <v>233</v>
      </c>
      <c r="AH199" s="200"/>
      <c r="AI199" s="200"/>
      <c r="AJ199" s="200"/>
      <c r="AK199" s="200"/>
      <c r="AL199" s="200"/>
      <c r="AM199" s="200"/>
      <c r="AN199" s="200"/>
      <c r="AO199" s="200"/>
      <c r="AP199" s="200"/>
      <c r="AQ199" s="200"/>
      <c r="AR199" s="200"/>
      <c r="AS199" s="200"/>
      <c r="AT199" s="200"/>
      <c r="AU199" s="200"/>
      <c r="AV199" s="200"/>
      <c r="AW199" s="200"/>
      <c r="AX199" s="200"/>
      <c r="AY199" s="200"/>
      <c r="AZ199" s="200"/>
      <c r="BA199" s="200"/>
      <c r="BB199" s="200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</row>
    <row r="200" spans="1:71" ht="13.8">
      <c r="A200" s="1"/>
      <c r="B200" s="1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200"/>
      <c r="AQ200" s="200"/>
      <c r="AR200" s="200"/>
      <c r="AS200" s="200"/>
      <c r="AT200" s="200"/>
      <c r="AU200" s="200"/>
      <c r="AV200" s="200"/>
      <c r="AW200" s="200"/>
      <c r="AX200" s="200"/>
      <c r="AY200" s="200"/>
      <c r="AZ200" s="200"/>
      <c r="BA200" s="200"/>
      <c r="BB200" s="200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</row>
    <row r="201" spans="1:71" ht="13.8">
      <c r="A201" s="1"/>
      <c r="B201" s="1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200"/>
      <c r="AQ201" s="200"/>
      <c r="AR201" s="200"/>
      <c r="AS201" s="200"/>
      <c r="AT201" s="200"/>
      <c r="AU201" s="200"/>
      <c r="AV201" s="200"/>
      <c r="AW201" s="200"/>
      <c r="AX201" s="200"/>
      <c r="AY201" s="200"/>
      <c r="AZ201" s="200"/>
      <c r="BA201" s="200"/>
      <c r="BB201" s="200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</row>
    <row r="202" spans="1:71" ht="13.8">
      <c r="A202" s="1"/>
      <c r="B202" s="1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  <c r="AB202" s="200"/>
      <c r="AC202" s="200"/>
      <c r="AD202" s="200"/>
      <c r="AE202" s="200"/>
      <c r="AF202" s="200"/>
      <c r="AG202" s="200"/>
      <c r="AH202" s="200"/>
      <c r="AI202" s="200"/>
      <c r="AJ202" s="200"/>
      <c r="AK202" s="200"/>
      <c r="AL202" s="200"/>
      <c r="AM202" s="200"/>
      <c r="AN202" s="200"/>
      <c r="AO202" s="200"/>
      <c r="AP202" s="200"/>
      <c r="AQ202" s="200"/>
      <c r="AR202" s="200"/>
      <c r="AS202" s="200"/>
      <c r="AT202" s="200"/>
      <c r="AU202" s="200"/>
      <c r="AV202" s="200"/>
      <c r="AW202" s="200"/>
      <c r="AX202" s="200"/>
      <c r="AY202" s="200"/>
      <c r="AZ202" s="200"/>
      <c r="BA202" s="200"/>
      <c r="BB202" s="200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</row>
    <row r="203" spans="1:71" ht="13.8">
      <c r="A203" s="1"/>
      <c r="B203" s="1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  <c r="AB203" s="200"/>
      <c r="AC203" s="200"/>
      <c r="AD203" s="200"/>
      <c r="AE203" s="200"/>
      <c r="AF203" s="200"/>
      <c r="AG203" s="200"/>
      <c r="AH203" s="200"/>
      <c r="AI203" s="200"/>
      <c r="AJ203" s="200"/>
      <c r="AK203" s="200"/>
      <c r="AL203" s="200"/>
      <c r="AM203" s="200"/>
      <c r="AN203" s="200"/>
      <c r="AO203" s="200"/>
      <c r="AP203" s="200"/>
      <c r="AQ203" s="200"/>
      <c r="AR203" s="200"/>
      <c r="AS203" s="200"/>
      <c r="AT203" s="200"/>
      <c r="AU203" s="200"/>
      <c r="AV203" s="200"/>
      <c r="AW203" s="200"/>
      <c r="AX203" s="200"/>
      <c r="AY203" s="200"/>
      <c r="AZ203" s="200"/>
      <c r="BA203" s="200"/>
      <c r="BB203" s="200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</row>
    <row r="204" spans="1:71" ht="13.8">
      <c r="A204" s="1"/>
      <c r="B204" s="1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  <c r="AB204" s="200"/>
      <c r="AC204" s="200"/>
      <c r="AD204" s="200"/>
      <c r="AE204" s="200"/>
      <c r="AF204" s="200"/>
      <c r="AG204" s="200"/>
      <c r="AH204" s="200"/>
      <c r="AI204" s="200"/>
      <c r="AJ204" s="200"/>
      <c r="AK204" s="200"/>
      <c r="AL204" s="200"/>
      <c r="AM204" s="200"/>
      <c r="AN204" s="200"/>
      <c r="AO204" s="200"/>
      <c r="AP204" s="200"/>
      <c r="AQ204" s="200"/>
      <c r="AR204" s="200"/>
      <c r="AS204" s="200"/>
      <c r="AT204" s="200"/>
      <c r="AU204" s="200"/>
      <c r="AV204" s="200"/>
      <c r="AW204" s="200"/>
      <c r="AX204" s="200"/>
      <c r="AY204" s="200"/>
      <c r="AZ204" s="200"/>
      <c r="BA204" s="200"/>
      <c r="BB204" s="200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</row>
    <row r="205" spans="1:71" ht="13.8">
      <c r="A205" s="1"/>
      <c r="B205" s="1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  <c r="AB205" s="200"/>
      <c r="AC205" s="200">
        <f>SUM(AC210:AC212)</f>
        <v>169054.30000000002</v>
      </c>
      <c r="AD205" s="200"/>
      <c r="AE205" s="200"/>
      <c r="AF205" s="200"/>
      <c r="AG205" s="200"/>
      <c r="AH205" s="200"/>
      <c r="AI205" s="200"/>
      <c r="AJ205" s="200"/>
      <c r="AK205" s="200"/>
      <c r="AL205" s="200"/>
      <c r="AM205" s="200"/>
      <c r="AN205" s="200"/>
      <c r="AO205" s="200"/>
      <c r="AP205" s="200"/>
      <c r="AQ205" s="200"/>
      <c r="AR205" s="200"/>
      <c r="AS205" s="200"/>
      <c r="AT205" s="200"/>
      <c r="AU205" s="200"/>
      <c r="AV205" s="200"/>
      <c r="AW205" s="200"/>
      <c r="AX205" s="200"/>
      <c r="AY205" s="200"/>
      <c r="AZ205" s="200"/>
      <c r="BA205" s="200"/>
      <c r="BB205" s="200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</row>
    <row r="206" spans="1:71" ht="13.8">
      <c r="A206" s="1"/>
      <c r="B206" s="1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  <c r="AB206" s="200"/>
      <c r="AC206" s="200"/>
      <c r="AD206" s="200"/>
      <c r="AE206" s="200"/>
      <c r="AF206" s="200"/>
      <c r="AG206" s="200"/>
      <c r="AH206" s="200"/>
      <c r="AI206" s="200"/>
      <c r="AJ206" s="200"/>
      <c r="AK206" s="200"/>
      <c r="AL206" s="200"/>
      <c r="AM206" s="200"/>
      <c r="AN206" s="200"/>
      <c r="AO206" s="200"/>
      <c r="AP206" s="200"/>
      <c r="AQ206" s="200"/>
      <c r="AR206" s="200"/>
      <c r="AS206" s="200"/>
      <c r="AT206" s="200"/>
      <c r="AU206" s="200"/>
      <c r="AV206" s="200"/>
      <c r="AW206" s="200"/>
      <c r="AX206" s="200"/>
      <c r="AY206" s="200"/>
      <c r="AZ206" s="200"/>
      <c r="BA206" s="200"/>
      <c r="BB206" s="200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</row>
    <row r="207" spans="1:71" ht="13.8">
      <c r="A207" s="1"/>
      <c r="B207" s="1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21"/>
      <c r="AB207" s="221">
        <v>2747.03</v>
      </c>
      <c r="AC207" s="200"/>
      <c r="AD207" s="200"/>
      <c r="AE207" s="200"/>
      <c r="AF207" s="200"/>
      <c r="AG207" s="200"/>
      <c r="AH207" s="200"/>
      <c r="AI207" s="200"/>
      <c r="AJ207" s="200"/>
      <c r="AK207" s="200"/>
      <c r="AL207" s="200"/>
      <c r="AM207" s="200"/>
      <c r="AN207" s="200"/>
      <c r="AO207" s="200"/>
      <c r="AP207" s="200"/>
      <c r="AQ207" s="200"/>
      <c r="AR207" s="200"/>
      <c r="AS207" s="200"/>
      <c r="AT207" s="200"/>
      <c r="AU207" s="200"/>
      <c r="AV207" s="200"/>
      <c r="AW207" s="200"/>
      <c r="AX207" s="200"/>
      <c r="AY207" s="200"/>
      <c r="AZ207" s="200"/>
      <c r="BA207" s="200"/>
      <c r="BB207" s="200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</row>
    <row r="208" spans="1:71" ht="13.8">
      <c r="A208" s="1"/>
      <c r="B208" s="1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21"/>
      <c r="AB208" s="221">
        <v>161567.42000000001</v>
      </c>
      <c r="AC208" s="221">
        <v>375581.83</v>
      </c>
      <c r="AD208" s="221" t="s">
        <v>234</v>
      </c>
      <c r="AE208" s="200"/>
      <c r="AF208" s="200"/>
      <c r="AG208" s="200"/>
      <c r="AH208" s="200"/>
      <c r="AI208" s="200"/>
      <c r="AJ208" s="200"/>
      <c r="AK208" s="200"/>
      <c r="AL208" s="200"/>
      <c r="AM208" s="200"/>
      <c r="AN208" s="200"/>
      <c r="AO208" s="200"/>
      <c r="AP208" s="200"/>
      <c r="AQ208" s="200"/>
      <c r="AR208" s="200"/>
      <c r="AS208" s="200"/>
      <c r="AT208" s="200"/>
      <c r="AU208" s="200"/>
      <c r="AV208" s="200"/>
      <c r="AW208" s="200"/>
      <c r="AX208" s="200"/>
      <c r="AY208" s="200"/>
      <c r="AZ208" s="200"/>
      <c r="BA208" s="200"/>
      <c r="BB208" s="200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</row>
    <row r="209" spans="1:71" ht="13.8">
      <c r="A209" s="1"/>
      <c r="B209" s="1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337"/>
      <c r="AB209" s="337">
        <f>AB207+AB208</f>
        <v>164314.45000000001</v>
      </c>
      <c r="AC209" s="200"/>
      <c r="AD209" s="200"/>
      <c r="AE209" s="200"/>
      <c r="AF209" s="200"/>
      <c r="AG209" s="200"/>
      <c r="AH209" s="200"/>
      <c r="AI209" s="200"/>
      <c r="AJ209" s="200"/>
      <c r="AK209" s="200"/>
      <c r="AL209" s="200"/>
      <c r="AM209" s="200"/>
      <c r="AN209" s="200"/>
      <c r="AO209" s="200"/>
      <c r="AP209" s="200"/>
      <c r="AQ209" s="200"/>
      <c r="AR209" s="200"/>
      <c r="AS209" s="200"/>
      <c r="AT209" s="200"/>
      <c r="AU209" s="200"/>
      <c r="AV209" s="200"/>
      <c r="AW209" s="200"/>
      <c r="AX209" s="200"/>
      <c r="AY209" s="200"/>
      <c r="AZ209" s="200"/>
      <c r="BA209" s="200"/>
      <c r="BB209" s="200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</row>
    <row r="210" spans="1:71" ht="13.8">
      <c r="A210" s="1"/>
      <c r="B210" s="1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21"/>
      <c r="AB210" s="221">
        <v>42434.98</v>
      </c>
      <c r="AC210" s="221">
        <v>56414.63</v>
      </c>
      <c r="AD210" s="221">
        <v>22</v>
      </c>
      <c r="AE210" s="200"/>
      <c r="AF210" s="200"/>
      <c r="AG210" s="200"/>
      <c r="AH210" s="200"/>
      <c r="AI210" s="200"/>
      <c r="AJ210" s="200"/>
      <c r="AK210" s="200"/>
      <c r="AL210" s="200"/>
      <c r="AM210" s="200"/>
      <c r="AN210" s="200"/>
      <c r="AO210" s="200"/>
      <c r="AP210" s="200"/>
      <c r="AQ210" s="200"/>
      <c r="AR210" s="200"/>
      <c r="AS210" s="200"/>
      <c r="AT210" s="200"/>
      <c r="AU210" s="200"/>
      <c r="AV210" s="200"/>
      <c r="AW210" s="200"/>
      <c r="AX210" s="200"/>
      <c r="AY210" s="200"/>
      <c r="AZ210" s="200"/>
      <c r="BA210" s="200"/>
      <c r="BB210" s="200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</row>
    <row r="211" spans="1:71" ht="13.8">
      <c r="A211" s="1"/>
      <c r="B211" s="1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21"/>
      <c r="AB211" s="221">
        <v>38807.379999999997</v>
      </c>
      <c r="AC211" s="221">
        <v>88152.85</v>
      </c>
      <c r="AD211" s="221">
        <v>18</v>
      </c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200"/>
      <c r="AQ211" s="200"/>
      <c r="AR211" s="200"/>
      <c r="AS211" s="200"/>
      <c r="AT211" s="200"/>
      <c r="AU211" s="200"/>
      <c r="AV211" s="200"/>
      <c r="AW211" s="200"/>
      <c r="AX211" s="200"/>
      <c r="AY211" s="200"/>
      <c r="AZ211" s="200"/>
      <c r="BA211" s="200"/>
      <c r="BB211" s="200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</row>
    <row r="212" spans="1:71" ht="13.8">
      <c r="A212" s="1"/>
      <c r="B212" s="1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21"/>
      <c r="AB212" s="221">
        <v>10779.82</v>
      </c>
      <c r="AC212" s="221">
        <v>24486.82</v>
      </c>
      <c r="AD212" s="221">
        <v>5</v>
      </c>
      <c r="AE212" s="200"/>
      <c r="AF212" s="200"/>
      <c r="AG212" s="200"/>
      <c r="AH212" s="200"/>
      <c r="AI212" s="200"/>
      <c r="AJ212" s="200"/>
      <c r="AK212" s="200"/>
      <c r="AL212" s="200"/>
      <c r="AM212" s="200"/>
      <c r="AN212" s="200"/>
      <c r="AO212" s="200"/>
      <c r="AP212" s="200"/>
      <c r="AQ212" s="200"/>
      <c r="AR212" s="200"/>
      <c r="AS212" s="200"/>
      <c r="AT212" s="200"/>
      <c r="AU212" s="200"/>
      <c r="AV212" s="200"/>
      <c r="AW212" s="200"/>
      <c r="AX212" s="200"/>
      <c r="AY212" s="200"/>
      <c r="AZ212" s="200"/>
      <c r="BA212" s="200"/>
      <c r="BB212" s="200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</row>
    <row r="213" spans="1:71" ht="13.8">
      <c r="A213" s="1"/>
      <c r="B213" s="1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200"/>
      <c r="AG213" s="200"/>
      <c r="AH213" s="200"/>
      <c r="AI213" s="200"/>
      <c r="AJ213" s="200"/>
      <c r="AK213" s="200"/>
      <c r="AL213" s="200"/>
      <c r="AM213" s="200"/>
      <c r="AN213" s="200"/>
      <c r="AO213" s="200"/>
      <c r="AP213" s="200"/>
      <c r="AQ213" s="200"/>
      <c r="AR213" s="200"/>
      <c r="AS213" s="200"/>
      <c r="AT213" s="200"/>
      <c r="AU213" s="200"/>
      <c r="AV213" s="200"/>
      <c r="AW213" s="200"/>
      <c r="AX213" s="200"/>
      <c r="AY213" s="200"/>
      <c r="AZ213" s="200"/>
      <c r="BA213" s="200"/>
      <c r="BB213" s="200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</row>
    <row r="214" spans="1:71" ht="13.8">
      <c r="A214" s="1"/>
      <c r="B214" s="1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  <c r="AB214" s="200">
        <f>AB210+AB211+AB212+AB209</f>
        <v>256336.63</v>
      </c>
      <c r="AC214" s="200">
        <f>AC210+AC211+AC212+AC208</f>
        <v>544636.13</v>
      </c>
      <c r="AD214" s="200"/>
      <c r="AE214" s="200"/>
      <c r="AF214" s="200"/>
      <c r="AG214" s="200"/>
      <c r="AH214" s="200"/>
      <c r="AI214" s="200"/>
      <c r="AJ214" s="200"/>
      <c r="AK214" s="200"/>
      <c r="AL214" s="200"/>
      <c r="AM214" s="200"/>
      <c r="AN214" s="200"/>
      <c r="AO214" s="200"/>
      <c r="AP214" s="200"/>
      <c r="AQ214" s="200"/>
      <c r="AR214" s="200"/>
      <c r="AS214" s="200"/>
      <c r="AT214" s="200"/>
      <c r="AU214" s="200"/>
      <c r="AV214" s="200"/>
      <c r="AW214" s="200"/>
      <c r="AX214" s="200"/>
      <c r="AY214" s="200"/>
      <c r="AZ214" s="200"/>
      <c r="BA214" s="200"/>
      <c r="BB214" s="200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</row>
    <row r="215" spans="1:71" ht="13.8">
      <c r="A215" s="1"/>
      <c r="B215" s="1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200"/>
      <c r="AG215" s="200"/>
      <c r="AH215" s="200"/>
      <c r="AI215" s="200"/>
      <c r="AJ215" s="200"/>
      <c r="AK215" s="200"/>
      <c r="AL215" s="200"/>
      <c r="AM215" s="200"/>
      <c r="AN215" s="200"/>
      <c r="AO215" s="200"/>
      <c r="AP215" s="200"/>
      <c r="AQ215" s="200"/>
      <c r="AR215" s="200"/>
      <c r="AS215" s="200"/>
      <c r="AT215" s="200"/>
      <c r="AU215" s="200"/>
      <c r="AV215" s="200"/>
      <c r="AW215" s="200"/>
      <c r="AX215" s="200"/>
      <c r="AY215" s="200"/>
      <c r="AZ215" s="200"/>
      <c r="BA215" s="200"/>
      <c r="BB215" s="200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</row>
    <row r="216" spans="1:71" ht="13.8">
      <c r="A216" s="1"/>
      <c r="B216" s="1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200"/>
      <c r="AG216" s="200"/>
      <c r="AH216" s="200"/>
      <c r="AI216" s="200"/>
      <c r="AJ216" s="200"/>
      <c r="AK216" s="200"/>
      <c r="AL216" s="200"/>
      <c r="AM216" s="200"/>
      <c r="AN216" s="200"/>
      <c r="AO216" s="200"/>
      <c r="AP216" s="200"/>
      <c r="AQ216" s="200"/>
      <c r="AR216" s="200"/>
      <c r="AS216" s="200"/>
      <c r="AT216" s="200"/>
      <c r="AU216" s="200"/>
      <c r="AV216" s="200"/>
      <c r="AW216" s="200"/>
      <c r="AX216" s="200"/>
      <c r="AY216" s="200"/>
      <c r="AZ216" s="200"/>
      <c r="BA216" s="200"/>
      <c r="BB216" s="200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</row>
    <row r="217" spans="1:71" ht="13.8">
      <c r="A217" s="1"/>
      <c r="B217" s="1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  <c r="AB217" s="200"/>
      <c r="AC217" s="200"/>
      <c r="AD217" s="200"/>
      <c r="AE217" s="200"/>
      <c r="AF217" s="200"/>
      <c r="AG217" s="200"/>
      <c r="AH217" s="200"/>
      <c r="AI217" s="200"/>
      <c r="AJ217" s="200"/>
      <c r="AK217" s="200"/>
      <c r="AL217" s="200"/>
      <c r="AM217" s="200"/>
      <c r="AN217" s="200"/>
      <c r="AO217" s="200"/>
      <c r="AP217" s="200"/>
      <c r="AQ217" s="200"/>
      <c r="AR217" s="200"/>
      <c r="AS217" s="200"/>
      <c r="AT217" s="200"/>
      <c r="AU217" s="200"/>
      <c r="AV217" s="200"/>
      <c r="AW217" s="200"/>
      <c r="AX217" s="200"/>
      <c r="AY217" s="200"/>
      <c r="AZ217" s="200"/>
      <c r="BA217" s="200"/>
      <c r="BB217" s="200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</row>
    <row r="218" spans="1:71" ht="13.8">
      <c r="A218" s="1"/>
      <c r="B218" s="1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  <c r="AB218" s="200"/>
      <c r="AC218" s="200"/>
      <c r="AD218" s="200"/>
      <c r="AE218" s="200"/>
      <c r="AF218" s="200"/>
      <c r="AG218" s="200"/>
      <c r="AH218" s="200"/>
      <c r="AI218" s="200"/>
      <c r="AJ218" s="200"/>
      <c r="AK218" s="200"/>
      <c r="AL218" s="200"/>
      <c r="AM218" s="200"/>
      <c r="AN218" s="200"/>
      <c r="AO218" s="200"/>
      <c r="AP218" s="200"/>
      <c r="AQ218" s="200"/>
      <c r="AR218" s="200"/>
      <c r="AS218" s="200"/>
      <c r="AT218" s="200"/>
      <c r="AU218" s="200"/>
      <c r="AV218" s="200"/>
      <c r="AW218" s="200"/>
      <c r="AX218" s="200"/>
      <c r="AY218" s="200"/>
      <c r="AZ218" s="200"/>
      <c r="BA218" s="200"/>
      <c r="BB218" s="200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</row>
    <row r="219" spans="1:71" ht="13.8">
      <c r="A219" s="1"/>
      <c r="B219" s="1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  <c r="AB219" s="200"/>
      <c r="AC219" s="200"/>
      <c r="AD219" s="200"/>
      <c r="AE219" s="200"/>
      <c r="AF219" s="200"/>
      <c r="AG219" s="200"/>
      <c r="AH219" s="200"/>
      <c r="AI219" s="200"/>
      <c r="AJ219" s="200"/>
      <c r="AK219" s="200"/>
      <c r="AL219" s="200"/>
      <c r="AM219" s="200"/>
      <c r="AN219" s="200"/>
      <c r="AO219" s="200"/>
      <c r="AP219" s="200"/>
      <c r="AQ219" s="200"/>
      <c r="AR219" s="200"/>
      <c r="AS219" s="200"/>
      <c r="AT219" s="200"/>
      <c r="AU219" s="200"/>
      <c r="AV219" s="200"/>
      <c r="AW219" s="200"/>
      <c r="AX219" s="200"/>
      <c r="AY219" s="200"/>
      <c r="AZ219" s="200"/>
      <c r="BA219" s="200"/>
      <c r="BB219" s="200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</row>
    <row r="220" spans="1:71" ht="13.8">
      <c r="A220" s="1"/>
      <c r="B220" s="1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0"/>
      <c r="AH220" s="200"/>
      <c r="AI220" s="200"/>
      <c r="AJ220" s="200"/>
      <c r="AK220" s="200"/>
      <c r="AL220" s="200"/>
      <c r="AM220" s="200"/>
      <c r="AN220" s="200"/>
      <c r="AO220" s="200"/>
      <c r="AP220" s="200"/>
      <c r="AQ220" s="200"/>
      <c r="AR220" s="200"/>
      <c r="AS220" s="200"/>
      <c r="AT220" s="200"/>
      <c r="AU220" s="200"/>
      <c r="AV220" s="200"/>
      <c r="AW220" s="200"/>
      <c r="AX220" s="200"/>
      <c r="AY220" s="200"/>
      <c r="AZ220" s="200"/>
      <c r="BA220" s="200"/>
      <c r="BB220" s="200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</row>
    <row r="221" spans="1:71" ht="13.8">
      <c r="A221" s="1"/>
      <c r="B221" s="1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  <c r="AB221" s="200"/>
      <c r="AC221" s="200"/>
      <c r="AD221" s="200"/>
      <c r="AE221" s="200"/>
      <c r="AF221" s="200"/>
      <c r="AG221" s="200"/>
      <c r="AH221" s="200"/>
      <c r="AI221" s="200"/>
      <c r="AJ221" s="200"/>
      <c r="AK221" s="200"/>
      <c r="AL221" s="200"/>
      <c r="AM221" s="200"/>
      <c r="AN221" s="200"/>
      <c r="AO221" s="200"/>
      <c r="AP221" s="200"/>
      <c r="AQ221" s="200"/>
      <c r="AR221" s="200"/>
      <c r="AS221" s="200"/>
      <c r="AT221" s="200"/>
      <c r="AU221" s="200"/>
      <c r="AV221" s="200"/>
      <c r="AW221" s="200"/>
      <c r="AX221" s="200"/>
      <c r="AY221" s="200"/>
      <c r="AZ221" s="200"/>
      <c r="BA221" s="200"/>
      <c r="BB221" s="200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</row>
    <row r="222" spans="1:71" ht="13.8">
      <c r="A222" s="1"/>
      <c r="B222" s="1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  <c r="AB222" s="200"/>
      <c r="AC222" s="200"/>
      <c r="AD222" s="200"/>
      <c r="AE222" s="200"/>
      <c r="AF222" s="200"/>
      <c r="AG222" s="200"/>
      <c r="AH222" s="200"/>
      <c r="AI222" s="200"/>
      <c r="AJ222" s="200"/>
      <c r="AK222" s="200"/>
      <c r="AL222" s="200"/>
      <c r="AM222" s="200"/>
      <c r="AN222" s="200"/>
      <c r="AO222" s="200"/>
      <c r="AP222" s="200"/>
      <c r="AQ222" s="200"/>
      <c r="AR222" s="200"/>
      <c r="AS222" s="200"/>
      <c r="AT222" s="200"/>
      <c r="AU222" s="200"/>
      <c r="AV222" s="200"/>
      <c r="AW222" s="200"/>
      <c r="AX222" s="200"/>
      <c r="AY222" s="200"/>
      <c r="AZ222" s="200"/>
      <c r="BA222" s="200"/>
      <c r="BB222" s="200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</row>
    <row r="223" spans="1:71" ht="13.8">
      <c r="A223" s="1"/>
      <c r="B223" s="1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200"/>
      <c r="AG223" s="200"/>
      <c r="AH223" s="200"/>
      <c r="AI223" s="200"/>
      <c r="AJ223" s="200"/>
      <c r="AK223" s="200"/>
      <c r="AL223" s="200"/>
      <c r="AM223" s="200"/>
      <c r="AN223" s="200"/>
      <c r="AO223" s="200"/>
      <c r="AP223" s="200"/>
      <c r="AQ223" s="200"/>
      <c r="AR223" s="200"/>
      <c r="AS223" s="200"/>
      <c r="AT223" s="200"/>
      <c r="AU223" s="200"/>
      <c r="AV223" s="200"/>
      <c r="AW223" s="200"/>
      <c r="AX223" s="200"/>
      <c r="AY223" s="200"/>
      <c r="AZ223" s="200"/>
      <c r="BA223" s="200"/>
      <c r="BB223" s="200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</row>
    <row r="224" spans="1:71" ht="13.8">
      <c r="A224" s="1"/>
      <c r="B224" s="1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200"/>
      <c r="AG224" s="200"/>
      <c r="AH224" s="200"/>
      <c r="AI224" s="200"/>
      <c r="AJ224" s="200"/>
      <c r="AK224" s="200"/>
      <c r="AL224" s="200"/>
      <c r="AM224" s="200"/>
      <c r="AN224" s="200"/>
      <c r="AO224" s="200"/>
      <c r="AP224" s="200"/>
      <c r="AQ224" s="200"/>
      <c r="AR224" s="200"/>
      <c r="AS224" s="200"/>
      <c r="AT224" s="200"/>
      <c r="AU224" s="200"/>
      <c r="AV224" s="200"/>
      <c r="AW224" s="200"/>
      <c r="AX224" s="200"/>
      <c r="AY224" s="200"/>
      <c r="AZ224" s="200"/>
      <c r="BA224" s="200"/>
      <c r="BB224" s="200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</row>
    <row r="225" spans="1:71" ht="13.8">
      <c r="A225" s="1"/>
      <c r="B225" s="1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  <c r="AB225" s="200"/>
      <c r="AC225" s="200"/>
      <c r="AD225" s="200"/>
      <c r="AE225" s="200"/>
      <c r="AF225" s="200"/>
      <c r="AG225" s="200"/>
      <c r="AH225" s="200"/>
      <c r="AI225" s="200"/>
      <c r="AJ225" s="200"/>
      <c r="AK225" s="200"/>
      <c r="AL225" s="200"/>
      <c r="AM225" s="200"/>
      <c r="AN225" s="200"/>
      <c r="AO225" s="200"/>
      <c r="AP225" s="200"/>
      <c r="AQ225" s="200"/>
      <c r="AR225" s="200"/>
      <c r="AS225" s="200"/>
      <c r="AT225" s="200"/>
      <c r="AU225" s="200"/>
      <c r="AV225" s="200"/>
      <c r="AW225" s="200"/>
      <c r="AX225" s="200"/>
      <c r="AY225" s="200"/>
      <c r="AZ225" s="200"/>
      <c r="BA225" s="200"/>
      <c r="BB225" s="200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</row>
    <row r="226" spans="1:71" ht="13.8">
      <c r="A226" s="1"/>
      <c r="B226" s="1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200"/>
      <c r="AG226" s="200"/>
      <c r="AH226" s="200"/>
      <c r="AI226" s="200"/>
      <c r="AJ226" s="200"/>
      <c r="AK226" s="200"/>
      <c r="AL226" s="200"/>
      <c r="AM226" s="200"/>
      <c r="AN226" s="200"/>
      <c r="AO226" s="200"/>
      <c r="AP226" s="200"/>
      <c r="AQ226" s="200"/>
      <c r="AR226" s="200"/>
      <c r="AS226" s="200"/>
      <c r="AT226" s="200"/>
      <c r="AU226" s="200"/>
      <c r="AV226" s="200"/>
      <c r="AW226" s="200"/>
      <c r="AX226" s="200"/>
      <c r="AY226" s="200"/>
      <c r="AZ226" s="200"/>
      <c r="BA226" s="200"/>
      <c r="BB226" s="200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</row>
    <row r="227" spans="1:71" ht="13.8">
      <c r="A227" s="1"/>
      <c r="B227" s="1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200"/>
      <c r="AG227" s="200"/>
      <c r="AH227" s="200"/>
      <c r="AI227" s="200"/>
      <c r="AJ227" s="200"/>
      <c r="AK227" s="200"/>
      <c r="AL227" s="200"/>
      <c r="AM227" s="200"/>
      <c r="AN227" s="200"/>
      <c r="AO227" s="200"/>
      <c r="AP227" s="200"/>
      <c r="AQ227" s="200"/>
      <c r="AR227" s="200"/>
      <c r="AS227" s="200"/>
      <c r="AT227" s="200"/>
      <c r="AU227" s="200"/>
      <c r="AV227" s="200"/>
      <c r="AW227" s="200"/>
      <c r="AX227" s="200"/>
      <c r="AY227" s="200"/>
      <c r="AZ227" s="200"/>
      <c r="BA227" s="200"/>
      <c r="BB227" s="200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</row>
    <row r="228" spans="1:71" ht="13.8">
      <c r="A228" s="1"/>
      <c r="B228" s="1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  <c r="AB228" s="200"/>
      <c r="AC228" s="200"/>
      <c r="AD228" s="200"/>
      <c r="AE228" s="200"/>
      <c r="AF228" s="200"/>
      <c r="AG228" s="200"/>
      <c r="AH228" s="200"/>
      <c r="AI228" s="200"/>
      <c r="AJ228" s="200"/>
      <c r="AK228" s="200"/>
      <c r="AL228" s="200"/>
      <c r="AM228" s="200"/>
      <c r="AN228" s="200"/>
      <c r="AO228" s="200"/>
      <c r="AP228" s="200"/>
      <c r="AQ228" s="200"/>
      <c r="AR228" s="200"/>
      <c r="AS228" s="200"/>
      <c r="AT228" s="200"/>
      <c r="AU228" s="200"/>
      <c r="AV228" s="200"/>
      <c r="AW228" s="200"/>
      <c r="AX228" s="200"/>
      <c r="AY228" s="200"/>
      <c r="AZ228" s="200"/>
      <c r="BA228" s="200"/>
      <c r="BB228" s="200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</row>
    <row r="229" spans="1:71" ht="13.8">
      <c r="A229" s="1"/>
      <c r="B229" s="1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  <c r="AB229" s="200"/>
      <c r="AC229" s="200"/>
      <c r="AD229" s="200"/>
      <c r="AE229" s="200"/>
      <c r="AF229" s="200"/>
      <c r="AG229" s="200"/>
      <c r="AH229" s="200"/>
      <c r="AI229" s="200"/>
      <c r="AJ229" s="200"/>
      <c r="AK229" s="200"/>
      <c r="AL229" s="200"/>
      <c r="AM229" s="200"/>
      <c r="AN229" s="200"/>
      <c r="AO229" s="200"/>
      <c r="AP229" s="200"/>
      <c r="AQ229" s="200"/>
      <c r="AR229" s="200"/>
      <c r="AS229" s="200"/>
      <c r="AT229" s="200"/>
      <c r="AU229" s="200"/>
      <c r="AV229" s="200"/>
      <c r="AW229" s="200"/>
      <c r="AX229" s="200"/>
      <c r="AY229" s="200"/>
      <c r="AZ229" s="200"/>
      <c r="BA229" s="200"/>
      <c r="BB229" s="200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</row>
    <row r="230" spans="1:71" ht="13.8">
      <c r="A230" s="1"/>
      <c r="B230" s="1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  <c r="AB230" s="200"/>
      <c r="AC230" s="200"/>
      <c r="AD230" s="200"/>
      <c r="AE230" s="200"/>
      <c r="AF230" s="200"/>
      <c r="AG230" s="200"/>
      <c r="AH230" s="200"/>
      <c r="AI230" s="200"/>
      <c r="AJ230" s="200"/>
      <c r="AK230" s="200"/>
      <c r="AL230" s="200"/>
      <c r="AM230" s="200"/>
      <c r="AN230" s="200"/>
      <c r="AO230" s="200"/>
      <c r="AP230" s="200"/>
      <c r="AQ230" s="200"/>
      <c r="AR230" s="200"/>
      <c r="AS230" s="200"/>
      <c r="AT230" s="200"/>
      <c r="AU230" s="200"/>
      <c r="AV230" s="200"/>
      <c r="AW230" s="200"/>
      <c r="AX230" s="200"/>
      <c r="AY230" s="200"/>
      <c r="AZ230" s="200"/>
      <c r="BA230" s="200"/>
      <c r="BB230" s="200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</row>
    <row r="231" spans="1:71" ht="13.8">
      <c r="A231" s="1"/>
      <c r="B231" s="1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  <c r="AB231" s="200"/>
      <c r="AC231" s="200"/>
      <c r="AD231" s="200"/>
      <c r="AE231" s="200"/>
      <c r="AF231" s="200"/>
      <c r="AG231" s="200"/>
      <c r="AH231" s="200"/>
      <c r="AI231" s="200"/>
      <c r="AJ231" s="200"/>
      <c r="AK231" s="200"/>
      <c r="AL231" s="200"/>
      <c r="AM231" s="200"/>
      <c r="AN231" s="200"/>
      <c r="AO231" s="200"/>
      <c r="AP231" s="200"/>
      <c r="AQ231" s="200"/>
      <c r="AR231" s="200"/>
      <c r="AS231" s="200"/>
      <c r="AT231" s="200"/>
      <c r="AU231" s="200"/>
      <c r="AV231" s="200"/>
      <c r="AW231" s="200"/>
      <c r="AX231" s="200"/>
      <c r="AY231" s="200"/>
      <c r="AZ231" s="200"/>
      <c r="BA231" s="200"/>
      <c r="BB231" s="200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</row>
    <row r="232" spans="1:71" ht="13.8">
      <c r="A232" s="1"/>
      <c r="B232" s="1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  <c r="AB232" s="200"/>
      <c r="AC232" s="200"/>
      <c r="AD232" s="200"/>
      <c r="AE232" s="200"/>
      <c r="AF232" s="200"/>
      <c r="AG232" s="200"/>
      <c r="AH232" s="200"/>
      <c r="AI232" s="200"/>
      <c r="AJ232" s="200"/>
      <c r="AK232" s="200"/>
      <c r="AL232" s="200"/>
      <c r="AM232" s="200"/>
      <c r="AN232" s="200"/>
      <c r="AO232" s="200"/>
      <c r="AP232" s="200"/>
      <c r="AQ232" s="200"/>
      <c r="AR232" s="200"/>
      <c r="AS232" s="200"/>
      <c r="AT232" s="200"/>
      <c r="AU232" s="200"/>
      <c r="AV232" s="200"/>
      <c r="AW232" s="200"/>
      <c r="AX232" s="200"/>
      <c r="AY232" s="200"/>
      <c r="AZ232" s="200"/>
      <c r="BA232" s="200"/>
      <c r="BB232" s="200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</row>
    <row r="233" spans="1:71" ht="13.8">
      <c r="A233" s="1"/>
      <c r="B233" s="1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  <c r="AB233" s="200"/>
      <c r="AC233" s="200"/>
      <c r="AD233" s="200"/>
      <c r="AE233" s="200"/>
      <c r="AF233" s="200"/>
      <c r="AG233" s="200"/>
      <c r="AH233" s="200"/>
      <c r="AI233" s="200"/>
      <c r="AJ233" s="200"/>
      <c r="AK233" s="200"/>
      <c r="AL233" s="200"/>
      <c r="AM233" s="200"/>
      <c r="AN233" s="200"/>
      <c r="AO233" s="200"/>
      <c r="AP233" s="200"/>
      <c r="AQ233" s="200"/>
      <c r="AR233" s="200"/>
      <c r="AS233" s="200"/>
      <c r="AT233" s="200"/>
      <c r="AU233" s="200"/>
      <c r="AV233" s="200"/>
      <c r="AW233" s="200"/>
      <c r="AX233" s="200"/>
      <c r="AY233" s="200"/>
      <c r="AZ233" s="200"/>
      <c r="BA233" s="200"/>
      <c r="BB233" s="200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</row>
    <row r="234" spans="1:71" ht="13.8">
      <c r="A234" s="1"/>
      <c r="B234" s="1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  <c r="AB234" s="200"/>
      <c r="AC234" s="200"/>
      <c r="AD234" s="200"/>
      <c r="AE234" s="200"/>
      <c r="AF234" s="200"/>
      <c r="AG234" s="200"/>
      <c r="AH234" s="200"/>
      <c r="AI234" s="200"/>
      <c r="AJ234" s="200"/>
      <c r="AK234" s="200"/>
      <c r="AL234" s="200"/>
      <c r="AM234" s="200"/>
      <c r="AN234" s="200"/>
      <c r="AO234" s="200"/>
      <c r="AP234" s="200"/>
      <c r="AQ234" s="200"/>
      <c r="AR234" s="200"/>
      <c r="AS234" s="200"/>
      <c r="AT234" s="200"/>
      <c r="AU234" s="200"/>
      <c r="AV234" s="200"/>
      <c r="AW234" s="200"/>
      <c r="AX234" s="200"/>
      <c r="AY234" s="200"/>
      <c r="AZ234" s="200"/>
      <c r="BA234" s="200"/>
      <c r="BB234" s="200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</row>
    <row r="235" spans="1:71" ht="13.8">
      <c r="A235" s="1"/>
      <c r="B235" s="1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  <c r="AB235" s="200"/>
      <c r="AC235" s="200"/>
      <c r="AD235" s="200"/>
      <c r="AE235" s="200"/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200"/>
      <c r="AQ235" s="200"/>
      <c r="AR235" s="200"/>
      <c r="AS235" s="200"/>
      <c r="AT235" s="200"/>
      <c r="AU235" s="200"/>
      <c r="AV235" s="200"/>
      <c r="AW235" s="200"/>
      <c r="AX235" s="200"/>
      <c r="AY235" s="200"/>
      <c r="AZ235" s="200"/>
      <c r="BA235" s="200"/>
      <c r="BB235" s="200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</row>
    <row r="236" spans="1:71" ht="13.8">
      <c r="A236" s="1"/>
      <c r="B236" s="1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  <c r="AB236" s="200"/>
      <c r="AC236" s="200"/>
      <c r="AD236" s="200"/>
      <c r="AE236" s="200"/>
      <c r="AF236" s="200"/>
      <c r="AG236" s="200"/>
      <c r="AH236" s="200"/>
      <c r="AI236" s="200"/>
      <c r="AJ236" s="200"/>
      <c r="AK236" s="200"/>
      <c r="AL236" s="200"/>
      <c r="AM236" s="200"/>
      <c r="AN236" s="200"/>
      <c r="AO236" s="200"/>
      <c r="AP236" s="200"/>
      <c r="AQ236" s="200"/>
      <c r="AR236" s="200"/>
      <c r="AS236" s="200"/>
      <c r="AT236" s="200"/>
      <c r="AU236" s="200"/>
      <c r="AV236" s="200"/>
      <c r="AW236" s="200"/>
      <c r="AX236" s="200"/>
      <c r="AY236" s="200"/>
      <c r="AZ236" s="200"/>
      <c r="BA236" s="200"/>
      <c r="BB236" s="200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</row>
    <row r="237" spans="1:71" ht="13.8">
      <c r="A237" s="1"/>
      <c r="B237" s="1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  <c r="AB237" s="200"/>
      <c r="AC237" s="200"/>
      <c r="AD237" s="200"/>
      <c r="AE237" s="200"/>
      <c r="AF237" s="200"/>
      <c r="AG237" s="200"/>
      <c r="AH237" s="200"/>
      <c r="AI237" s="200"/>
      <c r="AJ237" s="200"/>
      <c r="AK237" s="200"/>
      <c r="AL237" s="200"/>
      <c r="AM237" s="200"/>
      <c r="AN237" s="200"/>
      <c r="AO237" s="200"/>
      <c r="AP237" s="200"/>
      <c r="AQ237" s="200"/>
      <c r="AR237" s="200"/>
      <c r="AS237" s="200"/>
      <c r="AT237" s="200"/>
      <c r="AU237" s="200"/>
      <c r="AV237" s="200"/>
      <c r="AW237" s="200"/>
      <c r="AX237" s="200"/>
      <c r="AY237" s="200"/>
      <c r="AZ237" s="200"/>
      <c r="BA237" s="200"/>
      <c r="BB237" s="200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</row>
    <row r="238" spans="1:71" ht="13.8">
      <c r="A238" s="1"/>
      <c r="B238" s="1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  <c r="AB238" s="200"/>
      <c r="AC238" s="200"/>
      <c r="AD238" s="200"/>
      <c r="AE238" s="200"/>
      <c r="AF238" s="200"/>
      <c r="AG238" s="200"/>
      <c r="AH238" s="200"/>
      <c r="AI238" s="200"/>
      <c r="AJ238" s="200"/>
      <c r="AK238" s="200"/>
      <c r="AL238" s="200"/>
      <c r="AM238" s="200"/>
      <c r="AN238" s="200"/>
      <c r="AO238" s="200"/>
      <c r="AP238" s="200"/>
      <c r="AQ238" s="200"/>
      <c r="AR238" s="200"/>
      <c r="AS238" s="200"/>
      <c r="AT238" s="200"/>
      <c r="AU238" s="200"/>
      <c r="AV238" s="200"/>
      <c r="AW238" s="200"/>
      <c r="AX238" s="200"/>
      <c r="AY238" s="200"/>
      <c r="AZ238" s="200"/>
      <c r="BA238" s="200"/>
      <c r="BB238" s="200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</row>
    <row r="239" spans="1:71" ht="13.8">
      <c r="A239" s="1"/>
      <c r="B239" s="1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200"/>
      <c r="AG239" s="200"/>
      <c r="AH239" s="200"/>
      <c r="AI239" s="200"/>
      <c r="AJ239" s="200"/>
      <c r="AK239" s="200"/>
      <c r="AL239" s="200"/>
      <c r="AM239" s="200"/>
      <c r="AN239" s="200"/>
      <c r="AO239" s="200"/>
      <c r="AP239" s="200"/>
      <c r="AQ239" s="200"/>
      <c r="AR239" s="200"/>
      <c r="AS239" s="200"/>
      <c r="AT239" s="200"/>
      <c r="AU239" s="200"/>
      <c r="AV239" s="200"/>
      <c r="AW239" s="200"/>
      <c r="AX239" s="200"/>
      <c r="AY239" s="200"/>
      <c r="AZ239" s="200"/>
      <c r="BA239" s="200"/>
      <c r="BB239" s="200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</row>
    <row r="240" spans="1:71" ht="13.8">
      <c r="A240" s="1"/>
      <c r="B240" s="1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200"/>
      <c r="AG240" s="200"/>
      <c r="AH240" s="200"/>
      <c r="AI240" s="200"/>
      <c r="AJ240" s="200"/>
      <c r="AK240" s="200"/>
      <c r="AL240" s="200"/>
      <c r="AM240" s="200"/>
      <c r="AN240" s="200"/>
      <c r="AO240" s="200"/>
      <c r="AP240" s="200"/>
      <c r="AQ240" s="200"/>
      <c r="AR240" s="200"/>
      <c r="AS240" s="200"/>
      <c r="AT240" s="200"/>
      <c r="AU240" s="200"/>
      <c r="AV240" s="200"/>
      <c r="AW240" s="200"/>
      <c r="AX240" s="200"/>
      <c r="AY240" s="200"/>
      <c r="AZ240" s="200"/>
      <c r="BA240" s="200"/>
      <c r="BB240" s="200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</row>
    <row r="241" spans="1:71" ht="13.8">
      <c r="A241" s="1"/>
      <c r="B241" s="1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  <c r="AB241" s="200"/>
      <c r="AC241" s="200"/>
      <c r="AD241" s="200"/>
      <c r="AE241" s="200"/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200"/>
      <c r="AQ241" s="200"/>
      <c r="AR241" s="200"/>
      <c r="AS241" s="200"/>
      <c r="AT241" s="200"/>
      <c r="AU241" s="200"/>
      <c r="AV241" s="200"/>
      <c r="AW241" s="200"/>
      <c r="AX241" s="200"/>
      <c r="AY241" s="200"/>
      <c r="AZ241" s="200"/>
      <c r="BA241" s="200"/>
      <c r="BB241" s="200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</row>
    <row r="242" spans="1:71" ht="13.8">
      <c r="A242" s="1"/>
      <c r="B242" s="1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  <c r="AB242" s="200"/>
      <c r="AC242" s="200"/>
      <c r="AD242" s="200"/>
      <c r="AE242" s="200"/>
      <c r="AF242" s="200"/>
      <c r="AG242" s="200"/>
      <c r="AH242" s="200"/>
      <c r="AI242" s="200"/>
      <c r="AJ242" s="200"/>
      <c r="AK242" s="200"/>
      <c r="AL242" s="200"/>
      <c r="AM242" s="200"/>
      <c r="AN242" s="200"/>
      <c r="AO242" s="200"/>
      <c r="AP242" s="200"/>
      <c r="AQ242" s="200"/>
      <c r="AR242" s="200"/>
      <c r="AS242" s="200"/>
      <c r="AT242" s="200"/>
      <c r="AU242" s="200"/>
      <c r="AV242" s="200"/>
      <c r="AW242" s="200"/>
      <c r="AX242" s="200"/>
      <c r="AY242" s="200"/>
      <c r="AZ242" s="200"/>
      <c r="BA242" s="200"/>
      <c r="BB242" s="200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</row>
    <row r="243" spans="1:71" ht="13.8">
      <c r="A243" s="1"/>
      <c r="B243" s="1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  <c r="AB243" s="200"/>
      <c r="AC243" s="200"/>
      <c r="AD243" s="200"/>
      <c r="AE243" s="200"/>
      <c r="AF243" s="200"/>
      <c r="AG243" s="200"/>
      <c r="AH243" s="200"/>
      <c r="AI243" s="200"/>
      <c r="AJ243" s="200"/>
      <c r="AK243" s="200"/>
      <c r="AL243" s="200"/>
      <c r="AM243" s="200"/>
      <c r="AN243" s="200"/>
      <c r="AO243" s="200"/>
      <c r="AP243" s="200"/>
      <c r="AQ243" s="200"/>
      <c r="AR243" s="200"/>
      <c r="AS243" s="200"/>
      <c r="AT243" s="200"/>
      <c r="AU243" s="200"/>
      <c r="AV243" s="200"/>
      <c r="AW243" s="200"/>
      <c r="AX243" s="200"/>
      <c r="AY243" s="200"/>
      <c r="AZ243" s="200"/>
      <c r="BA243" s="200"/>
      <c r="BB243" s="200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</row>
    <row r="244" spans="1:71" ht="13.8">
      <c r="A244" s="1"/>
      <c r="B244" s="1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  <c r="AB244" s="200"/>
      <c r="AC244" s="200"/>
      <c r="AD244" s="200"/>
      <c r="AE244" s="200"/>
      <c r="AF244" s="200"/>
      <c r="AG244" s="200"/>
      <c r="AH244" s="200"/>
      <c r="AI244" s="200"/>
      <c r="AJ244" s="200"/>
      <c r="AK244" s="200"/>
      <c r="AL244" s="200"/>
      <c r="AM244" s="200"/>
      <c r="AN244" s="200"/>
      <c r="AO244" s="200"/>
      <c r="AP244" s="200"/>
      <c r="AQ244" s="200"/>
      <c r="AR244" s="200"/>
      <c r="AS244" s="200"/>
      <c r="AT244" s="200"/>
      <c r="AU244" s="200"/>
      <c r="AV244" s="200"/>
      <c r="AW244" s="200"/>
      <c r="AX244" s="200"/>
      <c r="AY244" s="200"/>
      <c r="AZ244" s="200"/>
      <c r="BA244" s="200"/>
      <c r="BB244" s="200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</row>
    <row r="245" spans="1:71" ht="13.8">
      <c r="A245" s="1"/>
      <c r="B245" s="1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  <c r="AB245" s="200"/>
      <c r="AC245" s="200"/>
      <c r="AD245" s="200"/>
      <c r="AE245" s="200"/>
      <c r="AF245" s="200"/>
      <c r="AG245" s="200"/>
      <c r="AH245" s="200"/>
      <c r="AI245" s="200"/>
      <c r="AJ245" s="200"/>
      <c r="AK245" s="200"/>
      <c r="AL245" s="200"/>
      <c r="AM245" s="200"/>
      <c r="AN245" s="200"/>
      <c r="AO245" s="200"/>
      <c r="AP245" s="200"/>
      <c r="AQ245" s="200"/>
      <c r="AR245" s="200"/>
      <c r="AS245" s="200"/>
      <c r="AT245" s="200"/>
      <c r="AU245" s="200"/>
      <c r="AV245" s="200"/>
      <c r="AW245" s="200"/>
      <c r="AX245" s="200"/>
      <c r="AY245" s="200"/>
      <c r="AZ245" s="200"/>
      <c r="BA245" s="200"/>
      <c r="BB245" s="200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</row>
    <row r="246" spans="1:71" ht="13.8">
      <c r="A246" s="1"/>
      <c r="B246" s="1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  <c r="AB246" s="200"/>
      <c r="AC246" s="200"/>
      <c r="AD246" s="200"/>
      <c r="AE246" s="200"/>
      <c r="AF246" s="200"/>
      <c r="AG246" s="200"/>
      <c r="AH246" s="200"/>
      <c r="AI246" s="200"/>
      <c r="AJ246" s="200"/>
      <c r="AK246" s="200"/>
      <c r="AL246" s="200"/>
      <c r="AM246" s="200"/>
      <c r="AN246" s="200"/>
      <c r="AO246" s="200"/>
      <c r="AP246" s="200"/>
      <c r="AQ246" s="200"/>
      <c r="AR246" s="200"/>
      <c r="AS246" s="200"/>
      <c r="AT246" s="200"/>
      <c r="AU246" s="200"/>
      <c r="AV246" s="200"/>
      <c r="AW246" s="200"/>
      <c r="AX246" s="200"/>
      <c r="AY246" s="200"/>
      <c r="AZ246" s="200"/>
      <c r="BA246" s="200"/>
      <c r="BB246" s="200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</row>
    <row r="247" spans="1:71" ht="13.8">
      <c r="A247" s="1"/>
      <c r="B247" s="1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  <c r="AB247" s="200"/>
      <c r="AC247" s="200"/>
      <c r="AD247" s="200"/>
      <c r="AE247" s="200"/>
      <c r="AF247" s="200"/>
      <c r="AG247" s="200"/>
      <c r="AH247" s="200"/>
      <c r="AI247" s="200"/>
      <c r="AJ247" s="200"/>
      <c r="AK247" s="200"/>
      <c r="AL247" s="200"/>
      <c r="AM247" s="200"/>
      <c r="AN247" s="200"/>
      <c r="AO247" s="200"/>
      <c r="AP247" s="200"/>
      <c r="AQ247" s="200"/>
      <c r="AR247" s="200"/>
      <c r="AS247" s="200"/>
      <c r="AT247" s="200"/>
      <c r="AU247" s="200"/>
      <c r="AV247" s="200"/>
      <c r="AW247" s="200"/>
      <c r="AX247" s="200"/>
      <c r="AY247" s="200"/>
      <c r="AZ247" s="200"/>
      <c r="BA247" s="200"/>
      <c r="BB247" s="200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</row>
    <row r="248" spans="1:71" ht="13.8">
      <c r="A248" s="1"/>
      <c r="B248" s="1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200"/>
      <c r="AG248" s="200"/>
      <c r="AH248" s="200"/>
      <c r="AI248" s="200"/>
      <c r="AJ248" s="200"/>
      <c r="AK248" s="200"/>
      <c r="AL248" s="200"/>
      <c r="AM248" s="200"/>
      <c r="AN248" s="200"/>
      <c r="AO248" s="200"/>
      <c r="AP248" s="200"/>
      <c r="AQ248" s="200"/>
      <c r="AR248" s="200"/>
      <c r="AS248" s="200"/>
      <c r="AT248" s="200"/>
      <c r="AU248" s="200"/>
      <c r="AV248" s="200"/>
      <c r="AW248" s="200"/>
      <c r="AX248" s="200"/>
      <c r="AY248" s="200"/>
      <c r="AZ248" s="200"/>
      <c r="BA248" s="200"/>
      <c r="BB248" s="200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</row>
    <row r="249" spans="1:71" ht="13.8">
      <c r="A249" s="1"/>
      <c r="B249" s="1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200"/>
      <c r="AG249" s="200"/>
      <c r="AH249" s="200"/>
      <c r="AI249" s="200"/>
      <c r="AJ249" s="200"/>
      <c r="AK249" s="200"/>
      <c r="AL249" s="200"/>
      <c r="AM249" s="200"/>
      <c r="AN249" s="200"/>
      <c r="AO249" s="200"/>
      <c r="AP249" s="200"/>
      <c r="AQ249" s="200"/>
      <c r="AR249" s="200"/>
      <c r="AS249" s="200"/>
      <c r="AT249" s="200"/>
      <c r="AU249" s="200"/>
      <c r="AV249" s="200"/>
      <c r="AW249" s="200"/>
      <c r="AX249" s="200"/>
      <c r="AY249" s="200"/>
      <c r="AZ249" s="200"/>
      <c r="BA249" s="200"/>
      <c r="BB249" s="200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</row>
    <row r="250" spans="1:71" ht="13.8">
      <c r="A250" s="1"/>
      <c r="B250" s="1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200"/>
      <c r="AG250" s="200"/>
      <c r="AH250" s="200"/>
      <c r="AI250" s="200"/>
      <c r="AJ250" s="200"/>
      <c r="AK250" s="200"/>
      <c r="AL250" s="200"/>
      <c r="AM250" s="200"/>
      <c r="AN250" s="200"/>
      <c r="AO250" s="200"/>
      <c r="AP250" s="200"/>
      <c r="AQ250" s="200"/>
      <c r="AR250" s="200"/>
      <c r="AS250" s="200"/>
      <c r="AT250" s="200"/>
      <c r="AU250" s="200"/>
      <c r="AV250" s="200"/>
      <c r="AW250" s="200"/>
      <c r="AX250" s="200"/>
      <c r="AY250" s="200"/>
      <c r="AZ250" s="200"/>
      <c r="BA250" s="200"/>
      <c r="BB250" s="200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</row>
    <row r="251" spans="1:71" ht="13.8">
      <c r="A251" s="1"/>
      <c r="B251" s="1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  <c r="AB251" s="200"/>
      <c r="AC251" s="200"/>
      <c r="AD251" s="200"/>
      <c r="AE251" s="200"/>
      <c r="AF251" s="200"/>
      <c r="AG251" s="200"/>
      <c r="AH251" s="200"/>
      <c r="AI251" s="200"/>
      <c r="AJ251" s="200"/>
      <c r="AK251" s="200"/>
      <c r="AL251" s="200"/>
      <c r="AM251" s="200"/>
      <c r="AN251" s="200"/>
      <c r="AO251" s="200"/>
      <c r="AP251" s="200"/>
      <c r="AQ251" s="200"/>
      <c r="AR251" s="200"/>
      <c r="AS251" s="200"/>
      <c r="AT251" s="200"/>
      <c r="AU251" s="200"/>
      <c r="AV251" s="200"/>
      <c r="AW251" s="200"/>
      <c r="AX251" s="200"/>
      <c r="AY251" s="200"/>
      <c r="AZ251" s="200"/>
      <c r="BA251" s="200"/>
      <c r="BB251" s="200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</row>
    <row r="252" spans="1:71" ht="13.8">
      <c r="A252" s="1"/>
      <c r="B252" s="1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200"/>
      <c r="AG252" s="200"/>
      <c r="AH252" s="200"/>
      <c r="AI252" s="200"/>
      <c r="AJ252" s="200"/>
      <c r="AK252" s="200"/>
      <c r="AL252" s="200"/>
      <c r="AM252" s="200"/>
      <c r="AN252" s="200"/>
      <c r="AO252" s="200"/>
      <c r="AP252" s="200"/>
      <c r="AQ252" s="200"/>
      <c r="AR252" s="200"/>
      <c r="AS252" s="200"/>
      <c r="AT252" s="200"/>
      <c r="AU252" s="200"/>
      <c r="AV252" s="200"/>
      <c r="AW252" s="200"/>
      <c r="AX252" s="200"/>
      <c r="AY252" s="200"/>
      <c r="AZ252" s="200"/>
      <c r="BA252" s="200"/>
      <c r="BB252" s="200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</row>
    <row r="253" spans="1:71" ht="13.8">
      <c r="A253" s="1"/>
      <c r="B253" s="1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200"/>
      <c r="AG253" s="200"/>
      <c r="AH253" s="200"/>
      <c r="AI253" s="200"/>
      <c r="AJ253" s="200"/>
      <c r="AK253" s="200"/>
      <c r="AL253" s="200"/>
      <c r="AM253" s="200"/>
      <c r="AN253" s="200"/>
      <c r="AO253" s="200"/>
      <c r="AP253" s="200"/>
      <c r="AQ253" s="200"/>
      <c r="AR253" s="200"/>
      <c r="AS253" s="200"/>
      <c r="AT253" s="200"/>
      <c r="AU253" s="200"/>
      <c r="AV253" s="200"/>
      <c r="AW253" s="200"/>
      <c r="AX253" s="200"/>
      <c r="AY253" s="200"/>
      <c r="AZ253" s="200"/>
      <c r="BA253" s="200"/>
      <c r="BB253" s="200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</row>
    <row r="254" spans="1:71" ht="13.8">
      <c r="A254" s="1"/>
      <c r="B254" s="1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  <c r="AB254" s="200"/>
      <c r="AC254" s="200"/>
      <c r="AD254" s="200"/>
      <c r="AE254" s="200"/>
      <c r="AF254" s="200"/>
      <c r="AG254" s="200"/>
      <c r="AH254" s="200"/>
      <c r="AI254" s="200"/>
      <c r="AJ254" s="200"/>
      <c r="AK254" s="200"/>
      <c r="AL254" s="200"/>
      <c r="AM254" s="200"/>
      <c r="AN254" s="200"/>
      <c r="AO254" s="200"/>
      <c r="AP254" s="200"/>
      <c r="AQ254" s="200"/>
      <c r="AR254" s="200"/>
      <c r="AS254" s="200"/>
      <c r="AT254" s="200"/>
      <c r="AU254" s="200"/>
      <c r="AV254" s="200"/>
      <c r="AW254" s="200"/>
      <c r="AX254" s="200"/>
      <c r="AY254" s="200"/>
      <c r="AZ254" s="200"/>
      <c r="BA254" s="200"/>
      <c r="BB254" s="200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</row>
    <row r="255" spans="1:71" ht="13.8">
      <c r="A255" s="1"/>
      <c r="B255" s="1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  <c r="AB255" s="200"/>
      <c r="AC255" s="200"/>
      <c r="AD255" s="200"/>
      <c r="AE255" s="200"/>
      <c r="AF255" s="200"/>
      <c r="AG255" s="200"/>
      <c r="AH255" s="200"/>
      <c r="AI255" s="200"/>
      <c r="AJ255" s="200"/>
      <c r="AK255" s="200"/>
      <c r="AL255" s="200"/>
      <c r="AM255" s="200"/>
      <c r="AN255" s="200"/>
      <c r="AO255" s="200"/>
      <c r="AP255" s="200"/>
      <c r="AQ255" s="200"/>
      <c r="AR255" s="200"/>
      <c r="AS255" s="200"/>
      <c r="AT255" s="200"/>
      <c r="AU255" s="200"/>
      <c r="AV255" s="200"/>
      <c r="AW255" s="200"/>
      <c r="AX255" s="200"/>
      <c r="AY255" s="200"/>
      <c r="AZ255" s="200"/>
      <c r="BA255" s="200"/>
      <c r="BB255" s="200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</row>
    <row r="256" spans="1:71" ht="13.8">
      <c r="A256" s="1"/>
      <c r="B256" s="1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  <c r="AB256" s="200"/>
      <c r="AC256" s="200"/>
      <c r="AD256" s="200"/>
      <c r="AE256" s="200"/>
      <c r="AF256" s="200"/>
      <c r="AG256" s="200"/>
      <c r="AH256" s="200"/>
      <c r="AI256" s="200"/>
      <c r="AJ256" s="200"/>
      <c r="AK256" s="200"/>
      <c r="AL256" s="200"/>
      <c r="AM256" s="200"/>
      <c r="AN256" s="200"/>
      <c r="AO256" s="200"/>
      <c r="AP256" s="200"/>
      <c r="AQ256" s="200"/>
      <c r="AR256" s="200"/>
      <c r="AS256" s="200"/>
      <c r="AT256" s="200"/>
      <c r="AU256" s="200"/>
      <c r="AV256" s="200"/>
      <c r="AW256" s="200"/>
      <c r="AX256" s="200"/>
      <c r="AY256" s="200"/>
      <c r="AZ256" s="200"/>
      <c r="BA256" s="200"/>
      <c r="BB256" s="200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</row>
    <row r="257" spans="1:71" ht="13.8">
      <c r="A257" s="1"/>
      <c r="B257" s="1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  <c r="AB257" s="200"/>
      <c r="AC257" s="200"/>
      <c r="AD257" s="200"/>
      <c r="AE257" s="200"/>
      <c r="AF257" s="200"/>
      <c r="AG257" s="200"/>
      <c r="AH257" s="200"/>
      <c r="AI257" s="200"/>
      <c r="AJ257" s="200"/>
      <c r="AK257" s="200"/>
      <c r="AL257" s="200"/>
      <c r="AM257" s="200"/>
      <c r="AN257" s="200"/>
      <c r="AO257" s="200"/>
      <c r="AP257" s="200"/>
      <c r="AQ257" s="200"/>
      <c r="AR257" s="200"/>
      <c r="AS257" s="200"/>
      <c r="AT257" s="200"/>
      <c r="AU257" s="200"/>
      <c r="AV257" s="200"/>
      <c r="AW257" s="200"/>
      <c r="AX257" s="200"/>
      <c r="AY257" s="200"/>
      <c r="AZ257" s="200"/>
      <c r="BA257" s="200"/>
      <c r="BB257" s="200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</row>
    <row r="258" spans="1:71" ht="13.8">
      <c r="A258" s="1"/>
      <c r="B258" s="1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  <c r="AA258" s="200"/>
      <c r="AB258" s="200"/>
      <c r="AC258" s="200"/>
      <c r="AD258" s="200"/>
      <c r="AE258" s="200"/>
      <c r="AF258" s="200"/>
      <c r="AG258" s="200"/>
      <c r="AH258" s="200"/>
      <c r="AI258" s="200"/>
      <c r="AJ258" s="200"/>
      <c r="AK258" s="200"/>
      <c r="AL258" s="200"/>
      <c r="AM258" s="200"/>
      <c r="AN258" s="200"/>
      <c r="AO258" s="200"/>
      <c r="AP258" s="200"/>
      <c r="AQ258" s="200"/>
      <c r="AR258" s="200"/>
      <c r="AS258" s="200"/>
      <c r="AT258" s="200"/>
      <c r="AU258" s="200"/>
      <c r="AV258" s="200"/>
      <c r="AW258" s="200"/>
      <c r="AX258" s="200"/>
      <c r="AY258" s="200"/>
      <c r="AZ258" s="200"/>
      <c r="BA258" s="200"/>
      <c r="BB258" s="200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</row>
    <row r="259" spans="1:71" ht="13.8">
      <c r="A259" s="1"/>
      <c r="B259" s="1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  <c r="AB259" s="200"/>
      <c r="AC259" s="200"/>
      <c r="AD259" s="200"/>
      <c r="AE259" s="200"/>
      <c r="AF259" s="200"/>
      <c r="AG259" s="200"/>
      <c r="AH259" s="200"/>
      <c r="AI259" s="200"/>
      <c r="AJ259" s="200"/>
      <c r="AK259" s="200"/>
      <c r="AL259" s="200"/>
      <c r="AM259" s="200"/>
      <c r="AN259" s="200"/>
      <c r="AO259" s="200"/>
      <c r="AP259" s="200"/>
      <c r="AQ259" s="200"/>
      <c r="AR259" s="200"/>
      <c r="AS259" s="200"/>
      <c r="AT259" s="200"/>
      <c r="AU259" s="200"/>
      <c r="AV259" s="200"/>
      <c r="AW259" s="200"/>
      <c r="AX259" s="200"/>
      <c r="AY259" s="200"/>
      <c r="AZ259" s="200"/>
      <c r="BA259" s="200"/>
      <c r="BB259" s="200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</row>
    <row r="260" spans="1:71" ht="13.8">
      <c r="A260" s="1"/>
      <c r="B260" s="1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200"/>
      <c r="AG260" s="200"/>
      <c r="AH260" s="200"/>
      <c r="AI260" s="200"/>
      <c r="AJ260" s="200"/>
      <c r="AK260" s="200"/>
      <c r="AL260" s="200"/>
      <c r="AM260" s="200"/>
      <c r="AN260" s="200"/>
      <c r="AO260" s="200"/>
      <c r="AP260" s="200"/>
      <c r="AQ260" s="200"/>
      <c r="AR260" s="200"/>
      <c r="AS260" s="200"/>
      <c r="AT260" s="200"/>
      <c r="AU260" s="200"/>
      <c r="AV260" s="200"/>
      <c r="AW260" s="200"/>
      <c r="AX260" s="200"/>
      <c r="AY260" s="200"/>
      <c r="AZ260" s="200"/>
      <c r="BA260" s="200"/>
      <c r="BB260" s="200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</row>
    <row r="261" spans="1:71" ht="13.8">
      <c r="A261" s="1"/>
      <c r="B261" s="1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200"/>
      <c r="AG261" s="200"/>
      <c r="AH261" s="200"/>
      <c r="AI261" s="200"/>
      <c r="AJ261" s="200"/>
      <c r="AK261" s="200"/>
      <c r="AL261" s="200"/>
      <c r="AM261" s="200"/>
      <c r="AN261" s="200"/>
      <c r="AO261" s="200"/>
      <c r="AP261" s="200"/>
      <c r="AQ261" s="200"/>
      <c r="AR261" s="200"/>
      <c r="AS261" s="200"/>
      <c r="AT261" s="200"/>
      <c r="AU261" s="200"/>
      <c r="AV261" s="200"/>
      <c r="AW261" s="200"/>
      <c r="AX261" s="200"/>
      <c r="AY261" s="200"/>
      <c r="AZ261" s="200"/>
      <c r="BA261" s="200"/>
      <c r="BB261" s="200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</row>
    <row r="262" spans="1:71" ht="13.8">
      <c r="A262" s="1"/>
      <c r="B262" s="1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200"/>
      <c r="AG262" s="200"/>
      <c r="AH262" s="200"/>
      <c r="AI262" s="200"/>
      <c r="AJ262" s="200"/>
      <c r="AK262" s="200"/>
      <c r="AL262" s="200"/>
      <c r="AM262" s="200"/>
      <c r="AN262" s="200"/>
      <c r="AO262" s="200"/>
      <c r="AP262" s="200"/>
      <c r="AQ262" s="200"/>
      <c r="AR262" s="200"/>
      <c r="AS262" s="200"/>
      <c r="AT262" s="200"/>
      <c r="AU262" s="200"/>
      <c r="AV262" s="200"/>
      <c r="AW262" s="200"/>
      <c r="AX262" s="200"/>
      <c r="AY262" s="200"/>
      <c r="AZ262" s="200"/>
      <c r="BA262" s="200"/>
      <c r="BB262" s="200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</row>
    <row r="263" spans="1:71" ht="13.8">
      <c r="A263" s="1"/>
      <c r="B263" s="1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200"/>
      <c r="AG263" s="200"/>
      <c r="AH263" s="200"/>
      <c r="AI263" s="200"/>
      <c r="AJ263" s="200"/>
      <c r="AK263" s="200"/>
      <c r="AL263" s="200"/>
      <c r="AM263" s="200"/>
      <c r="AN263" s="200"/>
      <c r="AO263" s="200"/>
      <c r="AP263" s="200"/>
      <c r="AQ263" s="200"/>
      <c r="AR263" s="200"/>
      <c r="AS263" s="200"/>
      <c r="AT263" s="200"/>
      <c r="AU263" s="200"/>
      <c r="AV263" s="200"/>
      <c r="AW263" s="200"/>
      <c r="AX263" s="200"/>
      <c r="AY263" s="200"/>
      <c r="AZ263" s="200"/>
      <c r="BA263" s="200"/>
      <c r="BB263" s="200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</row>
    <row r="264" spans="1:71" ht="13.8">
      <c r="A264" s="1"/>
      <c r="B264" s="1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  <c r="AA264" s="200"/>
      <c r="AB264" s="200"/>
      <c r="AC264" s="200"/>
      <c r="AD264" s="200"/>
      <c r="AE264" s="200"/>
      <c r="AF264" s="200"/>
      <c r="AG264" s="200"/>
      <c r="AH264" s="200"/>
      <c r="AI264" s="200"/>
      <c r="AJ264" s="200"/>
      <c r="AK264" s="200"/>
      <c r="AL264" s="200"/>
      <c r="AM264" s="200"/>
      <c r="AN264" s="200"/>
      <c r="AO264" s="200"/>
      <c r="AP264" s="200"/>
      <c r="AQ264" s="200"/>
      <c r="AR264" s="200"/>
      <c r="AS264" s="200"/>
      <c r="AT264" s="200"/>
      <c r="AU264" s="200"/>
      <c r="AV264" s="200"/>
      <c r="AW264" s="200"/>
      <c r="AX264" s="200"/>
      <c r="AY264" s="200"/>
      <c r="AZ264" s="200"/>
      <c r="BA264" s="200"/>
      <c r="BB264" s="200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</row>
    <row r="265" spans="1:71" ht="13.8">
      <c r="A265" s="1"/>
      <c r="B265" s="1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  <c r="AA265" s="200"/>
      <c r="AB265" s="200"/>
      <c r="AC265" s="200"/>
      <c r="AD265" s="200"/>
      <c r="AE265" s="200"/>
      <c r="AF265" s="200"/>
      <c r="AG265" s="200"/>
      <c r="AH265" s="200"/>
      <c r="AI265" s="200"/>
      <c r="AJ265" s="200"/>
      <c r="AK265" s="200"/>
      <c r="AL265" s="200"/>
      <c r="AM265" s="200"/>
      <c r="AN265" s="200"/>
      <c r="AO265" s="200"/>
      <c r="AP265" s="200"/>
      <c r="AQ265" s="200"/>
      <c r="AR265" s="200"/>
      <c r="AS265" s="200"/>
      <c r="AT265" s="200"/>
      <c r="AU265" s="200"/>
      <c r="AV265" s="200"/>
      <c r="AW265" s="200"/>
      <c r="AX265" s="200"/>
      <c r="AY265" s="200"/>
      <c r="AZ265" s="200"/>
      <c r="BA265" s="200"/>
      <c r="BB265" s="200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</row>
    <row r="266" spans="1:71" ht="13.8">
      <c r="A266" s="1"/>
      <c r="B266" s="1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  <c r="AA266" s="200"/>
      <c r="AB266" s="200"/>
      <c r="AC266" s="200"/>
      <c r="AD266" s="200"/>
      <c r="AE266" s="200"/>
      <c r="AF266" s="200"/>
      <c r="AG266" s="200"/>
      <c r="AH266" s="200"/>
      <c r="AI266" s="200"/>
      <c r="AJ266" s="200"/>
      <c r="AK266" s="200"/>
      <c r="AL266" s="200"/>
      <c r="AM266" s="200"/>
      <c r="AN266" s="200"/>
      <c r="AO266" s="200"/>
      <c r="AP266" s="200"/>
      <c r="AQ266" s="200"/>
      <c r="AR266" s="200"/>
      <c r="AS266" s="200"/>
      <c r="AT266" s="200"/>
      <c r="AU266" s="200"/>
      <c r="AV266" s="200"/>
      <c r="AW266" s="200"/>
      <c r="AX266" s="200"/>
      <c r="AY266" s="200"/>
      <c r="AZ266" s="200"/>
      <c r="BA266" s="200"/>
      <c r="BB266" s="200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</row>
    <row r="267" spans="1:71" ht="13.8">
      <c r="A267" s="1"/>
      <c r="B267" s="1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  <c r="AA267" s="200"/>
      <c r="AB267" s="200"/>
      <c r="AC267" s="200"/>
      <c r="AD267" s="200"/>
      <c r="AE267" s="200"/>
      <c r="AF267" s="200"/>
      <c r="AG267" s="200"/>
      <c r="AH267" s="200"/>
      <c r="AI267" s="200"/>
      <c r="AJ267" s="200"/>
      <c r="AK267" s="200"/>
      <c r="AL267" s="200"/>
      <c r="AM267" s="200"/>
      <c r="AN267" s="200"/>
      <c r="AO267" s="200"/>
      <c r="AP267" s="200"/>
      <c r="AQ267" s="200"/>
      <c r="AR267" s="200"/>
      <c r="AS267" s="200"/>
      <c r="AT267" s="200"/>
      <c r="AU267" s="200"/>
      <c r="AV267" s="200"/>
      <c r="AW267" s="200"/>
      <c r="AX267" s="200"/>
      <c r="AY267" s="200"/>
      <c r="AZ267" s="200"/>
      <c r="BA267" s="200"/>
      <c r="BB267" s="200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</row>
    <row r="268" spans="1:71" ht="13.8">
      <c r="A268" s="1"/>
      <c r="B268" s="1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  <c r="AA268" s="200"/>
      <c r="AB268" s="200"/>
      <c r="AC268" s="200"/>
      <c r="AD268" s="200"/>
      <c r="AE268" s="200"/>
      <c r="AF268" s="200"/>
      <c r="AG268" s="200"/>
      <c r="AH268" s="200"/>
      <c r="AI268" s="200"/>
      <c r="AJ268" s="200"/>
      <c r="AK268" s="200"/>
      <c r="AL268" s="200"/>
      <c r="AM268" s="200"/>
      <c r="AN268" s="200"/>
      <c r="AO268" s="200"/>
      <c r="AP268" s="200"/>
      <c r="AQ268" s="200"/>
      <c r="AR268" s="200"/>
      <c r="AS268" s="200"/>
      <c r="AT268" s="200"/>
      <c r="AU268" s="200"/>
      <c r="AV268" s="200"/>
      <c r="AW268" s="200"/>
      <c r="AX268" s="200"/>
      <c r="AY268" s="200"/>
      <c r="AZ268" s="200"/>
      <c r="BA268" s="200"/>
      <c r="BB268" s="200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</row>
    <row r="269" spans="1:71" ht="13.8">
      <c r="A269" s="1"/>
      <c r="B269" s="1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  <c r="AB269" s="200"/>
      <c r="AC269" s="200"/>
      <c r="AD269" s="200"/>
      <c r="AE269" s="200"/>
      <c r="AF269" s="200"/>
      <c r="AG269" s="200"/>
      <c r="AH269" s="200"/>
      <c r="AI269" s="200"/>
      <c r="AJ269" s="200"/>
      <c r="AK269" s="200"/>
      <c r="AL269" s="200"/>
      <c r="AM269" s="200"/>
      <c r="AN269" s="200"/>
      <c r="AO269" s="200"/>
      <c r="AP269" s="200"/>
      <c r="AQ269" s="200"/>
      <c r="AR269" s="200"/>
      <c r="AS269" s="200"/>
      <c r="AT269" s="200"/>
      <c r="AU269" s="200"/>
      <c r="AV269" s="200"/>
      <c r="AW269" s="200"/>
      <c r="AX269" s="200"/>
      <c r="AY269" s="200"/>
      <c r="AZ269" s="200"/>
      <c r="BA269" s="200"/>
      <c r="BB269" s="200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</row>
    <row r="270" spans="1:71" ht="13.8">
      <c r="A270" s="1"/>
      <c r="B270" s="1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  <c r="AA270" s="200"/>
      <c r="AB270" s="200"/>
      <c r="AC270" s="200"/>
      <c r="AD270" s="200"/>
      <c r="AE270" s="200"/>
      <c r="AF270" s="200"/>
      <c r="AG270" s="200"/>
      <c r="AH270" s="200"/>
      <c r="AI270" s="200"/>
      <c r="AJ270" s="200"/>
      <c r="AK270" s="200"/>
      <c r="AL270" s="200"/>
      <c r="AM270" s="200"/>
      <c r="AN270" s="200"/>
      <c r="AO270" s="200"/>
      <c r="AP270" s="200"/>
      <c r="AQ270" s="200"/>
      <c r="AR270" s="200"/>
      <c r="AS270" s="200"/>
      <c r="AT270" s="200"/>
      <c r="AU270" s="200"/>
      <c r="AV270" s="200"/>
      <c r="AW270" s="200"/>
      <c r="AX270" s="200"/>
      <c r="AY270" s="200"/>
      <c r="AZ270" s="200"/>
      <c r="BA270" s="200"/>
      <c r="BB270" s="200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</row>
    <row r="271" spans="1:71" ht="13.8">
      <c r="A271" s="1"/>
      <c r="B271" s="1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  <c r="AA271" s="200"/>
      <c r="AB271" s="200"/>
      <c r="AC271" s="200"/>
      <c r="AD271" s="200"/>
      <c r="AE271" s="200"/>
      <c r="AF271" s="200"/>
      <c r="AG271" s="200"/>
      <c r="AH271" s="200"/>
      <c r="AI271" s="200"/>
      <c r="AJ271" s="200"/>
      <c r="AK271" s="200"/>
      <c r="AL271" s="200"/>
      <c r="AM271" s="200"/>
      <c r="AN271" s="200"/>
      <c r="AO271" s="200"/>
      <c r="AP271" s="200"/>
      <c r="AQ271" s="200"/>
      <c r="AR271" s="200"/>
      <c r="AS271" s="200"/>
      <c r="AT271" s="200"/>
      <c r="AU271" s="200"/>
      <c r="AV271" s="200"/>
      <c r="AW271" s="200"/>
      <c r="AX271" s="200"/>
      <c r="AY271" s="200"/>
      <c r="AZ271" s="200"/>
      <c r="BA271" s="200"/>
      <c r="BB271" s="200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</row>
    <row r="272" spans="1:71" ht="13.8">
      <c r="A272" s="1"/>
      <c r="B272" s="1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  <c r="AA272" s="200"/>
      <c r="AB272" s="200"/>
      <c r="AC272" s="200"/>
      <c r="AD272" s="200"/>
      <c r="AE272" s="200"/>
      <c r="AF272" s="200"/>
      <c r="AG272" s="200"/>
      <c r="AH272" s="200"/>
      <c r="AI272" s="200"/>
      <c r="AJ272" s="200"/>
      <c r="AK272" s="200"/>
      <c r="AL272" s="200"/>
      <c r="AM272" s="200"/>
      <c r="AN272" s="200"/>
      <c r="AO272" s="200"/>
      <c r="AP272" s="200"/>
      <c r="AQ272" s="200"/>
      <c r="AR272" s="200"/>
      <c r="AS272" s="200"/>
      <c r="AT272" s="200"/>
      <c r="AU272" s="200"/>
      <c r="AV272" s="200"/>
      <c r="AW272" s="200"/>
      <c r="AX272" s="200"/>
      <c r="AY272" s="200"/>
      <c r="AZ272" s="200"/>
      <c r="BA272" s="200"/>
      <c r="BB272" s="200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</row>
    <row r="273" spans="1:71" ht="13.8">
      <c r="A273" s="1"/>
      <c r="B273" s="1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  <c r="AA273" s="200"/>
      <c r="AB273" s="200"/>
      <c r="AC273" s="200"/>
      <c r="AD273" s="200"/>
      <c r="AE273" s="200"/>
      <c r="AF273" s="200"/>
      <c r="AG273" s="200"/>
      <c r="AH273" s="200"/>
      <c r="AI273" s="200"/>
      <c r="AJ273" s="200"/>
      <c r="AK273" s="200"/>
      <c r="AL273" s="200"/>
      <c r="AM273" s="200"/>
      <c r="AN273" s="200"/>
      <c r="AO273" s="200"/>
      <c r="AP273" s="200"/>
      <c r="AQ273" s="200"/>
      <c r="AR273" s="200"/>
      <c r="AS273" s="200"/>
      <c r="AT273" s="200"/>
      <c r="AU273" s="200"/>
      <c r="AV273" s="200"/>
      <c r="AW273" s="200"/>
      <c r="AX273" s="200"/>
      <c r="AY273" s="200"/>
      <c r="AZ273" s="200"/>
      <c r="BA273" s="200"/>
      <c r="BB273" s="200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</row>
    <row r="274" spans="1:71" ht="13.8">
      <c r="A274" s="1"/>
      <c r="B274" s="1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  <c r="AA274" s="200"/>
      <c r="AB274" s="200"/>
      <c r="AC274" s="200"/>
      <c r="AD274" s="200"/>
      <c r="AE274" s="200"/>
      <c r="AF274" s="200"/>
      <c r="AG274" s="200"/>
      <c r="AH274" s="200"/>
      <c r="AI274" s="200"/>
      <c r="AJ274" s="200"/>
      <c r="AK274" s="200"/>
      <c r="AL274" s="200"/>
      <c r="AM274" s="200"/>
      <c r="AN274" s="200"/>
      <c r="AO274" s="200"/>
      <c r="AP274" s="200"/>
      <c r="AQ274" s="200"/>
      <c r="AR274" s="200"/>
      <c r="AS274" s="200"/>
      <c r="AT274" s="200"/>
      <c r="AU274" s="200"/>
      <c r="AV274" s="200"/>
      <c r="AW274" s="200"/>
      <c r="AX274" s="200"/>
      <c r="AY274" s="200"/>
      <c r="AZ274" s="200"/>
      <c r="BA274" s="200"/>
      <c r="BB274" s="200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</row>
    <row r="275" spans="1:71" ht="13.8">
      <c r="A275" s="1"/>
      <c r="B275" s="1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  <c r="AB275" s="200"/>
      <c r="AC275" s="200"/>
      <c r="AD275" s="200"/>
      <c r="AE275" s="200"/>
      <c r="AF275" s="200"/>
      <c r="AG275" s="200"/>
      <c r="AH275" s="200"/>
      <c r="AI275" s="200"/>
      <c r="AJ275" s="200"/>
      <c r="AK275" s="200"/>
      <c r="AL275" s="200"/>
      <c r="AM275" s="200"/>
      <c r="AN275" s="200"/>
      <c r="AO275" s="200"/>
      <c r="AP275" s="200"/>
      <c r="AQ275" s="200"/>
      <c r="AR275" s="200"/>
      <c r="AS275" s="200"/>
      <c r="AT275" s="200"/>
      <c r="AU275" s="200"/>
      <c r="AV275" s="200"/>
      <c r="AW275" s="200"/>
      <c r="AX275" s="200"/>
      <c r="AY275" s="200"/>
      <c r="AZ275" s="200"/>
      <c r="BA275" s="200"/>
      <c r="BB275" s="200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</row>
    <row r="276" spans="1:71" ht="13.8">
      <c r="A276" s="1"/>
      <c r="B276" s="1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  <c r="AB276" s="200"/>
      <c r="AC276" s="200"/>
      <c r="AD276" s="200"/>
      <c r="AE276" s="200"/>
      <c r="AF276" s="200"/>
      <c r="AG276" s="200"/>
      <c r="AH276" s="200"/>
      <c r="AI276" s="200"/>
      <c r="AJ276" s="200"/>
      <c r="AK276" s="200"/>
      <c r="AL276" s="200"/>
      <c r="AM276" s="200"/>
      <c r="AN276" s="200"/>
      <c r="AO276" s="200"/>
      <c r="AP276" s="200"/>
      <c r="AQ276" s="200"/>
      <c r="AR276" s="200"/>
      <c r="AS276" s="200"/>
      <c r="AT276" s="200"/>
      <c r="AU276" s="200"/>
      <c r="AV276" s="200"/>
      <c r="AW276" s="200"/>
      <c r="AX276" s="200"/>
      <c r="AY276" s="200"/>
      <c r="AZ276" s="200"/>
      <c r="BA276" s="200"/>
      <c r="BB276" s="200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</row>
    <row r="277" spans="1:71" ht="13.8">
      <c r="A277" s="1"/>
      <c r="B277" s="1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  <c r="AA277" s="200"/>
      <c r="AB277" s="200"/>
      <c r="AC277" s="200"/>
      <c r="AD277" s="200"/>
      <c r="AE277" s="200"/>
      <c r="AF277" s="200"/>
      <c r="AG277" s="200"/>
      <c r="AH277" s="200"/>
      <c r="AI277" s="200"/>
      <c r="AJ277" s="200"/>
      <c r="AK277" s="200"/>
      <c r="AL277" s="200"/>
      <c r="AM277" s="200"/>
      <c r="AN277" s="200"/>
      <c r="AO277" s="200"/>
      <c r="AP277" s="200"/>
      <c r="AQ277" s="200"/>
      <c r="AR277" s="200"/>
      <c r="AS277" s="200"/>
      <c r="AT277" s="200"/>
      <c r="AU277" s="200"/>
      <c r="AV277" s="200"/>
      <c r="AW277" s="200"/>
      <c r="AX277" s="200"/>
      <c r="AY277" s="200"/>
      <c r="AZ277" s="200"/>
      <c r="BA277" s="200"/>
      <c r="BB277" s="200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</row>
    <row r="278" spans="1:71" ht="13.8">
      <c r="A278" s="1"/>
      <c r="B278" s="1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  <c r="AB278" s="200"/>
      <c r="AC278" s="200"/>
      <c r="AD278" s="200"/>
      <c r="AE278" s="200"/>
      <c r="AF278" s="200"/>
      <c r="AG278" s="200"/>
      <c r="AH278" s="200"/>
      <c r="AI278" s="200"/>
      <c r="AJ278" s="200"/>
      <c r="AK278" s="200"/>
      <c r="AL278" s="200"/>
      <c r="AM278" s="200"/>
      <c r="AN278" s="200"/>
      <c r="AO278" s="200"/>
      <c r="AP278" s="200"/>
      <c r="AQ278" s="200"/>
      <c r="AR278" s="200"/>
      <c r="AS278" s="200"/>
      <c r="AT278" s="200"/>
      <c r="AU278" s="200"/>
      <c r="AV278" s="200"/>
      <c r="AW278" s="200"/>
      <c r="AX278" s="200"/>
      <c r="AY278" s="200"/>
      <c r="AZ278" s="200"/>
      <c r="BA278" s="200"/>
      <c r="BB278" s="200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</row>
    <row r="279" spans="1:71" ht="13.8">
      <c r="A279" s="1"/>
      <c r="B279" s="1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  <c r="AB279" s="200"/>
      <c r="AC279" s="200"/>
      <c r="AD279" s="200"/>
      <c r="AE279" s="200"/>
      <c r="AF279" s="200"/>
      <c r="AG279" s="200"/>
      <c r="AH279" s="200"/>
      <c r="AI279" s="200"/>
      <c r="AJ279" s="200"/>
      <c r="AK279" s="200"/>
      <c r="AL279" s="200"/>
      <c r="AM279" s="200"/>
      <c r="AN279" s="200"/>
      <c r="AO279" s="200"/>
      <c r="AP279" s="200"/>
      <c r="AQ279" s="200"/>
      <c r="AR279" s="200"/>
      <c r="AS279" s="200"/>
      <c r="AT279" s="200"/>
      <c r="AU279" s="200"/>
      <c r="AV279" s="200"/>
      <c r="AW279" s="200"/>
      <c r="AX279" s="200"/>
      <c r="AY279" s="200"/>
      <c r="AZ279" s="200"/>
      <c r="BA279" s="200"/>
      <c r="BB279" s="200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</row>
    <row r="280" spans="1:71" ht="13.8">
      <c r="A280" s="1"/>
      <c r="B280" s="1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  <c r="AB280" s="200"/>
      <c r="AC280" s="200"/>
      <c r="AD280" s="200"/>
      <c r="AE280" s="200"/>
      <c r="AF280" s="200"/>
      <c r="AG280" s="200"/>
      <c r="AH280" s="200"/>
      <c r="AI280" s="200"/>
      <c r="AJ280" s="200"/>
      <c r="AK280" s="200"/>
      <c r="AL280" s="200"/>
      <c r="AM280" s="200"/>
      <c r="AN280" s="200"/>
      <c r="AO280" s="200"/>
      <c r="AP280" s="200"/>
      <c r="AQ280" s="200"/>
      <c r="AR280" s="200"/>
      <c r="AS280" s="200"/>
      <c r="AT280" s="200"/>
      <c r="AU280" s="200"/>
      <c r="AV280" s="200"/>
      <c r="AW280" s="200"/>
      <c r="AX280" s="200"/>
      <c r="AY280" s="200"/>
      <c r="AZ280" s="200"/>
      <c r="BA280" s="200"/>
      <c r="BB280" s="200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</row>
    <row r="281" spans="1:71" ht="13.8">
      <c r="A281" s="1"/>
      <c r="B281" s="1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  <c r="AB281" s="200"/>
      <c r="AC281" s="200"/>
      <c r="AD281" s="200"/>
      <c r="AE281" s="200"/>
      <c r="AF281" s="200"/>
      <c r="AG281" s="200"/>
      <c r="AH281" s="200"/>
      <c r="AI281" s="200"/>
      <c r="AJ281" s="200"/>
      <c r="AK281" s="200"/>
      <c r="AL281" s="200"/>
      <c r="AM281" s="200"/>
      <c r="AN281" s="200"/>
      <c r="AO281" s="200"/>
      <c r="AP281" s="200"/>
      <c r="AQ281" s="200"/>
      <c r="AR281" s="200"/>
      <c r="AS281" s="200"/>
      <c r="AT281" s="200"/>
      <c r="AU281" s="200"/>
      <c r="AV281" s="200"/>
      <c r="AW281" s="200"/>
      <c r="AX281" s="200"/>
      <c r="AY281" s="200"/>
      <c r="AZ281" s="200"/>
      <c r="BA281" s="200"/>
      <c r="BB281" s="200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</row>
    <row r="282" spans="1:71" ht="13.8">
      <c r="A282" s="1"/>
      <c r="B282" s="1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  <c r="AB282" s="200"/>
      <c r="AC282" s="200"/>
      <c r="AD282" s="200"/>
      <c r="AE282" s="200"/>
      <c r="AF282" s="200"/>
      <c r="AG282" s="200"/>
      <c r="AH282" s="200"/>
      <c r="AI282" s="200"/>
      <c r="AJ282" s="200"/>
      <c r="AK282" s="200"/>
      <c r="AL282" s="200"/>
      <c r="AM282" s="200"/>
      <c r="AN282" s="200"/>
      <c r="AO282" s="200"/>
      <c r="AP282" s="200"/>
      <c r="AQ282" s="200"/>
      <c r="AR282" s="200"/>
      <c r="AS282" s="200"/>
      <c r="AT282" s="200"/>
      <c r="AU282" s="200"/>
      <c r="AV282" s="200"/>
      <c r="AW282" s="200"/>
      <c r="AX282" s="200"/>
      <c r="AY282" s="200"/>
      <c r="AZ282" s="200"/>
      <c r="BA282" s="200"/>
      <c r="BB282" s="200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</row>
    <row r="283" spans="1:71" ht="13.8">
      <c r="A283" s="1"/>
      <c r="B283" s="1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  <c r="AB283" s="200"/>
      <c r="AC283" s="200"/>
      <c r="AD283" s="200"/>
      <c r="AE283" s="200"/>
      <c r="AF283" s="200"/>
      <c r="AG283" s="200"/>
      <c r="AH283" s="200"/>
      <c r="AI283" s="200"/>
      <c r="AJ283" s="200"/>
      <c r="AK283" s="200"/>
      <c r="AL283" s="200"/>
      <c r="AM283" s="200"/>
      <c r="AN283" s="200"/>
      <c r="AO283" s="200"/>
      <c r="AP283" s="200"/>
      <c r="AQ283" s="200"/>
      <c r="AR283" s="200"/>
      <c r="AS283" s="200"/>
      <c r="AT283" s="200"/>
      <c r="AU283" s="200"/>
      <c r="AV283" s="200"/>
      <c r="AW283" s="200"/>
      <c r="AX283" s="200"/>
      <c r="AY283" s="200"/>
      <c r="AZ283" s="200"/>
      <c r="BA283" s="200"/>
      <c r="BB283" s="200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</row>
    <row r="284" spans="1:71" ht="13.8">
      <c r="A284" s="1"/>
      <c r="B284" s="1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  <c r="AB284" s="200"/>
      <c r="AC284" s="200"/>
      <c r="AD284" s="200"/>
      <c r="AE284" s="200"/>
      <c r="AF284" s="200"/>
      <c r="AG284" s="200"/>
      <c r="AH284" s="200"/>
      <c r="AI284" s="200"/>
      <c r="AJ284" s="200"/>
      <c r="AK284" s="200"/>
      <c r="AL284" s="200"/>
      <c r="AM284" s="200"/>
      <c r="AN284" s="200"/>
      <c r="AO284" s="200"/>
      <c r="AP284" s="200"/>
      <c r="AQ284" s="200"/>
      <c r="AR284" s="200"/>
      <c r="AS284" s="200"/>
      <c r="AT284" s="200"/>
      <c r="AU284" s="200"/>
      <c r="AV284" s="200"/>
      <c r="AW284" s="200"/>
      <c r="AX284" s="200"/>
      <c r="AY284" s="200"/>
      <c r="AZ284" s="200"/>
      <c r="BA284" s="200"/>
      <c r="BB284" s="200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</row>
    <row r="285" spans="1:71" ht="13.8">
      <c r="A285" s="1"/>
      <c r="B285" s="1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  <c r="AB285" s="200"/>
      <c r="AC285" s="200"/>
      <c r="AD285" s="200"/>
      <c r="AE285" s="200"/>
      <c r="AF285" s="200"/>
      <c r="AG285" s="200"/>
      <c r="AH285" s="200"/>
      <c r="AI285" s="200"/>
      <c r="AJ285" s="200"/>
      <c r="AK285" s="200"/>
      <c r="AL285" s="200"/>
      <c r="AM285" s="200"/>
      <c r="AN285" s="200"/>
      <c r="AO285" s="200"/>
      <c r="AP285" s="200"/>
      <c r="AQ285" s="200"/>
      <c r="AR285" s="200"/>
      <c r="AS285" s="200"/>
      <c r="AT285" s="200"/>
      <c r="AU285" s="200"/>
      <c r="AV285" s="200"/>
      <c r="AW285" s="200"/>
      <c r="AX285" s="200"/>
      <c r="AY285" s="200"/>
      <c r="AZ285" s="200"/>
      <c r="BA285" s="200"/>
      <c r="BB285" s="200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</row>
    <row r="286" spans="1:71" ht="13.8">
      <c r="A286" s="1"/>
      <c r="B286" s="1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  <c r="AA286" s="200"/>
      <c r="AB286" s="200"/>
      <c r="AC286" s="200"/>
      <c r="AD286" s="200"/>
      <c r="AE286" s="200"/>
      <c r="AF286" s="200"/>
      <c r="AG286" s="200"/>
      <c r="AH286" s="200"/>
      <c r="AI286" s="200"/>
      <c r="AJ286" s="200"/>
      <c r="AK286" s="200"/>
      <c r="AL286" s="200"/>
      <c r="AM286" s="200"/>
      <c r="AN286" s="200"/>
      <c r="AO286" s="200"/>
      <c r="AP286" s="200"/>
      <c r="AQ286" s="200"/>
      <c r="AR286" s="200"/>
      <c r="AS286" s="200"/>
      <c r="AT286" s="200"/>
      <c r="AU286" s="200"/>
      <c r="AV286" s="200"/>
      <c r="AW286" s="200"/>
      <c r="AX286" s="200"/>
      <c r="AY286" s="200"/>
      <c r="AZ286" s="200"/>
      <c r="BA286" s="200"/>
      <c r="BB286" s="200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</row>
    <row r="287" spans="1:71" ht="13.8">
      <c r="A287" s="1"/>
      <c r="B287" s="1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  <c r="AB287" s="200"/>
      <c r="AC287" s="200"/>
      <c r="AD287" s="200"/>
      <c r="AE287" s="200"/>
      <c r="AF287" s="200"/>
      <c r="AG287" s="200"/>
      <c r="AH287" s="200"/>
      <c r="AI287" s="200"/>
      <c r="AJ287" s="200"/>
      <c r="AK287" s="200"/>
      <c r="AL287" s="200"/>
      <c r="AM287" s="200"/>
      <c r="AN287" s="200"/>
      <c r="AO287" s="200"/>
      <c r="AP287" s="200"/>
      <c r="AQ287" s="200"/>
      <c r="AR287" s="200"/>
      <c r="AS287" s="200"/>
      <c r="AT287" s="200"/>
      <c r="AU287" s="200"/>
      <c r="AV287" s="200"/>
      <c r="AW287" s="200"/>
      <c r="AX287" s="200"/>
      <c r="AY287" s="200"/>
      <c r="AZ287" s="200"/>
      <c r="BA287" s="200"/>
      <c r="BB287" s="200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</row>
    <row r="288" spans="1:71" ht="13.8">
      <c r="A288" s="1"/>
      <c r="B288" s="1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  <c r="AB288" s="200"/>
      <c r="AC288" s="200"/>
      <c r="AD288" s="200"/>
      <c r="AE288" s="200"/>
      <c r="AF288" s="200"/>
      <c r="AG288" s="200"/>
      <c r="AH288" s="200"/>
      <c r="AI288" s="200"/>
      <c r="AJ288" s="200"/>
      <c r="AK288" s="200"/>
      <c r="AL288" s="200"/>
      <c r="AM288" s="200"/>
      <c r="AN288" s="200"/>
      <c r="AO288" s="200"/>
      <c r="AP288" s="200"/>
      <c r="AQ288" s="200"/>
      <c r="AR288" s="200"/>
      <c r="AS288" s="200"/>
      <c r="AT288" s="200"/>
      <c r="AU288" s="200"/>
      <c r="AV288" s="200"/>
      <c r="AW288" s="200"/>
      <c r="AX288" s="200"/>
      <c r="AY288" s="200"/>
      <c r="AZ288" s="200"/>
      <c r="BA288" s="200"/>
      <c r="BB288" s="200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</row>
    <row r="289" spans="1:71" ht="13.8">
      <c r="A289" s="1"/>
      <c r="B289" s="1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  <c r="AA289" s="200"/>
      <c r="AB289" s="200"/>
      <c r="AC289" s="200"/>
      <c r="AD289" s="200"/>
      <c r="AE289" s="200"/>
      <c r="AF289" s="200"/>
      <c r="AG289" s="200"/>
      <c r="AH289" s="200"/>
      <c r="AI289" s="200"/>
      <c r="AJ289" s="200"/>
      <c r="AK289" s="200"/>
      <c r="AL289" s="200"/>
      <c r="AM289" s="200"/>
      <c r="AN289" s="200"/>
      <c r="AO289" s="200"/>
      <c r="AP289" s="200"/>
      <c r="AQ289" s="200"/>
      <c r="AR289" s="200"/>
      <c r="AS289" s="200"/>
      <c r="AT289" s="200"/>
      <c r="AU289" s="200"/>
      <c r="AV289" s="200"/>
      <c r="AW289" s="200"/>
      <c r="AX289" s="200"/>
      <c r="AY289" s="200"/>
      <c r="AZ289" s="200"/>
      <c r="BA289" s="200"/>
      <c r="BB289" s="200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</row>
    <row r="290" spans="1:71" ht="13.8">
      <c r="A290" s="1"/>
      <c r="B290" s="1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  <c r="AB290" s="200"/>
      <c r="AC290" s="200"/>
      <c r="AD290" s="200"/>
      <c r="AE290" s="200"/>
      <c r="AF290" s="200"/>
      <c r="AG290" s="200"/>
      <c r="AH290" s="200"/>
      <c r="AI290" s="200"/>
      <c r="AJ290" s="200"/>
      <c r="AK290" s="200"/>
      <c r="AL290" s="200"/>
      <c r="AM290" s="200"/>
      <c r="AN290" s="200"/>
      <c r="AO290" s="200"/>
      <c r="AP290" s="200"/>
      <c r="AQ290" s="200"/>
      <c r="AR290" s="200"/>
      <c r="AS290" s="200"/>
      <c r="AT290" s="200"/>
      <c r="AU290" s="200"/>
      <c r="AV290" s="200"/>
      <c r="AW290" s="200"/>
      <c r="AX290" s="200"/>
      <c r="AY290" s="200"/>
      <c r="AZ290" s="200"/>
      <c r="BA290" s="200"/>
      <c r="BB290" s="200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</row>
    <row r="291" spans="1:71" ht="13.8">
      <c r="A291" s="1"/>
      <c r="B291" s="1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  <c r="AB291" s="200"/>
      <c r="AC291" s="200"/>
      <c r="AD291" s="200"/>
      <c r="AE291" s="200"/>
      <c r="AF291" s="200"/>
      <c r="AG291" s="200"/>
      <c r="AH291" s="200"/>
      <c r="AI291" s="200"/>
      <c r="AJ291" s="200"/>
      <c r="AK291" s="200"/>
      <c r="AL291" s="200"/>
      <c r="AM291" s="200"/>
      <c r="AN291" s="200"/>
      <c r="AO291" s="200"/>
      <c r="AP291" s="200"/>
      <c r="AQ291" s="200"/>
      <c r="AR291" s="200"/>
      <c r="AS291" s="200"/>
      <c r="AT291" s="200"/>
      <c r="AU291" s="200"/>
      <c r="AV291" s="200"/>
      <c r="AW291" s="200"/>
      <c r="AX291" s="200"/>
      <c r="AY291" s="200"/>
      <c r="AZ291" s="200"/>
      <c r="BA291" s="200"/>
      <c r="BB291" s="200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</row>
    <row r="292" spans="1:71" ht="13.8">
      <c r="A292" s="1"/>
      <c r="B292" s="1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  <c r="AB292" s="200"/>
      <c r="AC292" s="200"/>
      <c r="AD292" s="200"/>
      <c r="AE292" s="200"/>
      <c r="AF292" s="200"/>
      <c r="AG292" s="200"/>
      <c r="AH292" s="200"/>
      <c r="AI292" s="200"/>
      <c r="AJ292" s="200"/>
      <c r="AK292" s="200"/>
      <c r="AL292" s="200"/>
      <c r="AM292" s="200"/>
      <c r="AN292" s="200"/>
      <c r="AO292" s="200"/>
      <c r="AP292" s="200"/>
      <c r="AQ292" s="200"/>
      <c r="AR292" s="200"/>
      <c r="AS292" s="200"/>
      <c r="AT292" s="200"/>
      <c r="AU292" s="200"/>
      <c r="AV292" s="200"/>
      <c r="AW292" s="200"/>
      <c r="AX292" s="200"/>
      <c r="AY292" s="200"/>
      <c r="AZ292" s="200"/>
      <c r="BA292" s="200"/>
      <c r="BB292" s="200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</row>
    <row r="293" spans="1:71" ht="13.8">
      <c r="A293" s="1"/>
      <c r="B293" s="1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  <c r="AA293" s="200"/>
      <c r="AB293" s="200"/>
      <c r="AC293" s="200"/>
      <c r="AD293" s="200"/>
      <c r="AE293" s="200"/>
      <c r="AF293" s="200"/>
      <c r="AG293" s="200"/>
      <c r="AH293" s="200"/>
      <c r="AI293" s="200"/>
      <c r="AJ293" s="200"/>
      <c r="AK293" s="200"/>
      <c r="AL293" s="200"/>
      <c r="AM293" s="200"/>
      <c r="AN293" s="200"/>
      <c r="AO293" s="200"/>
      <c r="AP293" s="200"/>
      <c r="AQ293" s="200"/>
      <c r="AR293" s="200"/>
      <c r="AS293" s="200"/>
      <c r="AT293" s="200"/>
      <c r="AU293" s="200"/>
      <c r="AV293" s="200"/>
      <c r="AW293" s="200"/>
      <c r="AX293" s="200"/>
      <c r="AY293" s="200"/>
      <c r="AZ293" s="200"/>
      <c r="BA293" s="200"/>
      <c r="BB293" s="200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</row>
    <row r="294" spans="1:71" ht="13.8">
      <c r="A294" s="1"/>
      <c r="B294" s="1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  <c r="AB294" s="200"/>
      <c r="AC294" s="200"/>
      <c r="AD294" s="200"/>
      <c r="AE294" s="200"/>
      <c r="AF294" s="200"/>
      <c r="AG294" s="200"/>
      <c r="AH294" s="200"/>
      <c r="AI294" s="200"/>
      <c r="AJ294" s="200"/>
      <c r="AK294" s="200"/>
      <c r="AL294" s="200"/>
      <c r="AM294" s="200"/>
      <c r="AN294" s="200"/>
      <c r="AO294" s="200"/>
      <c r="AP294" s="200"/>
      <c r="AQ294" s="200"/>
      <c r="AR294" s="200"/>
      <c r="AS294" s="200"/>
      <c r="AT294" s="200"/>
      <c r="AU294" s="200"/>
      <c r="AV294" s="200"/>
      <c r="AW294" s="200"/>
      <c r="AX294" s="200"/>
      <c r="AY294" s="200"/>
      <c r="AZ294" s="200"/>
      <c r="BA294" s="200"/>
      <c r="BB294" s="200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</row>
    <row r="295" spans="1:71" ht="13.8">
      <c r="A295" s="1"/>
      <c r="B295" s="1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  <c r="AB295" s="200"/>
      <c r="AC295" s="200"/>
      <c r="AD295" s="200"/>
      <c r="AE295" s="200"/>
      <c r="AF295" s="200"/>
      <c r="AG295" s="200"/>
      <c r="AH295" s="200"/>
      <c r="AI295" s="200"/>
      <c r="AJ295" s="200"/>
      <c r="AK295" s="200"/>
      <c r="AL295" s="200"/>
      <c r="AM295" s="200"/>
      <c r="AN295" s="200"/>
      <c r="AO295" s="200"/>
      <c r="AP295" s="200"/>
      <c r="AQ295" s="200"/>
      <c r="AR295" s="200"/>
      <c r="AS295" s="200"/>
      <c r="AT295" s="200"/>
      <c r="AU295" s="200"/>
      <c r="AV295" s="200"/>
      <c r="AW295" s="200"/>
      <c r="AX295" s="200"/>
      <c r="AY295" s="200"/>
      <c r="AZ295" s="200"/>
      <c r="BA295" s="200"/>
      <c r="BB295" s="200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</row>
    <row r="296" spans="1:71" ht="13.8">
      <c r="A296" s="1"/>
      <c r="B296" s="1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  <c r="AB296" s="200"/>
      <c r="AC296" s="200"/>
      <c r="AD296" s="200"/>
      <c r="AE296" s="200"/>
      <c r="AF296" s="200"/>
      <c r="AG296" s="200"/>
      <c r="AH296" s="200"/>
      <c r="AI296" s="200"/>
      <c r="AJ296" s="200"/>
      <c r="AK296" s="200"/>
      <c r="AL296" s="200"/>
      <c r="AM296" s="200"/>
      <c r="AN296" s="200"/>
      <c r="AO296" s="200"/>
      <c r="AP296" s="200"/>
      <c r="AQ296" s="200"/>
      <c r="AR296" s="200"/>
      <c r="AS296" s="200"/>
      <c r="AT296" s="200"/>
      <c r="AU296" s="200"/>
      <c r="AV296" s="200"/>
      <c r="AW296" s="200"/>
      <c r="AX296" s="200"/>
      <c r="AY296" s="200"/>
      <c r="AZ296" s="200"/>
      <c r="BA296" s="200"/>
      <c r="BB296" s="200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</row>
    <row r="297" spans="1:71" ht="13.8">
      <c r="A297" s="1"/>
      <c r="B297" s="1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  <c r="AB297" s="200"/>
      <c r="AC297" s="200"/>
      <c r="AD297" s="200"/>
      <c r="AE297" s="200"/>
      <c r="AF297" s="200"/>
      <c r="AG297" s="200"/>
      <c r="AH297" s="200"/>
      <c r="AI297" s="200"/>
      <c r="AJ297" s="200"/>
      <c r="AK297" s="200"/>
      <c r="AL297" s="200"/>
      <c r="AM297" s="200"/>
      <c r="AN297" s="200"/>
      <c r="AO297" s="200"/>
      <c r="AP297" s="200"/>
      <c r="AQ297" s="200"/>
      <c r="AR297" s="200"/>
      <c r="AS297" s="200"/>
      <c r="AT297" s="200"/>
      <c r="AU297" s="200"/>
      <c r="AV297" s="200"/>
      <c r="AW297" s="200"/>
      <c r="AX297" s="200"/>
      <c r="AY297" s="200"/>
      <c r="AZ297" s="200"/>
      <c r="BA297" s="200"/>
      <c r="BB297" s="200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</row>
    <row r="298" spans="1:71" ht="13.8">
      <c r="A298" s="1"/>
      <c r="B298" s="1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  <c r="AB298" s="200"/>
      <c r="AC298" s="200"/>
      <c r="AD298" s="200"/>
      <c r="AE298" s="200"/>
      <c r="AF298" s="200"/>
      <c r="AG298" s="200"/>
      <c r="AH298" s="200"/>
      <c r="AI298" s="200"/>
      <c r="AJ298" s="200"/>
      <c r="AK298" s="200"/>
      <c r="AL298" s="200"/>
      <c r="AM298" s="200"/>
      <c r="AN298" s="200"/>
      <c r="AO298" s="200"/>
      <c r="AP298" s="200"/>
      <c r="AQ298" s="200"/>
      <c r="AR298" s="200"/>
      <c r="AS298" s="200"/>
      <c r="AT298" s="200"/>
      <c r="AU298" s="200"/>
      <c r="AV298" s="200"/>
      <c r="AW298" s="200"/>
      <c r="AX298" s="200"/>
      <c r="AY298" s="200"/>
      <c r="AZ298" s="200"/>
      <c r="BA298" s="200"/>
      <c r="BB298" s="200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</row>
    <row r="299" spans="1:71" ht="13.8">
      <c r="A299" s="1"/>
      <c r="B299" s="1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  <c r="AB299" s="200"/>
      <c r="AC299" s="200"/>
      <c r="AD299" s="200"/>
      <c r="AE299" s="200"/>
      <c r="AF299" s="200"/>
      <c r="AG299" s="200"/>
      <c r="AH299" s="200"/>
      <c r="AI299" s="200"/>
      <c r="AJ299" s="200"/>
      <c r="AK299" s="200"/>
      <c r="AL299" s="200"/>
      <c r="AM299" s="200"/>
      <c r="AN299" s="200"/>
      <c r="AO299" s="200"/>
      <c r="AP299" s="200"/>
      <c r="AQ299" s="200"/>
      <c r="AR299" s="200"/>
      <c r="AS299" s="200"/>
      <c r="AT299" s="200"/>
      <c r="AU299" s="200"/>
      <c r="AV299" s="200"/>
      <c r="AW299" s="200"/>
      <c r="AX299" s="200"/>
      <c r="AY299" s="200"/>
      <c r="AZ299" s="200"/>
      <c r="BA299" s="200"/>
      <c r="BB299" s="200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</row>
    <row r="300" spans="1:71" ht="13.8">
      <c r="A300" s="1"/>
      <c r="B300" s="1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  <c r="AB300" s="200"/>
      <c r="AC300" s="200"/>
      <c r="AD300" s="200"/>
      <c r="AE300" s="200"/>
      <c r="AF300" s="200"/>
      <c r="AG300" s="200"/>
      <c r="AH300" s="200"/>
      <c r="AI300" s="200"/>
      <c r="AJ300" s="200"/>
      <c r="AK300" s="200"/>
      <c r="AL300" s="200"/>
      <c r="AM300" s="200"/>
      <c r="AN300" s="200"/>
      <c r="AO300" s="200"/>
      <c r="AP300" s="200"/>
      <c r="AQ300" s="200"/>
      <c r="AR300" s="200"/>
      <c r="AS300" s="200"/>
      <c r="AT300" s="200"/>
      <c r="AU300" s="200"/>
      <c r="AV300" s="200"/>
      <c r="AW300" s="200"/>
      <c r="AX300" s="200"/>
      <c r="AY300" s="200"/>
      <c r="AZ300" s="200"/>
      <c r="BA300" s="200"/>
      <c r="BB300" s="200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</row>
    <row r="301" spans="1:71" ht="13.8">
      <c r="A301" s="1"/>
      <c r="B301" s="1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  <c r="AA301" s="200"/>
      <c r="AB301" s="200"/>
      <c r="AC301" s="200"/>
      <c r="AD301" s="200"/>
      <c r="AE301" s="200"/>
      <c r="AF301" s="200"/>
      <c r="AG301" s="200"/>
      <c r="AH301" s="200"/>
      <c r="AI301" s="200"/>
      <c r="AJ301" s="200"/>
      <c r="AK301" s="200"/>
      <c r="AL301" s="200"/>
      <c r="AM301" s="200"/>
      <c r="AN301" s="200"/>
      <c r="AO301" s="200"/>
      <c r="AP301" s="200"/>
      <c r="AQ301" s="200"/>
      <c r="AR301" s="200"/>
      <c r="AS301" s="200"/>
      <c r="AT301" s="200"/>
      <c r="AU301" s="200"/>
      <c r="AV301" s="200"/>
      <c r="AW301" s="200"/>
      <c r="AX301" s="200"/>
      <c r="AY301" s="200"/>
      <c r="AZ301" s="200"/>
      <c r="BA301" s="200"/>
      <c r="BB301" s="200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</row>
    <row r="302" spans="1:71" ht="13.8">
      <c r="A302" s="1"/>
      <c r="B302" s="1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  <c r="AB302" s="200"/>
      <c r="AC302" s="200"/>
      <c r="AD302" s="200"/>
      <c r="AE302" s="200"/>
      <c r="AF302" s="200"/>
      <c r="AG302" s="200"/>
      <c r="AH302" s="200"/>
      <c r="AI302" s="200"/>
      <c r="AJ302" s="200"/>
      <c r="AK302" s="200"/>
      <c r="AL302" s="200"/>
      <c r="AM302" s="200"/>
      <c r="AN302" s="200"/>
      <c r="AO302" s="200"/>
      <c r="AP302" s="200"/>
      <c r="AQ302" s="200"/>
      <c r="AR302" s="200"/>
      <c r="AS302" s="200"/>
      <c r="AT302" s="200"/>
      <c r="AU302" s="200"/>
      <c r="AV302" s="200"/>
      <c r="AW302" s="200"/>
      <c r="AX302" s="200"/>
      <c r="AY302" s="200"/>
      <c r="AZ302" s="200"/>
      <c r="BA302" s="200"/>
      <c r="BB302" s="200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</row>
    <row r="303" spans="1:71" ht="13.8">
      <c r="A303" s="1"/>
      <c r="B303" s="1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  <c r="AB303" s="200"/>
      <c r="AC303" s="200"/>
      <c r="AD303" s="200"/>
      <c r="AE303" s="200"/>
      <c r="AF303" s="200"/>
      <c r="AG303" s="200"/>
      <c r="AH303" s="200"/>
      <c r="AI303" s="200"/>
      <c r="AJ303" s="200"/>
      <c r="AK303" s="200"/>
      <c r="AL303" s="200"/>
      <c r="AM303" s="200"/>
      <c r="AN303" s="200"/>
      <c r="AO303" s="200"/>
      <c r="AP303" s="200"/>
      <c r="AQ303" s="200"/>
      <c r="AR303" s="200"/>
      <c r="AS303" s="200"/>
      <c r="AT303" s="200"/>
      <c r="AU303" s="200"/>
      <c r="AV303" s="200"/>
      <c r="AW303" s="200"/>
      <c r="AX303" s="200"/>
      <c r="AY303" s="200"/>
      <c r="AZ303" s="200"/>
      <c r="BA303" s="200"/>
      <c r="BB303" s="200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</row>
    <row r="304" spans="1:71" ht="13.8">
      <c r="A304" s="1"/>
      <c r="B304" s="1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  <c r="AB304" s="200"/>
      <c r="AC304" s="200"/>
      <c r="AD304" s="200"/>
      <c r="AE304" s="200"/>
      <c r="AF304" s="200"/>
      <c r="AG304" s="200"/>
      <c r="AH304" s="200"/>
      <c r="AI304" s="200"/>
      <c r="AJ304" s="200"/>
      <c r="AK304" s="200"/>
      <c r="AL304" s="200"/>
      <c r="AM304" s="200"/>
      <c r="AN304" s="200"/>
      <c r="AO304" s="200"/>
      <c r="AP304" s="200"/>
      <c r="AQ304" s="200"/>
      <c r="AR304" s="200"/>
      <c r="AS304" s="200"/>
      <c r="AT304" s="200"/>
      <c r="AU304" s="200"/>
      <c r="AV304" s="200"/>
      <c r="AW304" s="200"/>
      <c r="AX304" s="200"/>
      <c r="AY304" s="200"/>
      <c r="AZ304" s="200"/>
      <c r="BA304" s="200"/>
      <c r="BB304" s="200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</row>
    <row r="305" spans="1:71" ht="13.8">
      <c r="A305" s="1"/>
      <c r="B305" s="1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  <c r="AA305" s="200"/>
      <c r="AB305" s="200"/>
      <c r="AC305" s="200"/>
      <c r="AD305" s="200"/>
      <c r="AE305" s="200"/>
      <c r="AF305" s="200"/>
      <c r="AG305" s="200"/>
      <c r="AH305" s="200"/>
      <c r="AI305" s="200"/>
      <c r="AJ305" s="200"/>
      <c r="AK305" s="200"/>
      <c r="AL305" s="200"/>
      <c r="AM305" s="200"/>
      <c r="AN305" s="200"/>
      <c r="AO305" s="200"/>
      <c r="AP305" s="200"/>
      <c r="AQ305" s="200"/>
      <c r="AR305" s="200"/>
      <c r="AS305" s="200"/>
      <c r="AT305" s="200"/>
      <c r="AU305" s="200"/>
      <c r="AV305" s="200"/>
      <c r="AW305" s="200"/>
      <c r="AX305" s="200"/>
      <c r="AY305" s="200"/>
      <c r="AZ305" s="200"/>
      <c r="BA305" s="200"/>
      <c r="BB305" s="200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</row>
    <row r="306" spans="1:71" ht="13.8">
      <c r="A306" s="1"/>
      <c r="B306" s="1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  <c r="AB306" s="200"/>
      <c r="AC306" s="200"/>
      <c r="AD306" s="200"/>
      <c r="AE306" s="200"/>
      <c r="AF306" s="200"/>
      <c r="AG306" s="200"/>
      <c r="AH306" s="200"/>
      <c r="AI306" s="200"/>
      <c r="AJ306" s="200"/>
      <c r="AK306" s="200"/>
      <c r="AL306" s="200"/>
      <c r="AM306" s="200"/>
      <c r="AN306" s="200"/>
      <c r="AO306" s="200"/>
      <c r="AP306" s="200"/>
      <c r="AQ306" s="200"/>
      <c r="AR306" s="200"/>
      <c r="AS306" s="200"/>
      <c r="AT306" s="200"/>
      <c r="AU306" s="200"/>
      <c r="AV306" s="200"/>
      <c r="AW306" s="200"/>
      <c r="AX306" s="200"/>
      <c r="AY306" s="200"/>
      <c r="AZ306" s="200"/>
      <c r="BA306" s="200"/>
      <c r="BB306" s="200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</row>
    <row r="307" spans="1:71" ht="13.8">
      <c r="A307" s="1"/>
      <c r="B307" s="1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  <c r="AA307" s="200"/>
      <c r="AB307" s="200"/>
      <c r="AC307" s="200"/>
      <c r="AD307" s="200"/>
      <c r="AE307" s="200"/>
      <c r="AF307" s="200"/>
      <c r="AG307" s="200"/>
      <c r="AH307" s="200"/>
      <c r="AI307" s="200"/>
      <c r="AJ307" s="200"/>
      <c r="AK307" s="200"/>
      <c r="AL307" s="200"/>
      <c r="AM307" s="200"/>
      <c r="AN307" s="200"/>
      <c r="AO307" s="200"/>
      <c r="AP307" s="200"/>
      <c r="AQ307" s="200"/>
      <c r="AR307" s="200"/>
      <c r="AS307" s="200"/>
      <c r="AT307" s="200"/>
      <c r="AU307" s="200"/>
      <c r="AV307" s="200"/>
      <c r="AW307" s="200"/>
      <c r="AX307" s="200"/>
      <c r="AY307" s="200"/>
      <c r="AZ307" s="200"/>
      <c r="BA307" s="200"/>
      <c r="BB307" s="200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</row>
    <row r="308" spans="1:71" ht="13.8">
      <c r="A308" s="1"/>
      <c r="B308" s="1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  <c r="AB308" s="200"/>
      <c r="AC308" s="200"/>
      <c r="AD308" s="200"/>
      <c r="AE308" s="200"/>
      <c r="AF308" s="200"/>
      <c r="AG308" s="200"/>
      <c r="AH308" s="200"/>
      <c r="AI308" s="200"/>
      <c r="AJ308" s="200"/>
      <c r="AK308" s="200"/>
      <c r="AL308" s="200"/>
      <c r="AM308" s="200"/>
      <c r="AN308" s="200"/>
      <c r="AO308" s="200"/>
      <c r="AP308" s="200"/>
      <c r="AQ308" s="200"/>
      <c r="AR308" s="200"/>
      <c r="AS308" s="200"/>
      <c r="AT308" s="200"/>
      <c r="AU308" s="200"/>
      <c r="AV308" s="200"/>
      <c r="AW308" s="200"/>
      <c r="AX308" s="200"/>
      <c r="AY308" s="200"/>
      <c r="AZ308" s="200"/>
      <c r="BA308" s="200"/>
      <c r="BB308" s="200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</row>
    <row r="309" spans="1:71" ht="13.8">
      <c r="A309" s="1"/>
      <c r="B309" s="1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  <c r="AA309" s="200"/>
      <c r="AB309" s="200"/>
      <c r="AC309" s="200"/>
      <c r="AD309" s="200"/>
      <c r="AE309" s="200"/>
      <c r="AF309" s="200"/>
      <c r="AG309" s="200"/>
      <c r="AH309" s="200"/>
      <c r="AI309" s="200"/>
      <c r="AJ309" s="200"/>
      <c r="AK309" s="200"/>
      <c r="AL309" s="200"/>
      <c r="AM309" s="200"/>
      <c r="AN309" s="200"/>
      <c r="AO309" s="200"/>
      <c r="AP309" s="200"/>
      <c r="AQ309" s="200"/>
      <c r="AR309" s="200"/>
      <c r="AS309" s="200"/>
      <c r="AT309" s="200"/>
      <c r="AU309" s="200"/>
      <c r="AV309" s="200"/>
      <c r="AW309" s="200"/>
      <c r="AX309" s="200"/>
      <c r="AY309" s="200"/>
      <c r="AZ309" s="200"/>
      <c r="BA309" s="200"/>
      <c r="BB309" s="200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</row>
    <row r="310" spans="1:71" ht="13.8">
      <c r="A310" s="1"/>
      <c r="B310" s="1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  <c r="AB310" s="200"/>
      <c r="AC310" s="200"/>
      <c r="AD310" s="200"/>
      <c r="AE310" s="200"/>
      <c r="AF310" s="200"/>
      <c r="AG310" s="200"/>
      <c r="AH310" s="200"/>
      <c r="AI310" s="200"/>
      <c r="AJ310" s="200"/>
      <c r="AK310" s="200"/>
      <c r="AL310" s="200"/>
      <c r="AM310" s="200"/>
      <c r="AN310" s="200"/>
      <c r="AO310" s="200"/>
      <c r="AP310" s="200"/>
      <c r="AQ310" s="200"/>
      <c r="AR310" s="200"/>
      <c r="AS310" s="200"/>
      <c r="AT310" s="200"/>
      <c r="AU310" s="200"/>
      <c r="AV310" s="200"/>
      <c r="AW310" s="200"/>
      <c r="AX310" s="200"/>
      <c r="AY310" s="200"/>
      <c r="AZ310" s="200"/>
      <c r="BA310" s="200"/>
      <c r="BB310" s="200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</row>
    <row r="311" spans="1:71" ht="13.8">
      <c r="A311" s="1"/>
      <c r="B311" s="1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  <c r="AB311" s="200"/>
      <c r="AC311" s="200"/>
      <c r="AD311" s="200"/>
      <c r="AE311" s="200"/>
      <c r="AF311" s="200"/>
      <c r="AG311" s="200"/>
      <c r="AH311" s="200"/>
      <c r="AI311" s="200"/>
      <c r="AJ311" s="200"/>
      <c r="AK311" s="200"/>
      <c r="AL311" s="200"/>
      <c r="AM311" s="200"/>
      <c r="AN311" s="200"/>
      <c r="AO311" s="200"/>
      <c r="AP311" s="200"/>
      <c r="AQ311" s="200"/>
      <c r="AR311" s="200"/>
      <c r="AS311" s="200"/>
      <c r="AT311" s="200"/>
      <c r="AU311" s="200"/>
      <c r="AV311" s="200"/>
      <c r="AW311" s="200"/>
      <c r="AX311" s="200"/>
      <c r="AY311" s="200"/>
      <c r="AZ311" s="200"/>
      <c r="BA311" s="200"/>
      <c r="BB311" s="200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</row>
    <row r="312" spans="1:71" ht="13.8">
      <c r="A312" s="1"/>
      <c r="B312" s="1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  <c r="AA312" s="200"/>
      <c r="AB312" s="200"/>
      <c r="AC312" s="200"/>
      <c r="AD312" s="200"/>
      <c r="AE312" s="200"/>
      <c r="AF312" s="200"/>
      <c r="AG312" s="200"/>
      <c r="AH312" s="200"/>
      <c r="AI312" s="200"/>
      <c r="AJ312" s="200"/>
      <c r="AK312" s="200"/>
      <c r="AL312" s="200"/>
      <c r="AM312" s="200"/>
      <c r="AN312" s="200"/>
      <c r="AO312" s="200"/>
      <c r="AP312" s="200"/>
      <c r="AQ312" s="200"/>
      <c r="AR312" s="200"/>
      <c r="AS312" s="200"/>
      <c r="AT312" s="200"/>
      <c r="AU312" s="200"/>
      <c r="AV312" s="200"/>
      <c r="AW312" s="200"/>
      <c r="AX312" s="200"/>
      <c r="AY312" s="200"/>
      <c r="AZ312" s="200"/>
      <c r="BA312" s="200"/>
      <c r="BB312" s="200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</row>
    <row r="313" spans="1:71" ht="13.8">
      <c r="A313" s="1"/>
      <c r="B313" s="1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  <c r="AA313" s="200"/>
      <c r="AB313" s="200"/>
      <c r="AC313" s="200"/>
      <c r="AD313" s="200"/>
      <c r="AE313" s="200"/>
      <c r="AF313" s="200"/>
      <c r="AG313" s="200"/>
      <c r="AH313" s="200"/>
      <c r="AI313" s="200"/>
      <c r="AJ313" s="200"/>
      <c r="AK313" s="200"/>
      <c r="AL313" s="200"/>
      <c r="AM313" s="200"/>
      <c r="AN313" s="200"/>
      <c r="AO313" s="200"/>
      <c r="AP313" s="200"/>
      <c r="AQ313" s="200"/>
      <c r="AR313" s="200"/>
      <c r="AS313" s="200"/>
      <c r="AT313" s="200"/>
      <c r="AU313" s="200"/>
      <c r="AV313" s="200"/>
      <c r="AW313" s="200"/>
      <c r="AX313" s="200"/>
      <c r="AY313" s="200"/>
      <c r="AZ313" s="200"/>
      <c r="BA313" s="200"/>
      <c r="BB313" s="200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</row>
    <row r="314" spans="1:71" ht="13.8">
      <c r="A314" s="1"/>
      <c r="B314" s="1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  <c r="AA314" s="200"/>
      <c r="AB314" s="200"/>
      <c r="AC314" s="200"/>
      <c r="AD314" s="200"/>
      <c r="AE314" s="200"/>
      <c r="AF314" s="200"/>
      <c r="AG314" s="200"/>
      <c r="AH314" s="200"/>
      <c r="AI314" s="200"/>
      <c r="AJ314" s="200"/>
      <c r="AK314" s="200"/>
      <c r="AL314" s="200"/>
      <c r="AM314" s="200"/>
      <c r="AN314" s="200"/>
      <c r="AO314" s="200"/>
      <c r="AP314" s="200"/>
      <c r="AQ314" s="200"/>
      <c r="AR314" s="200"/>
      <c r="AS314" s="200"/>
      <c r="AT314" s="200"/>
      <c r="AU314" s="200"/>
      <c r="AV314" s="200"/>
      <c r="AW314" s="200"/>
      <c r="AX314" s="200"/>
      <c r="AY314" s="200"/>
      <c r="AZ314" s="200"/>
      <c r="BA314" s="200"/>
      <c r="BB314" s="200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</row>
    <row r="315" spans="1:71" ht="13.8">
      <c r="A315" s="1"/>
      <c r="B315" s="1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  <c r="AB315" s="200"/>
      <c r="AC315" s="200"/>
      <c r="AD315" s="200"/>
      <c r="AE315" s="200"/>
      <c r="AF315" s="200"/>
      <c r="AG315" s="200"/>
      <c r="AH315" s="200"/>
      <c r="AI315" s="200"/>
      <c r="AJ315" s="200"/>
      <c r="AK315" s="200"/>
      <c r="AL315" s="200"/>
      <c r="AM315" s="200"/>
      <c r="AN315" s="200"/>
      <c r="AO315" s="200"/>
      <c r="AP315" s="200"/>
      <c r="AQ315" s="200"/>
      <c r="AR315" s="200"/>
      <c r="AS315" s="200"/>
      <c r="AT315" s="200"/>
      <c r="AU315" s="200"/>
      <c r="AV315" s="200"/>
      <c r="AW315" s="200"/>
      <c r="AX315" s="200"/>
      <c r="AY315" s="200"/>
      <c r="AZ315" s="200"/>
      <c r="BA315" s="200"/>
      <c r="BB315" s="200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</row>
    <row r="316" spans="1:71" ht="13.8">
      <c r="A316" s="1"/>
      <c r="B316" s="1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  <c r="AB316" s="200"/>
      <c r="AC316" s="200"/>
      <c r="AD316" s="200"/>
      <c r="AE316" s="200"/>
      <c r="AF316" s="200"/>
      <c r="AG316" s="200"/>
      <c r="AH316" s="200"/>
      <c r="AI316" s="200"/>
      <c r="AJ316" s="200"/>
      <c r="AK316" s="200"/>
      <c r="AL316" s="200"/>
      <c r="AM316" s="200"/>
      <c r="AN316" s="200"/>
      <c r="AO316" s="200"/>
      <c r="AP316" s="200"/>
      <c r="AQ316" s="200"/>
      <c r="AR316" s="200"/>
      <c r="AS316" s="200"/>
      <c r="AT316" s="200"/>
      <c r="AU316" s="200"/>
      <c r="AV316" s="200"/>
      <c r="AW316" s="200"/>
      <c r="AX316" s="200"/>
      <c r="AY316" s="200"/>
      <c r="AZ316" s="200"/>
      <c r="BA316" s="200"/>
      <c r="BB316" s="200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</row>
    <row r="317" spans="1:71" ht="13.8">
      <c r="A317" s="1"/>
      <c r="B317" s="1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  <c r="AB317" s="200"/>
      <c r="AC317" s="200"/>
      <c r="AD317" s="200"/>
      <c r="AE317" s="200"/>
      <c r="AF317" s="200"/>
      <c r="AG317" s="200"/>
      <c r="AH317" s="200"/>
      <c r="AI317" s="200"/>
      <c r="AJ317" s="200"/>
      <c r="AK317" s="200"/>
      <c r="AL317" s="200"/>
      <c r="AM317" s="200"/>
      <c r="AN317" s="200"/>
      <c r="AO317" s="200"/>
      <c r="AP317" s="200"/>
      <c r="AQ317" s="200"/>
      <c r="AR317" s="200"/>
      <c r="AS317" s="200"/>
      <c r="AT317" s="200"/>
      <c r="AU317" s="200"/>
      <c r="AV317" s="200"/>
      <c r="AW317" s="200"/>
      <c r="AX317" s="200"/>
      <c r="AY317" s="200"/>
      <c r="AZ317" s="200"/>
      <c r="BA317" s="200"/>
      <c r="BB317" s="200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</row>
    <row r="318" spans="1:71" ht="13.8">
      <c r="A318" s="1"/>
      <c r="B318" s="1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  <c r="AA318" s="200"/>
      <c r="AB318" s="200"/>
      <c r="AC318" s="200"/>
      <c r="AD318" s="200"/>
      <c r="AE318" s="200"/>
      <c r="AF318" s="200"/>
      <c r="AG318" s="200"/>
      <c r="AH318" s="200"/>
      <c r="AI318" s="200"/>
      <c r="AJ318" s="200"/>
      <c r="AK318" s="200"/>
      <c r="AL318" s="200"/>
      <c r="AM318" s="200"/>
      <c r="AN318" s="200"/>
      <c r="AO318" s="200"/>
      <c r="AP318" s="200"/>
      <c r="AQ318" s="200"/>
      <c r="AR318" s="200"/>
      <c r="AS318" s="200"/>
      <c r="AT318" s="200"/>
      <c r="AU318" s="200"/>
      <c r="AV318" s="200"/>
      <c r="AW318" s="200"/>
      <c r="AX318" s="200"/>
      <c r="AY318" s="200"/>
      <c r="AZ318" s="200"/>
      <c r="BA318" s="200"/>
      <c r="BB318" s="200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</row>
    <row r="319" spans="1:71" ht="13.8">
      <c r="A319" s="1"/>
      <c r="B319" s="1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  <c r="AA319" s="200"/>
      <c r="AB319" s="200"/>
      <c r="AC319" s="200"/>
      <c r="AD319" s="200"/>
      <c r="AE319" s="200"/>
      <c r="AF319" s="200"/>
      <c r="AG319" s="200"/>
      <c r="AH319" s="200"/>
      <c r="AI319" s="200"/>
      <c r="AJ319" s="200"/>
      <c r="AK319" s="200"/>
      <c r="AL319" s="200"/>
      <c r="AM319" s="200"/>
      <c r="AN319" s="200"/>
      <c r="AO319" s="200"/>
      <c r="AP319" s="200"/>
      <c r="AQ319" s="200"/>
      <c r="AR319" s="200"/>
      <c r="AS319" s="200"/>
      <c r="AT319" s="200"/>
      <c r="AU319" s="200"/>
      <c r="AV319" s="200"/>
      <c r="AW319" s="200"/>
      <c r="AX319" s="200"/>
      <c r="AY319" s="200"/>
      <c r="AZ319" s="200"/>
      <c r="BA319" s="200"/>
      <c r="BB319" s="200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</row>
    <row r="320" spans="1:71" ht="13.8">
      <c r="A320" s="1"/>
      <c r="B320" s="1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  <c r="AA320" s="200"/>
      <c r="AB320" s="200"/>
      <c r="AC320" s="200"/>
      <c r="AD320" s="200"/>
      <c r="AE320" s="200"/>
      <c r="AF320" s="200"/>
      <c r="AG320" s="200"/>
      <c r="AH320" s="200"/>
      <c r="AI320" s="200"/>
      <c r="AJ320" s="200"/>
      <c r="AK320" s="200"/>
      <c r="AL320" s="200"/>
      <c r="AM320" s="200"/>
      <c r="AN320" s="200"/>
      <c r="AO320" s="200"/>
      <c r="AP320" s="200"/>
      <c r="AQ320" s="200"/>
      <c r="AR320" s="200"/>
      <c r="AS320" s="200"/>
      <c r="AT320" s="200"/>
      <c r="AU320" s="200"/>
      <c r="AV320" s="200"/>
      <c r="AW320" s="200"/>
      <c r="AX320" s="200"/>
      <c r="AY320" s="200"/>
      <c r="AZ320" s="200"/>
      <c r="BA320" s="200"/>
      <c r="BB320" s="200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</row>
    <row r="321" spans="1:71" ht="13.8">
      <c r="A321" s="1"/>
      <c r="B321" s="1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  <c r="AA321" s="200"/>
      <c r="AB321" s="200"/>
      <c r="AC321" s="200"/>
      <c r="AD321" s="200"/>
      <c r="AE321" s="200"/>
      <c r="AF321" s="200"/>
      <c r="AG321" s="200"/>
      <c r="AH321" s="200"/>
      <c r="AI321" s="200"/>
      <c r="AJ321" s="200"/>
      <c r="AK321" s="200"/>
      <c r="AL321" s="200"/>
      <c r="AM321" s="200"/>
      <c r="AN321" s="200"/>
      <c r="AO321" s="200"/>
      <c r="AP321" s="200"/>
      <c r="AQ321" s="200"/>
      <c r="AR321" s="200"/>
      <c r="AS321" s="200"/>
      <c r="AT321" s="200"/>
      <c r="AU321" s="200"/>
      <c r="AV321" s="200"/>
      <c r="AW321" s="200"/>
      <c r="AX321" s="200"/>
      <c r="AY321" s="200"/>
      <c r="AZ321" s="200"/>
      <c r="BA321" s="200"/>
      <c r="BB321" s="200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</row>
    <row r="322" spans="1:71" ht="13.8">
      <c r="A322" s="1"/>
      <c r="B322" s="1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  <c r="AA322" s="200"/>
      <c r="AB322" s="200"/>
      <c r="AC322" s="200"/>
      <c r="AD322" s="200"/>
      <c r="AE322" s="200"/>
      <c r="AF322" s="200"/>
      <c r="AG322" s="200"/>
      <c r="AH322" s="200"/>
      <c r="AI322" s="200"/>
      <c r="AJ322" s="200"/>
      <c r="AK322" s="200"/>
      <c r="AL322" s="200"/>
      <c r="AM322" s="200"/>
      <c r="AN322" s="200"/>
      <c r="AO322" s="200"/>
      <c r="AP322" s="200"/>
      <c r="AQ322" s="200"/>
      <c r="AR322" s="200"/>
      <c r="AS322" s="200"/>
      <c r="AT322" s="200"/>
      <c r="AU322" s="200"/>
      <c r="AV322" s="200"/>
      <c r="AW322" s="200"/>
      <c r="AX322" s="200"/>
      <c r="AY322" s="200"/>
      <c r="AZ322" s="200"/>
      <c r="BA322" s="200"/>
      <c r="BB322" s="200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</row>
    <row r="323" spans="1:71" ht="13.8">
      <c r="A323" s="1"/>
      <c r="B323" s="1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  <c r="AA323" s="200"/>
      <c r="AB323" s="200"/>
      <c r="AC323" s="200"/>
      <c r="AD323" s="200"/>
      <c r="AE323" s="200"/>
      <c r="AF323" s="200"/>
      <c r="AG323" s="200"/>
      <c r="AH323" s="200"/>
      <c r="AI323" s="200"/>
      <c r="AJ323" s="200"/>
      <c r="AK323" s="200"/>
      <c r="AL323" s="200"/>
      <c r="AM323" s="200"/>
      <c r="AN323" s="200"/>
      <c r="AO323" s="200"/>
      <c r="AP323" s="200"/>
      <c r="AQ323" s="200"/>
      <c r="AR323" s="200"/>
      <c r="AS323" s="200"/>
      <c r="AT323" s="200"/>
      <c r="AU323" s="200"/>
      <c r="AV323" s="200"/>
      <c r="AW323" s="200"/>
      <c r="AX323" s="200"/>
      <c r="AY323" s="200"/>
      <c r="AZ323" s="200"/>
      <c r="BA323" s="200"/>
      <c r="BB323" s="200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</row>
    <row r="324" spans="1:71" ht="13.8">
      <c r="A324" s="1"/>
      <c r="B324" s="1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  <c r="AA324" s="200"/>
      <c r="AB324" s="200"/>
      <c r="AC324" s="200"/>
      <c r="AD324" s="200"/>
      <c r="AE324" s="200"/>
      <c r="AF324" s="200"/>
      <c r="AG324" s="200"/>
      <c r="AH324" s="200"/>
      <c r="AI324" s="200"/>
      <c r="AJ324" s="200"/>
      <c r="AK324" s="200"/>
      <c r="AL324" s="200"/>
      <c r="AM324" s="200"/>
      <c r="AN324" s="200"/>
      <c r="AO324" s="200"/>
      <c r="AP324" s="200"/>
      <c r="AQ324" s="200"/>
      <c r="AR324" s="200"/>
      <c r="AS324" s="200"/>
      <c r="AT324" s="200"/>
      <c r="AU324" s="200"/>
      <c r="AV324" s="200"/>
      <c r="AW324" s="200"/>
      <c r="AX324" s="200"/>
      <c r="AY324" s="200"/>
      <c r="AZ324" s="200"/>
      <c r="BA324" s="200"/>
      <c r="BB324" s="200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</row>
    <row r="325" spans="1:71" ht="13.8">
      <c r="A325" s="1"/>
      <c r="B325" s="1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  <c r="AA325" s="200"/>
      <c r="AB325" s="200"/>
      <c r="AC325" s="200"/>
      <c r="AD325" s="200"/>
      <c r="AE325" s="200"/>
      <c r="AF325" s="200"/>
      <c r="AG325" s="200"/>
      <c r="AH325" s="200"/>
      <c r="AI325" s="200"/>
      <c r="AJ325" s="200"/>
      <c r="AK325" s="200"/>
      <c r="AL325" s="200"/>
      <c r="AM325" s="200"/>
      <c r="AN325" s="200"/>
      <c r="AO325" s="200"/>
      <c r="AP325" s="200"/>
      <c r="AQ325" s="200"/>
      <c r="AR325" s="200"/>
      <c r="AS325" s="200"/>
      <c r="AT325" s="200"/>
      <c r="AU325" s="200"/>
      <c r="AV325" s="200"/>
      <c r="AW325" s="200"/>
      <c r="AX325" s="200"/>
      <c r="AY325" s="200"/>
      <c r="AZ325" s="200"/>
      <c r="BA325" s="200"/>
      <c r="BB325" s="200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</row>
    <row r="326" spans="1:71" ht="13.8">
      <c r="A326" s="1"/>
      <c r="B326" s="1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  <c r="AA326" s="200"/>
      <c r="AB326" s="200"/>
      <c r="AC326" s="200"/>
      <c r="AD326" s="200"/>
      <c r="AE326" s="200"/>
      <c r="AF326" s="200"/>
      <c r="AG326" s="200"/>
      <c r="AH326" s="200"/>
      <c r="AI326" s="200"/>
      <c r="AJ326" s="200"/>
      <c r="AK326" s="200"/>
      <c r="AL326" s="200"/>
      <c r="AM326" s="200"/>
      <c r="AN326" s="200"/>
      <c r="AO326" s="200"/>
      <c r="AP326" s="200"/>
      <c r="AQ326" s="200"/>
      <c r="AR326" s="200"/>
      <c r="AS326" s="200"/>
      <c r="AT326" s="200"/>
      <c r="AU326" s="200"/>
      <c r="AV326" s="200"/>
      <c r="AW326" s="200"/>
      <c r="AX326" s="200"/>
      <c r="AY326" s="200"/>
      <c r="AZ326" s="200"/>
      <c r="BA326" s="200"/>
      <c r="BB326" s="200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</row>
    <row r="327" spans="1:71" ht="13.8">
      <c r="A327" s="1"/>
      <c r="B327" s="1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  <c r="AA327" s="200"/>
      <c r="AB327" s="200"/>
      <c r="AC327" s="200"/>
      <c r="AD327" s="200"/>
      <c r="AE327" s="200"/>
      <c r="AF327" s="200"/>
      <c r="AG327" s="200"/>
      <c r="AH327" s="200"/>
      <c r="AI327" s="200"/>
      <c r="AJ327" s="200"/>
      <c r="AK327" s="200"/>
      <c r="AL327" s="200"/>
      <c r="AM327" s="200"/>
      <c r="AN327" s="200"/>
      <c r="AO327" s="200"/>
      <c r="AP327" s="200"/>
      <c r="AQ327" s="200"/>
      <c r="AR327" s="200"/>
      <c r="AS327" s="200"/>
      <c r="AT327" s="200"/>
      <c r="AU327" s="200"/>
      <c r="AV327" s="200"/>
      <c r="AW327" s="200"/>
      <c r="AX327" s="200"/>
      <c r="AY327" s="200"/>
      <c r="AZ327" s="200"/>
      <c r="BA327" s="200"/>
      <c r="BB327" s="200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</row>
    <row r="328" spans="1:71" ht="13.8">
      <c r="A328" s="1"/>
      <c r="B328" s="1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  <c r="AA328" s="200"/>
      <c r="AB328" s="200"/>
      <c r="AC328" s="200"/>
      <c r="AD328" s="200"/>
      <c r="AE328" s="200"/>
      <c r="AF328" s="200"/>
      <c r="AG328" s="200"/>
      <c r="AH328" s="200"/>
      <c r="AI328" s="200"/>
      <c r="AJ328" s="200"/>
      <c r="AK328" s="200"/>
      <c r="AL328" s="200"/>
      <c r="AM328" s="200"/>
      <c r="AN328" s="200"/>
      <c r="AO328" s="200"/>
      <c r="AP328" s="200"/>
      <c r="AQ328" s="200"/>
      <c r="AR328" s="200"/>
      <c r="AS328" s="200"/>
      <c r="AT328" s="200"/>
      <c r="AU328" s="200"/>
      <c r="AV328" s="200"/>
      <c r="AW328" s="200"/>
      <c r="AX328" s="200"/>
      <c r="AY328" s="200"/>
      <c r="AZ328" s="200"/>
      <c r="BA328" s="200"/>
      <c r="BB328" s="200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</row>
    <row r="329" spans="1:71" ht="13.8">
      <c r="A329" s="1"/>
      <c r="B329" s="1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  <c r="AA329" s="200"/>
      <c r="AB329" s="200"/>
      <c r="AC329" s="200"/>
      <c r="AD329" s="200"/>
      <c r="AE329" s="200"/>
      <c r="AF329" s="200"/>
      <c r="AG329" s="200"/>
      <c r="AH329" s="200"/>
      <c r="AI329" s="200"/>
      <c r="AJ329" s="200"/>
      <c r="AK329" s="200"/>
      <c r="AL329" s="200"/>
      <c r="AM329" s="200"/>
      <c r="AN329" s="200"/>
      <c r="AO329" s="200"/>
      <c r="AP329" s="200"/>
      <c r="AQ329" s="200"/>
      <c r="AR329" s="200"/>
      <c r="AS329" s="200"/>
      <c r="AT329" s="200"/>
      <c r="AU329" s="200"/>
      <c r="AV329" s="200"/>
      <c r="AW329" s="200"/>
      <c r="AX329" s="200"/>
      <c r="AY329" s="200"/>
      <c r="AZ329" s="200"/>
      <c r="BA329" s="200"/>
      <c r="BB329" s="200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</row>
    <row r="330" spans="1:71" ht="13.8">
      <c r="A330" s="1"/>
      <c r="B330" s="1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  <c r="AA330" s="200"/>
      <c r="AB330" s="200"/>
      <c r="AC330" s="200"/>
      <c r="AD330" s="200"/>
      <c r="AE330" s="200"/>
      <c r="AF330" s="200"/>
      <c r="AG330" s="200"/>
      <c r="AH330" s="200"/>
      <c r="AI330" s="200"/>
      <c r="AJ330" s="200"/>
      <c r="AK330" s="200"/>
      <c r="AL330" s="200"/>
      <c r="AM330" s="200"/>
      <c r="AN330" s="200"/>
      <c r="AO330" s="200"/>
      <c r="AP330" s="200"/>
      <c r="AQ330" s="200"/>
      <c r="AR330" s="200"/>
      <c r="AS330" s="200"/>
      <c r="AT330" s="200"/>
      <c r="AU330" s="200"/>
      <c r="AV330" s="200"/>
      <c r="AW330" s="200"/>
      <c r="AX330" s="200"/>
      <c r="AY330" s="200"/>
      <c r="AZ330" s="200"/>
      <c r="BA330" s="200"/>
      <c r="BB330" s="200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</row>
    <row r="331" spans="1:71" ht="13.8">
      <c r="A331" s="1"/>
      <c r="B331" s="1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  <c r="AA331" s="200"/>
      <c r="AB331" s="200"/>
      <c r="AC331" s="200"/>
      <c r="AD331" s="200"/>
      <c r="AE331" s="200"/>
      <c r="AF331" s="200"/>
      <c r="AG331" s="200"/>
      <c r="AH331" s="200"/>
      <c r="AI331" s="200"/>
      <c r="AJ331" s="200"/>
      <c r="AK331" s="200"/>
      <c r="AL331" s="200"/>
      <c r="AM331" s="200"/>
      <c r="AN331" s="200"/>
      <c r="AO331" s="200"/>
      <c r="AP331" s="200"/>
      <c r="AQ331" s="200"/>
      <c r="AR331" s="200"/>
      <c r="AS331" s="200"/>
      <c r="AT331" s="200"/>
      <c r="AU331" s="200"/>
      <c r="AV331" s="200"/>
      <c r="AW331" s="200"/>
      <c r="AX331" s="200"/>
      <c r="AY331" s="200"/>
      <c r="AZ331" s="200"/>
      <c r="BA331" s="200"/>
      <c r="BB331" s="200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</row>
    <row r="332" spans="1:71" ht="13.8">
      <c r="A332" s="1"/>
      <c r="B332" s="1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  <c r="AA332" s="200"/>
      <c r="AB332" s="200"/>
      <c r="AC332" s="200"/>
      <c r="AD332" s="200"/>
      <c r="AE332" s="200"/>
      <c r="AF332" s="200"/>
      <c r="AG332" s="200"/>
      <c r="AH332" s="200"/>
      <c r="AI332" s="200"/>
      <c r="AJ332" s="200"/>
      <c r="AK332" s="200"/>
      <c r="AL332" s="200"/>
      <c r="AM332" s="200"/>
      <c r="AN332" s="200"/>
      <c r="AO332" s="200"/>
      <c r="AP332" s="200"/>
      <c r="AQ332" s="200"/>
      <c r="AR332" s="200"/>
      <c r="AS332" s="200"/>
      <c r="AT332" s="200"/>
      <c r="AU332" s="200"/>
      <c r="AV332" s="200"/>
      <c r="AW332" s="200"/>
      <c r="AX332" s="200"/>
      <c r="AY332" s="200"/>
      <c r="AZ332" s="200"/>
      <c r="BA332" s="200"/>
      <c r="BB332" s="200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</row>
    <row r="333" spans="1:71" ht="13.8">
      <c r="A333" s="1"/>
      <c r="B333" s="1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  <c r="AA333" s="200"/>
      <c r="AB333" s="200"/>
      <c r="AC333" s="200"/>
      <c r="AD333" s="200"/>
      <c r="AE333" s="200"/>
      <c r="AF333" s="200"/>
      <c r="AG333" s="200"/>
      <c r="AH333" s="200"/>
      <c r="AI333" s="200"/>
      <c r="AJ333" s="200"/>
      <c r="AK333" s="200"/>
      <c r="AL333" s="200"/>
      <c r="AM333" s="200"/>
      <c r="AN333" s="200"/>
      <c r="AO333" s="200"/>
      <c r="AP333" s="200"/>
      <c r="AQ333" s="200"/>
      <c r="AR333" s="200"/>
      <c r="AS333" s="200"/>
      <c r="AT333" s="200"/>
      <c r="AU333" s="200"/>
      <c r="AV333" s="200"/>
      <c r="AW333" s="200"/>
      <c r="AX333" s="200"/>
      <c r="AY333" s="200"/>
      <c r="AZ333" s="200"/>
      <c r="BA333" s="200"/>
      <c r="BB333" s="200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</row>
    <row r="334" spans="1:71" ht="13.8">
      <c r="A334" s="1"/>
      <c r="B334" s="1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  <c r="AA334" s="200"/>
      <c r="AB334" s="200"/>
      <c r="AC334" s="200"/>
      <c r="AD334" s="200"/>
      <c r="AE334" s="200"/>
      <c r="AF334" s="200"/>
      <c r="AG334" s="200"/>
      <c r="AH334" s="200"/>
      <c r="AI334" s="200"/>
      <c r="AJ334" s="200"/>
      <c r="AK334" s="200"/>
      <c r="AL334" s="200"/>
      <c r="AM334" s="200"/>
      <c r="AN334" s="200"/>
      <c r="AO334" s="200"/>
      <c r="AP334" s="200"/>
      <c r="AQ334" s="200"/>
      <c r="AR334" s="200"/>
      <c r="AS334" s="200"/>
      <c r="AT334" s="200"/>
      <c r="AU334" s="200"/>
      <c r="AV334" s="200"/>
      <c r="AW334" s="200"/>
      <c r="AX334" s="200"/>
      <c r="AY334" s="200"/>
      <c r="AZ334" s="200"/>
      <c r="BA334" s="200"/>
      <c r="BB334" s="200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</row>
    <row r="335" spans="1:71" ht="13.8">
      <c r="A335" s="1"/>
      <c r="B335" s="1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  <c r="AA335" s="200"/>
      <c r="AB335" s="200"/>
      <c r="AC335" s="200"/>
      <c r="AD335" s="200"/>
      <c r="AE335" s="200"/>
      <c r="AF335" s="200"/>
      <c r="AG335" s="200"/>
      <c r="AH335" s="200"/>
      <c r="AI335" s="200"/>
      <c r="AJ335" s="200"/>
      <c r="AK335" s="200"/>
      <c r="AL335" s="200"/>
      <c r="AM335" s="200"/>
      <c r="AN335" s="200"/>
      <c r="AO335" s="200"/>
      <c r="AP335" s="200"/>
      <c r="AQ335" s="200"/>
      <c r="AR335" s="200"/>
      <c r="AS335" s="200"/>
      <c r="AT335" s="200"/>
      <c r="AU335" s="200"/>
      <c r="AV335" s="200"/>
      <c r="AW335" s="200"/>
      <c r="AX335" s="200"/>
      <c r="AY335" s="200"/>
      <c r="AZ335" s="200"/>
      <c r="BA335" s="200"/>
      <c r="BB335" s="200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</row>
    <row r="336" spans="1:71" ht="13.8">
      <c r="A336" s="1"/>
      <c r="B336" s="1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  <c r="AA336" s="200"/>
      <c r="AB336" s="200"/>
      <c r="AC336" s="200"/>
      <c r="AD336" s="200"/>
      <c r="AE336" s="200"/>
      <c r="AF336" s="200"/>
      <c r="AG336" s="200"/>
      <c r="AH336" s="200"/>
      <c r="AI336" s="200"/>
      <c r="AJ336" s="200"/>
      <c r="AK336" s="200"/>
      <c r="AL336" s="200"/>
      <c r="AM336" s="200"/>
      <c r="AN336" s="200"/>
      <c r="AO336" s="200"/>
      <c r="AP336" s="200"/>
      <c r="AQ336" s="200"/>
      <c r="AR336" s="200"/>
      <c r="AS336" s="200"/>
      <c r="AT336" s="200"/>
      <c r="AU336" s="200"/>
      <c r="AV336" s="200"/>
      <c r="AW336" s="200"/>
      <c r="AX336" s="200"/>
      <c r="AY336" s="200"/>
      <c r="AZ336" s="200"/>
      <c r="BA336" s="200"/>
      <c r="BB336" s="200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</row>
    <row r="337" spans="1:71" ht="13.8">
      <c r="A337" s="1"/>
      <c r="B337" s="1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  <c r="AA337" s="200"/>
      <c r="AB337" s="200"/>
      <c r="AC337" s="200"/>
      <c r="AD337" s="200"/>
      <c r="AE337" s="200"/>
      <c r="AF337" s="200"/>
      <c r="AG337" s="200"/>
      <c r="AH337" s="200"/>
      <c r="AI337" s="200"/>
      <c r="AJ337" s="200"/>
      <c r="AK337" s="200"/>
      <c r="AL337" s="200"/>
      <c r="AM337" s="200"/>
      <c r="AN337" s="200"/>
      <c r="AO337" s="200"/>
      <c r="AP337" s="200"/>
      <c r="AQ337" s="200"/>
      <c r="AR337" s="200"/>
      <c r="AS337" s="200"/>
      <c r="AT337" s="200"/>
      <c r="AU337" s="200"/>
      <c r="AV337" s="200"/>
      <c r="AW337" s="200"/>
      <c r="AX337" s="200"/>
      <c r="AY337" s="200"/>
      <c r="AZ337" s="200"/>
      <c r="BA337" s="200"/>
      <c r="BB337" s="200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</row>
    <row r="338" spans="1:71" ht="13.8">
      <c r="A338" s="1"/>
      <c r="B338" s="1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  <c r="AA338" s="200"/>
      <c r="AB338" s="200"/>
      <c r="AC338" s="200"/>
      <c r="AD338" s="200"/>
      <c r="AE338" s="200"/>
      <c r="AF338" s="200"/>
      <c r="AG338" s="200"/>
      <c r="AH338" s="200"/>
      <c r="AI338" s="200"/>
      <c r="AJ338" s="200"/>
      <c r="AK338" s="200"/>
      <c r="AL338" s="200"/>
      <c r="AM338" s="200"/>
      <c r="AN338" s="200"/>
      <c r="AO338" s="200"/>
      <c r="AP338" s="200"/>
      <c r="AQ338" s="200"/>
      <c r="AR338" s="200"/>
      <c r="AS338" s="200"/>
      <c r="AT338" s="200"/>
      <c r="AU338" s="200"/>
      <c r="AV338" s="200"/>
      <c r="AW338" s="200"/>
      <c r="AX338" s="200"/>
      <c r="AY338" s="200"/>
      <c r="AZ338" s="200"/>
      <c r="BA338" s="200"/>
      <c r="BB338" s="200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</row>
    <row r="339" spans="1:71" ht="13.8">
      <c r="A339" s="1"/>
      <c r="B339" s="1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  <c r="AA339" s="200"/>
      <c r="AB339" s="200"/>
      <c r="AC339" s="200"/>
      <c r="AD339" s="200"/>
      <c r="AE339" s="200"/>
      <c r="AF339" s="200"/>
      <c r="AG339" s="200"/>
      <c r="AH339" s="200"/>
      <c r="AI339" s="200"/>
      <c r="AJ339" s="200"/>
      <c r="AK339" s="200"/>
      <c r="AL339" s="200"/>
      <c r="AM339" s="200"/>
      <c r="AN339" s="200"/>
      <c r="AO339" s="200"/>
      <c r="AP339" s="200"/>
      <c r="AQ339" s="200"/>
      <c r="AR339" s="200"/>
      <c r="AS339" s="200"/>
      <c r="AT339" s="200"/>
      <c r="AU339" s="200"/>
      <c r="AV339" s="200"/>
      <c r="AW339" s="200"/>
      <c r="AX339" s="200"/>
      <c r="AY339" s="200"/>
      <c r="AZ339" s="200"/>
      <c r="BA339" s="200"/>
      <c r="BB339" s="200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</row>
    <row r="340" spans="1:71" ht="13.8">
      <c r="A340" s="1"/>
      <c r="B340" s="1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  <c r="AA340" s="200"/>
      <c r="AB340" s="200"/>
      <c r="AC340" s="200"/>
      <c r="AD340" s="200"/>
      <c r="AE340" s="200"/>
      <c r="AF340" s="200"/>
      <c r="AG340" s="200"/>
      <c r="AH340" s="200"/>
      <c r="AI340" s="200"/>
      <c r="AJ340" s="200"/>
      <c r="AK340" s="200"/>
      <c r="AL340" s="200"/>
      <c r="AM340" s="200"/>
      <c r="AN340" s="200"/>
      <c r="AO340" s="200"/>
      <c r="AP340" s="200"/>
      <c r="AQ340" s="200"/>
      <c r="AR340" s="200"/>
      <c r="AS340" s="200"/>
      <c r="AT340" s="200"/>
      <c r="AU340" s="200"/>
      <c r="AV340" s="200"/>
      <c r="AW340" s="200"/>
      <c r="AX340" s="200"/>
      <c r="AY340" s="200"/>
      <c r="AZ340" s="200"/>
      <c r="BA340" s="200"/>
      <c r="BB340" s="200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</row>
    <row r="341" spans="1:71" ht="13.8">
      <c r="A341" s="1"/>
      <c r="B341" s="1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  <c r="AB341" s="200"/>
      <c r="AC341" s="200"/>
      <c r="AD341" s="200"/>
      <c r="AE341" s="200"/>
      <c r="AF341" s="200"/>
      <c r="AG341" s="200"/>
      <c r="AH341" s="200"/>
      <c r="AI341" s="200"/>
      <c r="AJ341" s="200"/>
      <c r="AK341" s="200"/>
      <c r="AL341" s="200"/>
      <c r="AM341" s="200"/>
      <c r="AN341" s="200"/>
      <c r="AO341" s="200"/>
      <c r="AP341" s="200"/>
      <c r="AQ341" s="200"/>
      <c r="AR341" s="200"/>
      <c r="AS341" s="200"/>
      <c r="AT341" s="200"/>
      <c r="AU341" s="200"/>
      <c r="AV341" s="200"/>
      <c r="AW341" s="200"/>
      <c r="AX341" s="200"/>
      <c r="AY341" s="200"/>
      <c r="AZ341" s="200"/>
      <c r="BA341" s="200"/>
      <c r="BB341" s="200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</row>
    <row r="342" spans="1:71" ht="13.8">
      <c r="A342" s="1"/>
      <c r="B342" s="1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  <c r="AA342" s="200"/>
      <c r="AB342" s="200"/>
      <c r="AC342" s="200"/>
      <c r="AD342" s="200"/>
      <c r="AE342" s="200"/>
      <c r="AF342" s="200"/>
      <c r="AG342" s="200"/>
      <c r="AH342" s="200"/>
      <c r="AI342" s="200"/>
      <c r="AJ342" s="200"/>
      <c r="AK342" s="200"/>
      <c r="AL342" s="200"/>
      <c r="AM342" s="200"/>
      <c r="AN342" s="200"/>
      <c r="AO342" s="200"/>
      <c r="AP342" s="200"/>
      <c r="AQ342" s="200"/>
      <c r="AR342" s="200"/>
      <c r="AS342" s="200"/>
      <c r="AT342" s="200"/>
      <c r="AU342" s="200"/>
      <c r="AV342" s="200"/>
      <c r="AW342" s="200"/>
      <c r="AX342" s="200"/>
      <c r="AY342" s="200"/>
      <c r="AZ342" s="200"/>
      <c r="BA342" s="200"/>
      <c r="BB342" s="200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</row>
    <row r="343" spans="1:71" ht="13.8">
      <c r="A343" s="1"/>
      <c r="B343" s="1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  <c r="AA343" s="200"/>
      <c r="AB343" s="200"/>
      <c r="AC343" s="200"/>
      <c r="AD343" s="200"/>
      <c r="AE343" s="200"/>
      <c r="AF343" s="200"/>
      <c r="AG343" s="200"/>
      <c r="AH343" s="200"/>
      <c r="AI343" s="200"/>
      <c r="AJ343" s="200"/>
      <c r="AK343" s="200"/>
      <c r="AL343" s="200"/>
      <c r="AM343" s="200"/>
      <c r="AN343" s="200"/>
      <c r="AO343" s="200"/>
      <c r="AP343" s="200"/>
      <c r="AQ343" s="200"/>
      <c r="AR343" s="200"/>
      <c r="AS343" s="200"/>
      <c r="AT343" s="200"/>
      <c r="AU343" s="200"/>
      <c r="AV343" s="200"/>
      <c r="AW343" s="200"/>
      <c r="AX343" s="200"/>
      <c r="AY343" s="200"/>
      <c r="AZ343" s="200"/>
      <c r="BA343" s="200"/>
      <c r="BB343" s="200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</row>
    <row r="344" spans="1:71" ht="13.8">
      <c r="A344" s="1"/>
      <c r="B344" s="1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  <c r="AA344" s="200"/>
      <c r="AB344" s="200"/>
      <c r="AC344" s="200"/>
      <c r="AD344" s="200"/>
      <c r="AE344" s="200"/>
      <c r="AF344" s="200"/>
      <c r="AG344" s="200"/>
      <c r="AH344" s="200"/>
      <c r="AI344" s="200"/>
      <c r="AJ344" s="200"/>
      <c r="AK344" s="200"/>
      <c r="AL344" s="200"/>
      <c r="AM344" s="200"/>
      <c r="AN344" s="200"/>
      <c r="AO344" s="200"/>
      <c r="AP344" s="200"/>
      <c r="AQ344" s="200"/>
      <c r="AR344" s="200"/>
      <c r="AS344" s="200"/>
      <c r="AT344" s="200"/>
      <c r="AU344" s="200"/>
      <c r="AV344" s="200"/>
      <c r="AW344" s="200"/>
      <c r="AX344" s="200"/>
      <c r="AY344" s="200"/>
      <c r="AZ344" s="200"/>
      <c r="BA344" s="200"/>
      <c r="BB344" s="200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</row>
    <row r="345" spans="1:71" ht="13.8">
      <c r="A345" s="1"/>
      <c r="B345" s="1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  <c r="AA345" s="200"/>
      <c r="AB345" s="200"/>
      <c r="AC345" s="200"/>
      <c r="AD345" s="200"/>
      <c r="AE345" s="200"/>
      <c r="AF345" s="200"/>
      <c r="AG345" s="200"/>
      <c r="AH345" s="200"/>
      <c r="AI345" s="200"/>
      <c r="AJ345" s="200"/>
      <c r="AK345" s="200"/>
      <c r="AL345" s="200"/>
      <c r="AM345" s="200"/>
      <c r="AN345" s="200"/>
      <c r="AO345" s="200"/>
      <c r="AP345" s="200"/>
      <c r="AQ345" s="200"/>
      <c r="AR345" s="200"/>
      <c r="AS345" s="200"/>
      <c r="AT345" s="200"/>
      <c r="AU345" s="200"/>
      <c r="AV345" s="200"/>
      <c r="AW345" s="200"/>
      <c r="AX345" s="200"/>
      <c r="AY345" s="200"/>
      <c r="AZ345" s="200"/>
      <c r="BA345" s="200"/>
      <c r="BB345" s="200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</row>
    <row r="346" spans="1:71" ht="13.8">
      <c r="A346" s="1"/>
      <c r="B346" s="1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  <c r="AA346" s="200"/>
      <c r="AB346" s="200"/>
      <c r="AC346" s="200"/>
      <c r="AD346" s="200"/>
      <c r="AE346" s="200"/>
      <c r="AF346" s="200"/>
      <c r="AG346" s="200"/>
      <c r="AH346" s="200"/>
      <c r="AI346" s="200"/>
      <c r="AJ346" s="200"/>
      <c r="AK346" s="200"/>
      <c r="AL346" s="200"/>
      <c r="AM346" s="200"/>
      <c r="AN346" s="200"/>
      <c r="AO346" s="200"/>
      <c r="AP346" s="200"/>
      <c r="AQ346" s="200"/>
      <c r="AR346" s="200"/>
      <c r="AS346" s="200"/>
      <c r="AT346" s="200"/>
      <c r="AU346" s="200"/>
      <c r="AV346" s="200"/>
      <c r="AW346" s="200"/>
      <c r="AX346" s="200"/>
      <c r="AY346" s="200"/>
      <c r="AZ346" s="200"/>
      <c r="BA346" s="200"/>
      <c r="BB346" s="200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</row>
    <row r="347" spans="1:71" ht="13.8">
      <c r="A347" s="1"/>
      <c r="B347" s="1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  <c r="AA347" s="200"/>
      <c r="AB347" s="200"/>
      <c r="AC347" s="200"/>
      <c r="AD347" s="200"/>
      <c r="AE347" s="200"/>
      <c r="AF347" s="200"/>
      <c r="AG347" s="200"/>
      <c r="AH347" s="200"/>
      <c r="AI347" s="200"/>
      <c r="AJ347" s="200"/>
      <c r="AK347" s="200"/>
      <c r="AL347" s="200"/>
      <c r="AM347" s="200"/>
      <c r="AN347" s="200"/>
      <c r="AO347" s="200"/>
      <c r="AP347" s="200"/>
      <c r="AQ347" s="200"/>
      <c r="AR347" s="200"/>
      <c r="AS347" s="200"/>
      <c r="AT347" s="200"/>
      <c r="AU347" s="200"/>
      <c r="AV347" s="200"/>
      <c r="AW347" s="200"/>
      <c r="AX347" s="200"/>
      <c r="AY347" s="200"/>
      <c r="AZ347" s="200"/>
      <c r="BA347" s="200"/>
      <c r="BB347" s="200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</row>
    <row r="348" spans="1:71" ht="13.8">
      <c r="A348" s="1"/>
      <c r="B348" s="1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  <c r="AA348" s="200"/>
      <c r="AB348" s="200"/>
      <c r="AC348" s="200"/>
      <c r="AD348" s="200"/>
      <c r="AE348" s="200"/>
      <c r="AF348" s="200"/>
      <c r="AG348" s="200"/>
      <c r="AH348" s="200"/>
      <c r="AI348" s="200"/>
      <c r="AJ348" s="200"/>
      <c r="AK348" s="200"/>
      <c r="AL348" s="200"/>
      <c r="AM348" s="200"/>
      <c r="AN348" s="200"/>
      <c r="AO348" s="200"/>
      <c r="AP348" s="200"/>
      <c r="AQ348" s="200"/>
      <c r="AR348" s="200"/>
      <c r="AS348" s="200"/>
      <c r="AT348" s="200"/>
      <c r="AU348" s="200"/>
      <c r="AV348" s="200"/>
      <c r="AW348" s="200"/>
      <c r="AX348" s="200"/>
      <c r="AY348" s="200"/>
      <c r="AZ348" s="200"/>
      <c r="BA348" s="200"/>
      <c r="BB348" s="200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</row>
    <row r="349" spans="1:71" ht="13.8">
      <c r="A349" s="1"/>
      <c r="B349" s="1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  <c r="AA349" s="200"/>
      <c r="AB349" s="200"/>
      <c r="AC349" s="200"/>
      <c r="AD349" s="200"/>
      <c r="AE349" s="200"/>
      <c r="AF349" s="200"/>
      <c r="AG349" s="200"/>
      <c r="AH349" s="200"/>
      <c r="AI349" s="200"/>
      <c r="AJ349" s="200"/>
      <c r="AK349" s="200"/>
      <c r="AL349" s="200"/>
      <c r="AM349" s="200"/>
      <c r="AN349" s="200"/>
      <c r="AO349" s="200"/>
      <c r="AP349" s="200"/>
      <c r="AQ349" s="200"/>
      <c r="AR349" s="200"/>
      <c r="AS349" s="200"/>
      <c r="AT349" s="200"/>
      <c r="AU349" s="200"/>
      <c r="AV349" s="200"/>
      <c r="AW349" s="200"/>
      <c r="AX349" s="200"/>
      <c r="AY349" s="200"/>
      <c r="AZ349" s="200"/>
      <c r="BA349" s="200"/>
      <c r="BB349" s="200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</row>
    <row r="350" spans="1:71" ht="13.8">
      <c r="A350" s="1"/>
      <c r="B350" s="1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  <c r="AA350" s="200"/>
      <c r="AB350" s="200"/>
      <c r="AC350" s="200"/>
      <c r="AD350" s="200"/>
      <c r="AE350" s="200"/>
      <c r="AF350" s="200"/>
      <c r="AG350" s="200"/>
      <c r="AH350" s="200"/>
      <c r="AI350" s="200"/>
      <c r="AJ350" s="200"/>
      <c r="AK350" s="200"/>
      <c r="AL350" s="200"/>
      <c r="AM350" s="200"/>
      <c r="AN350" s="200"/>
      <c r="AO350" s="200"/>
      <c r="AP350" s="200"/>
      <c r="AQ350" s="200"/>
      <c r="AR350" s="200"/>
      <c r="AS350" s="200"/>
      <c r="AT350" s="200"/>
      <c r="AU350" s="200"/>
      <c r="AV350" s="200"/>
      <c r="AW350" s="200"/>
      <c r="AX350" s="200"/>
      <c r="AY350" s="200"/>
      <c r="AZ350" s="200"/>
      <c r="BA350" s="200"/>
      <c r="BB350" s="200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</row>
    <row r="351" spans="1:71" ht="13.8">
      <c r="A351" s="1"/>
      <c r="B351" s="1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  <c r="AA351" s="200"/>
      <c r="AB351" s="200"/>
      <c r="AC351" s="200"/>
      <c r="AD351" s="200"/>
      <c r="AE351" s="200"/>
      <c r="AF351" s="200"/>
      <c r="AG351" s="200"/>
      <c r="AH351" s="200"/>
      <c r="AI351" s="200"/>
      <c r="AJ351" s="200"/>
      <c r="AK351" s="200"/>
      <c r="AL351" s="200"/>
      <c r="AM351" s="200"/>
      <c r="AN351" s="200"/>
      <c r="AO351" s="200"/>
      <c r="AP351" s="200"/>
      <c r="AQ351" s="200"/>
      <c r="AR351" s="200"/>
      <c r="AS351" s="200"/>
      <c r="AT351" s="200"/>
      <c r="AU351" s="200"/>
      <c r="AV351" s="200"/>
      <c r="AW351" s="200"/>
      <c r="AX351" s="200"/>
      <c r="AY351" s="200"/>
      <c r="AZ351" s="200"/>
      <c r="BA351" s="200"/>
      <c r="BB351" s="200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</row>
    <row r="352" spans="1:71" ht="13.8">
      <c r="A352" s="1"/>
      <c r="B352" s="1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  <c r="AA352" s="200"/>
      <c r="AB352" s="200"/>
      <c r="AC352" s="200"/>
      <c r="AD352" s="200"/>
      <c r="AE352" s="200"/>
      <c r="AF352" s="200"/>
      <c r="AG352" s="200"/>
      <c r="AH352" s="200"/>
      <c r="AI352" s="200"/>
      <c r="AJ352" s="200"/>
      <c r="AK352" s="200"/>
      <c r="AL352" s="200"/>
      <c r="AM352" s="200"/>
      <c r="AN352" s="200"/>
      <c r="AO352" s="200"/>
      <c r="AP352" s="200"/>
      <c r="AQ352" s="200"/>
      <c r="AR352" s="200"/>
      <c r="AS352" s="200"/>
      <c r="AT352" s="200"/>
      <c r="AU352" s="200"/>
      <c r="AV352" s="200"/>
      <c r="AW352" s="200"/>
      <c r="AX352" s="200"/>
      <c r="AY352" s="200"/>
      <c r="AZ352" s="200"/>
      <c r="BA352" s="200"/>
      <c r="BB352" s="200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</row>
    <row r="353" spans="1:71" ht="13.8">
      <c r="A353" s="1"/>
      <c r="B353" s="1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  <c r="AA353" s="200"/>
      <c r="AB353" s="200"/>
      <c r="AC353" s="200"/>
      <c r="AD353" s="200"/>
      <c r="AE353" s="200"/>
      <c r="AF353" s="200"/>
      <c r="AG353" s="200"/>
      <c r="AH353" s="200"/>
      <c r="AI353" s="200"/>
      <c r="AJ353" s="200"/>
      <c r="AK353" s="200"/>
      <c r="AL353" s="200"/>
      <c r="AM353" s="200"/>
      <c r="AN353" s="200"/>
      <c r="AO353" s="200"/>
      <c r="AP353" s="200"/>
      <c r="AQ353" s="200"/>
      <c r="AR353" s="200"/>
      <c r="AS353" s="200"/>
      <c r="AT353" s="200"/>
      <c r="AU353" s="200"/>
      <c r="AV353" s="200"/>
      <c r="AW353" s="200"/>
      <c r="AX353" s="200"/>
      <c r="AY353" s="200"/>
      <c r="AZ353" s="200"/>
      <c r="BA353" s="200"/>
      <c r="BB353" s="200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</row>
    <row r="354" spans="1:71" ht="13.8">
      <c r="A354" s="1"/>
      <c r="B354" s="1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  <c r="AA354" s="200"/>
      <c r="AB354" s="200"/>
      <c r="AC354" s="200"/>
      <c r="AD354" s="200"/>
      <c r="AE354" s="200"/>
      <c r="AF354" s="200"/>
      <c r="AG354" s="200"/>
      <c r="AH354" s="200"/>
      <c r="AI354" s="200"/>
      <c r="AJ354" s="200"/>
      <c r="AK354" s="200"/>
      <c r="AL354" s="200"/>
      <c r="AM354" s="200"/>
      <c r="AN354" s="200"/>
      <c r="AO354" s="200"/>
      <c r="AP354" s="200"/>
      <c r="AQ354" s="200"/>
      <c r="AR354" s="200"/>
      <c r="AS354" s="200"/>
      <c r="AT354" s="200"/>
      <c r="AU354" s="200"/>
      <c r="AV354" s="200"/>
      <c r="AW354" s="200"/>
      <c r="AX354" s="200"/>
      <c r="AY354" s="200"/>
      <c r="AZ354" s="200"/>
      <c r="BA354" s="200"/>
      <c r="BB354" s="200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</row>
    <row r="355" spans="1:71" ht="13.8">
      <c r="A355" s="1"/>
      <c r="B355" s="1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  <c r="AA355" s="200"/>
      <c r="AB355" s="200"/>
      <c r="AC355" s="200"/>
      <c r="AD355" s="200"/>
      <c r="AE355" s="200"/>
      <c r="AF355" s="200"/>
      <c r="AG355" s="200"/>
      <c r="AH355" s="200"/>
      <c r="AI355" s="200"/>
      <c r="AJ355" s="200"/>
      <c r="AK355" s="200"/>
      <c r="AL355" s="200"/>
      <c r="AM355" s="200"/>
      <c r="AN355" s="200"/>
      <c r="AO355" s="200"/>
      <c r="AP355" s="200"/>
      <c r="AQ355" s="200"/>
      <c r="AR355" s="200"/>
      <c r="AS355" s="200"/>
      <c r="AT355" s="200"/>
      <c r="AU355" s="200"/>
      <c r="AV355" s="200"/>
      <c r="AW355" s="200"/>
      <c r="AX355" s="200"/>
      <c r="AY355" s="200"/>
      <c r="AZ355" s="200"/>
      <c r="BA355" s="200"/>
      <c r="BB355" s="200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</row>
    <row r="356" spans="1:71" ht="13.8">
      <c r="A356" s="1"/>
      <c r="B356" s="1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  <c r="AA356" s="200"/>
      <c r="AB356" s="200"/>
      <c r="AC356" s="200"/>
      <c r="AD356" s="200"/>
      <c r="AE356" s="200"/>
      <c r="AF356" s="200"/>
      <c r="AG356" s="200"/>
      <c r="AH356" s="200"/>
      <c r="AI356" s="200"/>
      <c r="AJ356" s="200"/>
      <c r="AK356" s="200"/>
      <c r="AL356" s="200"/>
      <c r="AM356" s="200"/>
      <c r="AN356" s="200"/>
      <c r="AO356" s="200"/>
      <c r="AP356" s="200"/>
      <c r="AQ356" s="200"/>
      <c r="AR356" s="200"/>
      <c r="AS356" s="200"/>
      <c r="AT356" s="200"/>
      <c r="AU356" s="200"/>
      <c r="AV356" s="200"/>
      <c r="AW356" s="200"/>
      <c r="AX356" s="200"/>
      <c r="AY356" s="200"/>
      <c r="AZ356" s="200"/>
      <c r="BA356" s="200"/>
      <c r="BB356" s="200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</row>
    <row r="357" spans="1:71" ht="13.8">
      <c r="A357" s="1"/>
      <c r="B357" s="1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  <c r="AA357" s="200"/>
      <c r="AB357" s="200"/>
      <c r="AC357" s="200"/>
      <c r="AD357" s="200"/>
      <c r="AE357" s="200"/>
      <c r="AF357" s="200"/>
      <c r="AG357" s="200"/>
      <c r="AH357" s="200"/>
      <c r="AI357" s="200"/>
      <c r="AJ357" s="200"/>
      <c r="AK357" s="200"/>
      <c r="AL357" s="200"/>
      <c r="AM357" s="200"/>
      <c r="AN357" s="200"/>
      <c r="AO357" s="200"/>
      <c r="AP357" s="200"/>
      <c r="AQ357" s="200"/>
      <c r="AR357" s="200"/>
      <c r="AS357" s="200"/>
      <c r="AT357" s="200"/>
      <c r="AU357" s="200"/>
      <c r="AV357" s="200"/>
      <c r="AW357" s="200"/>
      <c r="AX357" s="200"/>
      <c r="AY357" s="200"/>
      <c r="AZ357" s="200"/>
      <c r="BA357" s="200"/>
      <c r="BB357" s="200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</row>
    <row r="358" spans="1:71" ht="13.8">
      <c r="A358" s="1"/>
      <c r="B358" s="1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  <c r="AA358" s="200"/>
      <c r="AB358" s="200"/>
      <c r="AC358" s="200"/>
      <c r="AD358" s="200"/>
      <c r="AE358" s="200"/>
      <c r="AF358" s="200"/>
      <c r="AG358" s="200"/>
      <c r="AH358" s="200"/>
      <c r="AI358" s="200"/>
      <c r="AJ358" s="200"/>
      <c r="AK358" s="200"/>
      <c r="AL358" s="200"/>
      <c r="AM358" s="200"/>
      <c r="AN358" s="200"/>
      <c r="AO358" s="200"/>
      <c r="AP358" s="200"/>
      <c r="AQ358" s="200"/>
      <c r="AR358" s="200"/>
      <c r="AS358" s="200"/>
      <c r="AT358" s="200"/>
      <c r="AU358" s="200"/>
      <c r="AV358" s="200"/>
      <c r="AW358" s="200"/>
      <c r="AX358" s="200"/>
      <c r="AY358" s="200"/>
      <c r="AZ358" s="200"/>
      <c r="BA358" s="200"/>
      <c r="BB358" s="200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</row>
    <row r="359" spans="1:71" ht="13.8">
      <c r="A359" s="1"/>
      <c r="B359" s="1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  <c r="AA359" s="200"/>
      <c r="AB359" s="200"/>
      <c r="AC359" s="200"/>
      <c r="AD359" s="200"/>
      <c r="AE359" s="200"/>
      <c r="AF359" s="200"/>
      <c r="AG359" s="200"/>
      <c r="AH359" s="200"/>
      <c r="AI359" s="200"/>
      <c r="AJ359" s="200"/>
      <c r="AK359" s="200"/>
      <c r="AL359" s="200"/>
      <c r="AM359" s="200"/>
      <c r="AN359" s="200"/>
      <c r="AO359" s="200"/>
      <c r="AP359" s="200"/>
      <c r="AQ359" s="200"/>
      <c r="AR359" s="200"/>
      <c r="AS359" s="200"/>
      <c r="AT359" s="200"/>
      <c r="AU359" s="200"/>
      <c r="AV359" s="200"/>
      <c r="AW359" s="200"/>
      <c r="AX359" s="200"/>
      <c r="AY359" s="200"/>
      <c r="AZ359" s="200"/>
      <c r="BA359" s="200"/>
      <c r="BB359" s="200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</row>
    <row r="360" spans="1:71" ht="13.8">
      <c r="A360" s="1"/>
      <c r="B360" s="1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  <c r="AA360" s="200"/>
      <c r="AB360" s="200"/>
      <c r="AC360" s="200"/>
      <c r="AD360" s="200"/>
      <c r="AE360" s="200"/>
      <c r="AF360" s="200"/>
      <c r="AG360" s="200"/>
      <c r="AH360" s="200"/>
      <c r="AI360" s="200"/>
      <c r="AJ360" s="200"/>
      <c r="AK360" s="200"/>
      <c r="AL360" s="200"/>
      <c r="AM360" s="200"/>
      <c r="AN360" s="200"/>
      <c r="AO360" s="200"/>
      <c r="AP360" s="200"/>
      <c r="AQ360" s="200"/>
      <c r="AR360" s="200"/>
      <c r="AS360" s="200"/>
      <c r="AT360" s="200"/>
      <c r="AU360" s="200"/>
      <c r="AV360" s="200"/>
      <c r="AW360" s="200"/>
      <c r="AX360" s="200"/>
      <c r="AY360" s="200"/>
      <c r="AZ360" s="200"/>
      <c r="BA360" s="200"/>
      <c r="BB360" s="200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</row>
    <row r="361" spans="1:71" ht="13.8">
      <c r="A361" s="1"/>
      <c r="B361" s="1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  <c r="AB361" s="200"/>
      <c r="AC361" s="200"/>
      <c r="AD361" s="200"/>
      <c r="AE361" s="200"/>
      <c r="AF361" s="200"/>
      <c r="AG361" s="200"/>
      <c r="AH361" s="200"/>
      <c r="AI361" s="200"/>
      <c r="AJ361" s="200"/>
      <c r="AK361" s="200"/>
      <c r="AL361" s="200"/>
      <c r="AM361" s="200"/>
      <c r="AN361" s="200"/>
      <c r="AO361" s="200"/>
      <c r="AP361" s="200"/>
      <c r="AQ361" s="200"/>
      <c r="AR361" s="200"/>
      <c r="AS361" s="200"/>
      <c r="AT361" s="200"/>
      <c r="AU361" s="200"/>
      <c r="AV361" s="200"/>
      <c r="AW361" s="200"/>
      <c r="AX361" s="200"/>
      <c r="AY361" s="200"/>
      <c r="AZ361" s="200"/>
      <c r="BA361" s="200"/>
      <c r="BB361" s="200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</row>
    <row r="362" spans="1:71" ht="13.8">
      <c r="A362" s="1"/>
      <c r="B362" s="1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00"/>
      <c r="AG362" s="200"/>
      <c r="AH362" s="200"/>
      <c r="AI362" s="200"/>
      <c r="AJ362" s="200"/>
      <c r="AK362" s="200"/>
      <c r="AL362" s="200"/>
      <c r="AM362" s="200"/>
      <c r="AN362" s="200"/>
      <c r="AO362" s="200"/>
      <c r="AP362" s="200"/>
      <c r="AQ362" s="200"/>
      <c r="AR362" s="200"/>
      <c r="AS362" s="200"/>
      <c r="AT362" s="200"/>
      <c r="AU362" s="200"/>
      <c r="AV362" s="200"/>
      <c r="AW362" s="200"/>
      <c r="AX362" s="200"/>
      <c r="AY362" s="200"/>
      <c r="AZ362" s="200"/>
      <c r="BA362" s="200"/>
      <c r="BB362" s="200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</row>
    <row r="363" spans="1:71" ht="13.8">
      <c r="A363" s="1"/>
      <c r="B363" s="1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  <c r="AB363" s="200"/>
      <c r="AC363" s="200"/>
      <c r="AD363" s="200"/>
      <c r="AE363" s="200"/>
      <c r="AF363" s="200"/>
      <c r="AG363" s="200"/>
      <c r="AH363" s="200"/>
      <c r="AI363" s="200"/>
      <c r="AJ363" s="200"/>
      <c r="AK363" s="200"/>
      <c r="AL363" s="200"/>
      <c r="AM363" s="200"/>
      <c r="AN363" s="200"/>
      <c r="AO363" s="200"/>
      <c r="AP363" s="200"/>
      <c r="AQ363" s="200"/>
      <c r="AR363" s="200"/>
      <c r="AS363" s="200"/>
      <c r="AT363" s="200"/>
      <c r="AU363" s="200"/>
      <c r="AV363" s="200"/>
      <c r="AW363" s="200"/>
      <c r="AX363" s="200"/>
      <c r="AY363" s="200"/>
      <c r="AZ363" s="200"/>
      <c r="BA363" s="200"/>
      <c r="BB363" s="200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</row>
    <row r="364" spans="1:71" ht="13.8">
      <c r="A364" s="1"/>
      <c r="B364" s="1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  <c r="AB364" s="200"/>
      <c r="AC364" s="200"/>
      <c r="AD364" s="200"/>
      <c r="AE364" s="200"/>
      <c r="AF364" s="200"/>
      <c r="AG364" s="200"/>
      <c r="AH364" s="200"/>
      <c r="AI364" s="200"/>
      <c r="AJ364" s="200"/>
      <c r="AK364" s="200"/>
      <c r="AL364" s="200"/>
      <c r="AM364" s="200"/>
      <c r="AN364" s="200"/>
      <c r="AO364" s="200"/>
      <c r="AP364" s="200"/>
      <c r="AQ364" s="200"/>
      <c r="AR364" s="200"/>
      <c r="AS364" s="200"/>
      <c r="AT364" s="200"/>
      <c r="AU364" s="200"/>
      <c r="AV364" s="200"/>
      <c r="AW364" s="200"/>
      <c r="AX364" s="200"/>
      <c r="AY364" s="200"/>
      <c r="AZ364" s="200"/>
      <c r="BA364" s="200"/>
      <c r="BB364" s="200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</row>
    <row r="365" spans="1:71" ht="13.8">
      <c r="A365" s="1"/>
      <c r="B365" s="1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  <c r="AA365" s="200"/>
      <c r="AB365" s="200"/>
      <c r="AC365" s="200"/>
      <c r="AD365" s="200"/>
      <c r="AE365" s="200"/>
      <c r="AF365" s="200"/>
      <c r="AG365" s="200"/>
      <c r="AH365" s="200"/>
      <c r="AI365" s="200"/>
      <c r="AJ365" s="200"/>
      <c r="AK365" s="200"/>
      <c r="AL365" s="200"/>
      <c r="AM365" s="200"/>
      <c r="AN365" s="200"/>
      <c r="AO365" s="200"/>
      <c r="AP365" s="200"/>
      <c r="AQ365" s="200"/>
      <c r="AR365" s="200"/>
      <c r="AS365" s="200"/>
      <c r="AT365" s="200"/>
      <c r="AU365" s="200"/>
      <c r="AV365" s="200"/>
      <c r="AW365" s="200"/>
      <c r="AX365" s="200"/>
      <c r="AY365" s="200"/>
      <c r="AZ365" s="200"/>
      <c r="BA365" s="200"/>
      <c r="BB365" s="200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</row>
    <row r="366" spans="1:71" ht="13.8">
      <c r="A366" s="1"/>
      <c r="B366" s="1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  <c r="AA366" s="200"/>
      <c r="AB366" s="200"/>
      <c r="AC366" s="200"/>
      <c r="AD366" s="200"/>
      <c r="AE366" s="200"/>
      <c r="AF366" s="200"/>
      <c r="AG366" s="200"/>
      <c r="AH366" s="200"/>
      <c r="AI366" s="200"/>
      <c r="AJ366" s="200"/>
      <c r="AK366" s="200"/>
      <c r="AL366" s="200"/>
      <c r="AM366" s="200"/>
      <c r="AN366" s="200"/>
      <c r="AO366" s="200"/>
      <c r="AP366" s="200"/>
      <c r="AQ366" s="200"/>
      <c r="AR366" s="200"/>
      <c r="AS366" s="200"/>
      <c r="AT366" s="200"/>
      <c r="AU366" s="200"/>
      <c r="AV366" s="200"/>
      <c r="AW366" s="200"/>
      <c r="AX366" s="200"/>
      <c r="AY366" s="200"/>
      <c r="AZ366" s="200"/>
      <c r="BA366" s="200"/>
      <c r="BB366" s="200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</row>
    <row r="367" spans="1:71" ht="13.8">
      <c r="A367" s="1"/>
      <c r="B367" s="1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  <c r="AB367" s="200"/>
      <c r="AC367" s="200"/>
      <c r="AD367" s="200"/>
      <c r="AE367" s="200"/>
      <c r="AF367" s="200"/>
      <c r="AG367" s="200"/>
      <c r="AH367" s="200"/>
      <c r="AI367" s="200"/>
      <c r="AJ367" s="200"/>
      <c r="AK367" s="200"/>
      <c r="AL367" s="200"/>
      <c r="AM367" s="200"/>
      <c r="AN367" s="200"/>
      <c r="AO367" s="200"/>
      <c r="AP367" s="200"/>
      <c r="AQ367" s="200"/>
      <c r="AR367" s="200"/>
      <c r="AS367" s="200"/>
      <c r="AT367" s="200"/>
      <c r="AU367" s="200"/>
      <c r="AV367" s="200"/>
      <c r="AW367" s="200"/>
      <c r="AX367" s="200"/>
      <c r="AY367" s="200"/>
      <c r="AZ367" s="200"/>
      <c r="BA367" s="200"/>
      <c r="BB367" s="200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</row>
    <row r="368" spans="1:71" ht="13.8">
      <c r="A368" s="1"/>
      <c r="B368" s="1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  <c r="AB368" s="200"/>
      <c r="AC368" s="200"/>
      <c r="AD368" s="200"/>
      <c r="AE368" s="200"/>
      <c r="AF368" s="200"/>
      <c r="AG368" s="200"/>
      <c r="AH368" s="200"/>
      <c r="AI368" s="200"/>
      <c r="AJ368" s="200"/>
      <c r="AK368" s="200"/>
      <c r="AL368" s="200"/>
      <c r="AM368" s="200"/>
      <c r="AN368" s="200"/>
      <c r="AO368" s="200"/>
      <c r="AP368" s="200"/>
      <c r="AQ368" s="200"/>
      <c r="AR368" s="200"/>
      <c r="AS368" s="200"/>
      <c r="AT368" s="200"/>
      <c r="AU368" s="200"/>
      <c r="AV368" s="200"/>
      <c r="AW368" s="200"/>
      <c r="AX368" s="200"/>
      <c r="AY368" s="200"/>
      <c r="AZ368" s="200"/>
      <c r="BA368" s="200"/>
      <c r="BB368" s="200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</row>
    <row r="369" spans="1:71" ht="13.8">
      <c r="A369" s="1"/>
      <c r="B369" s="1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  <c r="AB369" s="200"/>
      <c r="AC369" s="200"/>
      <c r="AD369" s="200"/>
      <c r="AE369" s="200"/>
      <c r="AF369" s="200"/>
      <c r="AG369" s="200"/>
      <c r="AH369" s="200"/>
      <c r="AI369" s="200"/>
      <c r="AJ369" s="200"/>
      <c r="AK369" s="200"/>
      <c r="AL369" s="200"/>
      <c r="AM369" s="200"/>
      <c r="AN369" s="200"/>
      <c r="AO369" s="200"/>
      <c r="AP369" s="200"/>
      <c r="AQ369" s="200"/>
      <c r="AR369" s="200"/>
      <c r="AS369" s="200"/>
      <c r="AT369" s="200"/>
      <c r="AU369" s="200"/>
      <c r="AV369" s="200"/>
      <c r="AW369" s="200"/>
      <c r="AX369" s="200"/>
      <c r="AY369" s="200"/>
      <c r="AZ369" s="200"/>
      <c r="BA369" s="200"/>
      <c r="BB369" s="200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</row>
    <row r="370" spans="1:71" ht="13.8">
      <c r="A370" s="1"/>
      <c r="B370" s="1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  <c r="AB370" s="200"/>
      <c r="AC370" s="200"/>
      <c r="AD370" s="200"/>
      <c r="AE370" s="200"/>
      <c r="AF370" s="200"/>
      <c r="AG370" s="200"/>
      <c r="AH370" s="200"/>
      <c r="AI370" s="200"/>
      <c r="AJ370" s="200"/>
      <c r="AK370" s="200"/>
      <c r="AL370" s="200"/>
      <c r="AM370" s="200"/>
      <c r="AN370" s="200"/>
      <c r="AO370" s="200"/>
      <c r="AP370" s="200"/>
      <c r="AQ370" s="200"/>
      <c r="AR370" s="200"/>
      <c r="AS370" s="200"/>
      <c r="AT370" s="200"/>
      <c r="AU370" s="200"/>
      <c r="AV370" s="200"/>
      <c r="AW370" s="200"/>
      <c r="AX370" s="200"/>
      <c r="AY370" s="200"/>
      <c r="AZ370" s="200"/>
      <c r="BA370" s="200"/>
      <c r="BB370" s="200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</row>
    <row r="371" spans="1:71" ht="13.8">
      <c r="A371" s="1"/>
      <c r="B371" s="1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  <c r="AB371" s="200"/>
      <c r="AC371" s="200"/>
      <c r="AD371" s="200"/>
      <c r="AE371" s="200"/>
      <c r="AF371" s="200"/>
      <c r="AG371" s="200"/>
      <c r="AH371" s="200"/>
      <c r="AI371" s="200"/>
      <c r="AJ371" s="200"/>
      <c r="AK371" s="200"/>
      <c r="AL371" s="200"/>
      <c r="AM371" s="200"/>
      <c r="AN371" s="200"/>
      <c r="AO371" s="200"/>
      <c r="AP371" s="200"/>
      <c r="AQ371" s="200"/>
      <c r="AR371" s="200"/>
      <c r="AS371" s="200"/>
      <c r="AT371" s="200"/>
      <c r="AU371" s="200"/>
      <c r="AV371" s="200"/>
      <c r="AW371" s="200"/>
      <c r="AX371" s="200"/>
      <c r="AY371" s="200"/>
      <c r="AZ371" s="200"/>
      <c r="BA371" s="200"/>
      <c r="BB371" s="200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</row>
    <row r="372" spans="1:71" ht="13.8">
      <c r="A372" s="1"/>
      <c r="B372" s="1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  <c r="AB372" s="200"/>
      <c r="AC372" s="200"/>
      <c r="AD372" s="200"/>
      <c r="AE372" s="200"/>
      <c r="AF372" s="200"/>
      <c r="AG372" s="200"/>
      <c r="AH372" s="200"/>
      <c r="AI372" s="200"/>
      <c r="AJ372" s="200"/>
      <c r="AK372" s="200"/>
      <c r="AL372" s="200"/>
      <c r="AM372" s="200"/>
      <c r="AN372" s="200"/>
      <c r="AO372" s="200"/>
      <c r="AP372" s="200"/>
      <c r="AQ372" s="200"/>
      <c r="AR372" s="200"/>
      <c r="AS372" s="200"/>
      <c r="AT372" s="200"/>
      <c r="AU372" s="200"/>
      <c r="AV372" s="200"/>
      <c r="AW372" s="200"/>
      <c r="AX372" s="200"/>
      <c r="AY372" s="200"/>
      <c r="AZ372" s="200"/>
      <c r="BA372" s="200"/>
      <c r="BB372" s="200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</row>
    <row r="373" spans="1:71" ht="13.8">
      <c r="A373" s="1"/>
      <c r="B373" s="1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  <c r="AB373" s="200"/>
      <c r="AC373" s="200"/>
      <c r="AD373" s="200"/>
      <c r="AE373" s="200"/>
      <c r="AF373" s="200"/>
      <c r="AG373" s="200"/>
      <c r="AH373" s="200"/>
      <c r="AI373" s="200"/>
      <c r="AJ373" s="200"/>
      <c r="AK373" s="200"/>
      <c r="AL373" s="200"/>
      <c r="AM373" s="200"/>
      <c r="AN373" s="200"/>
      <c r="AO373" s="200"/>
      <c r="AP373" s="200"/>
      <c r="AQ373" s="200"/>
      <c r="AR373" s="200"/>
      <c r="AS373" s="200"/>
      <c r="AT373" s="200"/>
      <c r="AU373" s="200"/>
      <c r="AV373" s="200"/>
      <c r="AW373" s="200"/>
      <c r="AX373" s="200"/>
      <c r="AY373" s="200"/>
      <c r="AZ373" s="200"/>
      <c r="BA373" s="200"/>
      <c r="BB373" s="200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</row>
    <row r="374" spans="1:71" ht="13.8">
      <c r="A374" s="1"/>
      <c r="B374" s="1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  <c r="AB374" s="200"/>
      <c r="AC374" s="200"/>
      <c r="AD374" s="200"/>
      <c r="AE374" s="200"/>
      <c r="AF374" s="200"/>
      <c r="AG374" s="200"/>
      <c r="AH374" s="200"/>
      <c r="AI374" s="200"/>
      <c r="AJ374" s="200"/>
      <c r="AK374" s="200"/>
      <c r="AL374" s="200"/>
      <c r="AM374" s="200"/>
      <c r="AN374" s="200"/>
      <c r="AO374" s="200"/>
      <c r="AP374" s="200"/>
      <c r="AQ374" s="200"/>
      <c r="AR374" s="200"/>
      <c r="AS374" s="200"/>
      <c r="AT374" s="200"/>
      <c r="AU374" s="200"/>
      <c r="AV374" s="200"/>
      <c r="AW374" s="200"/>
      <c r="AX374" s="200"/>
      <c r="AY374" s="200"/>
      <c r="AZ374" s="200"/>
      <c r="BA374" s="200"/>
      <c r="BB374" s="200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</row>
    <row r="375" spans="1:71" ht="13.8">
      <c r="A375" s="1"/>
      <c r="B375" s="1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  <c r="AB375" s="200"/>
      <c r="AC375" s="200"/>
      <c r="AD375" s="200"/>
      <c r="AE375" s="200"/>
      <c r="AF375" s="200"/>
      <c r="AG375" s="200"/>
      <c r="AH375" s="200"/>
      <c r="AI375" s="200"/>
      <c r="AJ375" s="200"/>
      <c r="AK375" s="200"/>
      <c r="AL375" s="200"/>
      <c r="AM375" s="200"/>
      <c r="AN375" s="200"/>
      <c r="AO375" s="200"/>
      <c r="AP375" s="200"/>
      <c r="AQ375" s="200"/>
      <c r="AR375" s="200"/>
      <c r="AS375" s="200"/>
      <c r="AT375" s="200"/>
      <c r="AU375" s="200"/>
      <c r="AV375" s="200"/>
      <c r="AW375" s="200"/>
      <c r="AX375" s="200"/>
      <c r="AY375" s="200"/>
      <c r="AZ375" s="200"/>
      <c r="BA375" s="200"/>
      <c r="BB375" s="200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</row>
    <row r="376" spans="1:71" ht="13.8">
      <c r="A376" s="1"/>
      <c r="B376" s="1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  <c r="AB376" s="200"/>
      <c r="AC376" s="200"/>
      <c r="AD376" s="200"/>
      <c r="AE376" s="200"/>
      <c r="AF376" s="200"/>
      <c r="AG376" s="200"/>
      <c r="AH376" s="200"/>
      <c r="AI376" s="200"/>
      <c r="AJ376" s="200"/>
      <c r="AK376" s="200"/>
      <c r="AL376" s="200"/>
      <c r="AM376" s="200"/>
      <c r="AN376" s="200"/>
      <c r="AO376" s="200"/>
      <c r="AP376" s="200"/>
      <c r="AQ376" s="200"/>
      <c r="AR376" s="200"/>
      <c r="AS376" s="200"/>
      <c r="AT376" s="200"/>
      <c r="AU376" s="200"/>
      <c r="AV376" s="200"/>
      <c r="AW376" s="200"/>
      <c r="AX376" s="200"/>
      <c r="AY376" s="200"/>
      <c r="AZ376" s="200"/>
      <c r="BA376" s="200"/>
      <c r="BB376" s="200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</row>
    <row r="377" spans="1:71" ht="13.8">
      <c r="A377" s="1"/>
      <c r="B377" s="1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  <c r="AB377" s="200"/>
      <c r="AC377" s="200"/>
      <c r="AD377" s="200"/>
      <c r="AE377" s="200"/>
      <c r="AF377" s="200"/>
      <c r="AG377" s="200"/>
      <c r="AH377" s="200"/>
      <c r="AI377" s="200"/>
      <c r="AJ377" s="200"/>
      <c r="AK377" s="200"/>
      <c r="AL377" s="200"/>
      <c r="AM377" s="200"/>
      <c r="AN377" s="200"/>
      <c r="AO377" s="200"/>
      <c r="AP377" s="200"/>
      <c r="AQ377" s="200"/>
      <c r="AR377" s="200"/>
      <c r="AS377" s="200"/>
      <c r="AT377" s="200"/>
      <c r="AU377" s="200"/>
      <c r="AV377" s="200"/>
      <c r="AW377" s="200"/>
      <c r="AX377" s="200"/>
      <c r="AY377" s="200"/>
      <c r="AZ377" s="200"/>
      <c r="BA377" s="200"/>
      <c r="BB377" s="200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</row>
    <row r="378" spans="1:71" ht="13.8">
      <c r="A378" s="1"/>
      <c r="B378" s="1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  <c r="AB378" s="200"/>
      <c r="AC378" s="200"/>
      <c r="AD378" s="200"/>
      <c r="AE378" s="200"/>
      <c r="AF378" s="200"/>
      <c r="AG378" s="200"/>
      <c r="AH378" s="200"/>
      <c r="AI378" s="200"/>
      <c r="AJ378" s="200"/>
      <c r="AK378" s="200"/>
      <c r="AL378" s="200"/>
      <c r="AM378" s="200"/>
      <c r="AN378" s="200"/>
      <c r="AO378" s="200"/>
      <c r="AP378" s="200"/>
      <c r="AQ378" s="200"/>
      <c r="AR378" s="200"/>
      <c r="AS378" s="200"/>
      <c r="AT378" s="200"/>
      <c r="AU378" s="200"/>
      <c r="AV378" s="200"/>
      <c r="AW378" s="200"/>
      <c r="AX378" s="200"/>
      <c r="AY378" s="200"/>
      <c r="AZ378" s="200"/>
      <c r="BA378" s="200"/>
      <c r="BB378" s="200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</row>
    <row r="379" spans="1:71" ht="13.8">
      <c r="A379" s="1"/>
      <c r="B379" s="1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  <c r="AB379" s="200"/>
      <c r="AC379" s="200"/>
      <c r="AD379" s="200"/>
      <c r="AE379" s="200"/>
      <c r="AF379" s="200"/>
      <c r="AG379" s="200"/>
      <c r="AH379" s="200"/>
      <c r="AI379" s="200"/>
      <c r="AJ379" s="200"/>
      <c r="AK379" s="200"/>
      <c r="AL379" s="200"/>
      <c r="AM379" s="200"/>
      <c r="AN379" s="200"/>
      <c r="AO379" s="200"/>
      <c r="AP379" s="200"/>
      <c r="AQ379" s="200"/>
      <c r="AR379" s="200"/>
      <c r="AS379" s="200"/>
      <c r="AT379" s="200"/>
      <c r="AU379" s="200"/>
      <c r="AV379" s="200"/>
      <c r="AW379" s="200"/>
      <c r="AX379" s="200"/>
      <c r="AY379" s="200"/>
      <c r="AZ379" s="200"/>
      <c r="BA379" s="200"/>
      <c r="BB379" s="200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</row>
    <row r="380" spans="1:71" ht="13.8">
      <c r="A380" s="1"/>
      <c r="B380" s="1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  <c r="AB380" s="200"/>
      <c r="AC380" s="200"/>
      <c r="AD380" s="200"/>
      <c r="AE380" s="200"/>
      <c r="AF380" s="200"/>
      <c r="AG380" s="200"/>
      <c r="AH380" s="200"/>
      <c r="AI380" s="200"/>
      <c r="AJ380" s="200"/>
      <c r="AK380" s="200"/>
      <c r="AL380" s="200"/>
      <c r="AM380" s="200"/>
      <c r="AN380" s="200"/>
      <c r="AO380" s="200"/>
      <c r="AP380" s="200"/>
      <c r="AQ380" s="200"/>
      <c r="AR380" s="200"/>
      <c r="AS380" s="200"/>
      <c r="AT380" s="200"/>
      <c r="AU380" s="200"/>
      <c r="AV380" s="200"/>
      <c r="AW380" s="200"/>
      <c r="AX380" s="200"/>
      <c r="AY380" s="200"/>
      <c r="AZ380" s="200"/>
      <c r="BA380" s="200"/>
      <c r="BB380" s="200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</row>
    <row r="381" spans="1:71" ht="13.8">
      <c r="A381" s="1"/>
      <c r="B381" s="1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  <c r="AH381" s="200"/>
      <c r="AI381" s="200"/>
      <c r="AJ381" s="200"/>
      <c r="AK381" s="200"/>
      <c r="AL381" s="200"/>
      <c r="AM381" s="200"/>
      <c r="AN381" s="200"/>
      <c r="AO381" s="200"/>
      <c r="AP381" s="200"/>
      <c r="AQ381" s="200"/>
      <c r="AR381" s="200"/>
      <c r="AS381" s="200"/>
      <c r="AT381" s="200"/>
      <c r="AU381" s="200"/>
      <c r="AV381" s="200"/>
      <c r="AW381" s="200"/>
      <c r="AX381" s="200"/>
      <c r="AY381" s="200"/>
      <c r="AZ381" s="200"/>
      <c r="BA381" s="200"/>
      <c r="BB381" s="200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</row>
    <row r="382" spans="1:71" ht="13.8">
      <c r="A382" s="1"/>
      <c r="B382" s="1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  <c r="AB382" s="200"/>
      <c r="AC382" s="200"/>
      <c r="AD382" s="200"/>
      <c r="AE382" s="200"/>
      <c r="AF382" s="200"/>
      <c r="AG382" s="200"/>
      <c r="AH382" s="200"/>
      <c r="AI382" s="200"/>
      <c r="AJ382" s="200"/>
      <c r="AK382" s="200"/>
      <c r="AL382" s="200"/>
      <c r="AM382" s="200"/>
      <c r="AN382" s="200"/>
      <c r="AO382" s="200"/>
      <c r="AP382" s="200"/>
      <c r="AQ382" s="200"/>
      <c r="AR382" s="200"/>
      <c r="AS382" s="200"/>
      <c r="AT382" s="200"/>
      <c r="AU382" s="200"/>
      <c r="AV382" s="200"/>
      <c r="AW382" s="200"/>
      <c r="AX382" s="200"/>
      <c r="AY382" s="200"/>
      <c r="AZ382" s="200"/>
      <c r="BA382" s="200"/>
      <c r="BB382" s="200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</row>
    <row r="383" spans="1:71" ht="13.8">
      <c r="A383" s="1"/>
      <c r="B383" s="1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  <c r="AB383" s="200"/>
      <c r="AC383" s="200"/>
      <c r="AD383" s="200"/>
      <c r="AE383" s="200"/>
      <c r="AF383" s="200"/>
      <c r="AG383" s="200"/>
      <c r="AH383" s="200"/>
      <c r="AI383" s="200"/>
      <c r="AJ383" s="200"/>
      <c r="AK383" s="200"/>
      <c r="AL383" s="200"/>
      <c r="AM383" s="200"/>
      <c r="AN383" s="200"/>
      <c r="AO383" s="200"/>
      <c r="AP383" s="200"/>
      <c r="AQ383" s="200"/>
      <c r="AR383" s="200"/>
      <c r="AS383" s="200"/>
      <c r="AT383" s="200"/>
      <c r="AU383" s="200"/>
      <c r="AV383" s="200"/>
      <c r="AW383" s="200"/>
      <c r="AX383" s="200"/>
      <c r="AY383" s="200"/>
      <c r="AZ383" s="200"/>
      <c r="BA383" s="200"/>
      <c r="BB383" s="200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</row>
    <row r="384" spans="1:71" ht="13.8">
      <c r="A384" s="1"/>
      <c r="B384" s="1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  <c r="AB384" s="200"/>
      <c r="AC384" s="200"/>
      <c r="AD384" s="200"/>
      <c r="AE384" s="200"/>
      <c r="AF384" s="200"/>
      <c r="AG384" s="200"/>
      <c r="AH384" s="200"/>
      <c r="AI384" s="200"/>
      <c r="AJ384" s="200"/>
      <c r="AK384" s="200"/>
      <c r="AL384" s="200"/>
      <c r="AM384" s="200"/>
      <c r="AN384" s="200"/>
      <c r="AO384" s="200"/>
      <c r="AP384" s="200"/>
      <c r="AQ384" s="200"/>
      <c r="AR384" s="200"/>
      <c r="AS384" s="200"/>
      <c r="AT384" s="200"/>
      <c r="AU384" s="200"/>
      <c r="AV384" s="200"/>
      <c r="AW384" s="200"/>
      <c r="AX384" s="200"/>
      <c r="AY384" s="200"/>
      <c r="AZ384" s="200"/>
      <c r="BA384" s="200"/>
      <c r="BB384" s="200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</row>
    <row r="385" spans="1:71" ht="13.8">
      <c r="A385" s="1"/>
      <c r="B385" s="1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0"/>
      <c r="AK385" s="200"/>
      <c r="AL385" s="200"/>
      <c r="AM385" s="200"/>
      <c r="AN385" s="200"/>
      <c r="AO385" s="200"/>
      <c r="AP385" s="200"/>
      <c r="AQ385" s="200"/>
      <c r="AR385" s="200"/>
      <c r="AS385" s="200"/>
      <c r="AT385" s="200"/>
      <c r="AU385" s="200"/>
      <c r="AV385" s="200"/>
      <c r="AW385" s="200"/>
      <c r="AX385" s="200"/>
      <c r="AY385" s="200"/>
      <c r="AZ385" s="200"/>
      <c r="BA385" s="200"/>
      <c r="BB385" s="200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</row>
    <row r="386" spans="1:71" ht="13.8">
      <c r="A386" s="1"/>
      <c r="B386" s="1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  <c r="AB386" s="200"/>
      <c r="AC386" s="200"/>
      <c r="AD386" s="200"/>
      <c r="AE386" s="200"/>
      <c r="AF386" s="200"/>
      <c r="AG386" s="200"/>
      <c r="AH386" s="200"/>
      <c r="AI386" s="200"/>
      <c r="AJ386" s="200"/>
      <c r="AK386" s="200"/>
      <c r="AL386" s="200"/>
      <c r="AM386" s="200"/>
      <c r="AN386" s="200"/>
      <c r="AO386" s="200"/>
      <c r="AP386" s="200"/>
      <c r="AQ386" s="200"/>
      <c r="AR386" s="200"/>
      <c r="AS386" s="200"/>
      <c r="AT386" s="200"/>
      <c r="AU386" s="200"/>
      <c r="AV386" s="200"/>
      <c r="AW386" s="200"/>
      <c r="AX386" s="200"/>
      <c r="AY386" s="200"/>
      <c r="AZ386" s="200"/>
      <c r="BA386" s="200"/>
      <c r="BB386" s="200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</row>
    <row r="387" spans="1:71" ht="13.8">
      <c r="A387" s="1"/>
      <c r="B387" s="1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  <c r="AB387" s="200"/>
      <c r="AC387" s="200"/>
      <c r="AD387" s="200"/>
      <c r="AE387" s="200"/>
      <c r="AF387" s="200"/>
      <c r="AG387" s="200"/>
      <c r="AH387" s="200"/>
      <c r="AI387" s="200"/>
      <c r="AJ387" s="200"/>
      <c r="AK387" s="200"/>
      <c r="AL387" s="200"/>
      <c r="AM387" s="200"/>
      <c r="AN387" s="200"/>
      <c r="AO387" s="200"/>
      <c r="AP387" s="200"/>
      <c r="AQ387" s="200"/>
      <c r="AR387" s="200"/>
      <c r="AS387" s="200"/>
      <c r="AT387" s="200"/>
      <c r="AU387" s="200"/>
      <c r="AV387" s="200"/>
      <c r="AW387" s="200"/>
      <c r="AX387" s="200"/>
      <c r="AY387" s="200"/>
      <c r="AZ387" s="200"/>
      <c r="BA387" s="200"/>
      <c r="BB387" s="200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</row>
    <row r="388" spans="1:71" ht="13.8">
      <c r="A388" s="1"/>
      <c r="B388" s="1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00"/>
      <c r="AH388" s="200"/>
      <c r="AI388" s="200"/>
      <c r="AJ388" s="200"/>
      <c r="AK388" s="200"/>
      <c r="AL388" s="200"/>
      <c r="AM388" s="200"/>
      <c r="AN388" s="200"/>
      <c r="AO388" s="200"/>
      <c r="AP388" s="200"/>
      <c r="AQ388" s="200"/>
      <c r="AR388" s="200"/>
      <c r="AS388" s="200"/>
      <c r="AT388" s="200"/>
      <c r="AU388" s="200"/>
      <c r="AV388" s="200"/>
      <c r="AW388" s="200"/>
      <c r="AX388" s="200"/>
      <c r="AY388" s="200"/>
      <c r="AZ388" s="200"/>
      <c r="BA388" s="200"/>
      <c r="BB388" s="200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</row>
    <row r="389" spans="1:71" ht="13.8">
      <c r="A389" s="1"/>
      <c r="B389" s="1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  <c r="AB389" s="200"/>
      <c r="AC389" s="200"/>
      <c r="AD389" s="200"/>
      <c r="AE389" s="200"/>
      <c r="AF389" s="200"/>
      <c r="AG389" s="200"/>
      <c r="AH389" s="200"/>
      <c r="AI389" s="200"/>
      <c r="AJ389" s="200"/>
      <c r="AK389" s="200"/>
      <c r="AL389" s="200"/>
      <c r="AM389" s="200"/>
      <c r="AN389" s="200"/>
      <c r="AO389" s="200"/>
      <c r="AP389" s="200"/>
      <c r="AQ389" s="200"/>
      <c r="AR389" s="200"/>
      <c r="AS389" s="200"/>
      <c r="AT389" s="200"/>
      <c r="AU389" s="200"/>
      <c r="AV389" s="200"/>
      <c r="AW389" s="200"/>
      <c r="AX389" s="200"/>
      <c r="AY389" s="200"/>
      <c r="AZ389" s="200"/>
      <c r="BA389" s="200"/>
      <c r="BB389" s="200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</row>
    <row r="390" spans="1:71" ht="13.8">
      <c r="A390" s="1"/>
      <c r="B390" s="1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  <c r="AB390" s="200"/>
      <c r="AC390" s="200"/>
      <c r="AD390" s="200"/>
      <c r="AE390" s="200"/>
      <c r="AF390" s="200"/>
      <c r="AG390" s="200"/>
      <c r="AH390" s="200"/>
      <c r="AI390" s="200"/>
      <c r="AJ390" s="200"/>
      <c r="AK390" s="200"/>
      <c r="AL390" s="200"/>
      <c r="AM390" s="200"/>
      <c r="AN390" s="200"/>
      <c r="AO390" s="200"/>
      <c r="AP390" s="200"/>
      <c r="AQ390" s="200"/>
      <c r="AR390" s="200"/>
      <c r="AS390" s="200"/>
      <c r="AT390" s="200"/>
      <c r="AU390" s="200"/>
      <c r="AV390" s="200"/>
      <c r="AW390" s="200"/>
      <c r="AX390" s="200"/>
      <c r="AY390" s="200"/>
      <c r="AZ390" s="200"/>
      <c r="BA390" s="200"/>
      <c r="BB390" s="200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</row>
    <row r="391" spans="1:71" ht="13.8">
      <c r="A391" s="1"/>
      <c r="B391" s="1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  <c r="AB391" s="200"/>
      <c r="AC391" s="200"/>
      <c r="AD391" s="200"/>
      <c r="AE391" s="200"/>
      <c r="AF391" s="200"/>
      <c r="AG391" s="200"/>
      <c r="AH391" s="200"/>
      <c r="AI391" s="200"/>
      <c r="AJ391" s="200"/>
      <c r="AK391" s="200"/>
      <c r="AL391" s="200"/>
      <c r="AM391" s="200"/>
      <c r="AN391" s="200"/>
      <c r="AO391" s="200"/>
      <c r="AP391" s="200"/>
      <c r="AQ391" s="200"/>
      <c r="AR391" s="200"/>
      <c r="AS391" s="200"/>
      <c r="AT391" s="200"/>
      <c r="AU391" s="200"/>
      <c r="AV391" s="200"/>
      <c r="AW391" s="200"/>
      <c r="AX391" s="200"/>
      <c r="AY391" s="200"/>
      <c r="AZ391" s="200"/>
      <c r="BA391" s="200"/>
      <c r="BB391" s="200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</row>
    <row r="392" spans="1:71" ht="13.8">
      <c r="A392" s="1"/>
      <c r="B392" s="1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  <c r="AB392" s="200"/>
      <c r="AC392" s="200"/>
      <c r="AD392" s="200"/>
      <c r="AE392" s="200"/>
      <c r="AF392" s="200"/>
      <c r="AG392" s="200"/>
      <c r="AH392" s="200"/>
      <c r="AI392" s="200"/>
      <c r="AJ392" s="200"/>
      <c r="AK392" s="200"/>
      <c r="AL392" s="200"/>
      <c r="AM392" s="200"/>
      <c r="AN392" s="200"/>
      <c r="AO392" s="200"/>
      <c r="AP392" s="200"/>
      <c r="AQ392" s="200"/>
      <c r="AR392" s="200"/>
      <c r="AS392" s="200"/>
      <c r="AT392" s="200"/>
      <c r="AU392" s="200"/>
      <c r="AV392" s="200"/>
      <c r="AW392" s="200"/>
      <c r="AX392" s="200"/>
      <c r="AY392" s="200"/>
      <c r="AZ392" s="200"/>
      <c r="BA392" s="200"/>
      <c r="BB392" s="200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</row>
    <row r="393" spans="1:71" ht="13.8">
      <c r="A393" s="1"/>
      <c r="B393" s="1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0"/>
      <c r="AK393" s="200"/>
      <c r="AL393" s="200"/>
      <c r="AM393" s="200"/>
      <c r="AN393" s="200"/>
      <c r="AO393" s="200"/>
      <c r="AP393" s="200"/>
      <c r="AQ393" s="200"/>
      <c r="AR393" s="200"/>
      <c r="AS393" s="200"/>
      <c r="AT393" s="200"/>
      <c r="AU393" s="200"/>
      <c r="AV393" s="200"/>
      <c r="AW393" s="200"/>
      <c r="AX393" s="200"/>
      <c r="AY393" s="200"/>
      <c r="AZ393" s="200"/>
      <c r="BA393" s="200"/>
      <c r="BB393" s="200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</row>
    <row r="394" spans="1:71" ht="13.8">
      <c r="A394" s="1"/>
      <c r="B394" s="1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  <c r="AB394" s="200"/>
      <c r="AC394" s="200"/>
      <c r="AD394" s="200"/>
      <c r="AE394" s="200"/>
      <c r="AF394" s="200"/>
      <c r="AG394" s="200"/>
      <c r="AH394" s="200"/>
      <c r="AI394" s="200"/>
      <c r="AJ394" s="200"/>
      <c r="AK394" s="200"/>
      <c r="AL394" s="200"/>
      <c r="AM394" s="200"/>
      <c r="AN394" s="200"/>
      <c r="AO394" s="200"/>
      <c r="AP394" s="200"/>
      <c r="AQ394" s="200"/>
      <c r="AR394" s="200"/>
      <c r="AS394" s="200"/>
      <c r="AT394" s="200"/>
      <c r="AU394" s="200"/>
      <c r="AV394" s="200"/>
      <c r="AW394" s="200"/>
      <c r="AX394" s="200"/>
      <c r="AY394" s="200"/>
      <c r="AZ394" s="200"/>
      <c r="BA394" s="200"/>
      <c r="BB394" s="200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</row>
    <row r="395" spans="1:71" ht="13.8">
      <c r="A395" s="1"/>
      <c r="B395" s="1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  <c r="AH395" s="200"/>
      <c r="AI395" s="200"/>
      <c r="AJ395" s="200"/>
      <c r="AK395" s="200"/>
      <c r="AL395" s="200"/>
      <c r="AM395" s="200"/>
      <c r="AN395" s="200"/>
      <c r="AO395" s="200"/>
      <c r="AP395" s="200"/>
      <c r="AQ395" s="200"/>
      <c r="AR395" s="200"/>
      <c r="AS395" s="200"/>
      <c r="AT395" s="200"/>
      <c r="AU395" s="200"/>
      <c r="AV395" s="200"/>
      <c r="AW395" s="200"/>
      <c r="AX395" s="200"/>
      <c r="AY395" s="200"/>
      <c r="AZ395" s="200"/>
      <c r="BA395" s="200"/>
      <c r="BB395" s="200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</row>
    <row r="396" spans="1:71" ht="13.8">
      <c r="A396" s="1"/>
      <c r="B396" s="1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  <c r="AB396" s="200"/>
      <c r="AC396" s="200"/>
      <c r="AD396" s="200"/>
      <c r="AE396" s="200"/>
      <c r="AF396" s="200"/>
      <c r="AG396" s="200"/>
      <c r="AH396" s="200"/>
      <c r="AI396" s="200"/>
      <c r="AJ396" s="200"/>
      <c r="AK396" s="200"/>
      <c r="AL396" s="200"/>
      <c r="AM396" s="200"/>
      <c r="AN396" s="200"/>
      <c r="AO396" s="200"/>
      <c r="AP396" s="200"/>
      <c r="AQ396" s="200"/>
      <c r="AR396" s="200"/>
      <c r="AS396" s="200"/>
      <c r="AT396" s="200"/>
      <c r="AU396" s="200"/>
      <c r="AV396" s="200"/>
      <c r="AW396" s="200"/>
      <c r="AX396" s="200"/>
      <c r="AY396" s="200"/>
      <c r="AZ396" s="200"/>
      <c r="BA396" s="200"/>
      <c r="BB396" s="200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</row>
    <row r="397" spans="1:71" ht="13.8">
      <c r="A397" s="1"/>
      <c r="B397" s="1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  <c r="AB397" s="200"/>
      <c r="AC397" s="200"/>
      <c r="AD397" s="200"/>
      <c r="AE397" s="200"/>
      <c r="AF397" s="200"/>
      <c r="AG397" s="200"/>
      <c r="AH397" s="200"/>
      <c r="AI397" s="200"/>
      <c r="AJ397" s="200"/>
      <c r="AK397" s="200"/>
      <c r="AL397" s="200"/>
      <c r="AM397" s="200"/>
      <c r="AN397" s="200"/>
      <c r="AO397" s="200"/>
      <c r="AP397" s="200"/>
      <c r="AQ397" s="200"/>
      <c r="AR397" s="200"/>
      <c r="AS397" s="200"/>
      <c r="AT397" s="200"/>
      <c r="AU397" s="200"/>
      <c r="AV397" s="200"/>
      <c r="AW397" s="200"/>
      <c r="AX397" s="200"/>
      <c r="AY397" s="200"/>
      <c r="AZ397" s="200"/>
      <c r="BA397" s="200"/>
      <c r="BB397" s="200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</row>
    <row r="398" spans="1:71" ht="13.8">
      <c r="A398" s="1"/>
      <c r="B398" s="1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  <c r="AB398" s="200"/>
      <c r="AC398" s="200"/>
      <c r="AD398" s="200"/>
      <c r="AE398" s="200"/>
      <c r="AF398" s="200"/>
      <c r="AG398" s="200"/>
      <c r="AH398" s="200"/>
      <c r="AI398" s="200"/>
      <c r="AJ398" s="200"/>
      <c r="AK398" s="200"/>
      <c r="AL398" s="200"/>
      <c r="AM398" s="200"/>
      <c r="AN398" s="200"/>
      <c r="AO398" s="200"/>
      <c r="AP398" s="200"/>
      <c r="AQ398" s="200"/>
      <c r="AR398" s="200"/>
      <c r="AS398" s="200"/>
      <c r="AT398" s="200"/>
      <c r="AU398" s="200"/>
      <c r="AV398" s="200"/>
      <c r="AW398" s="200"/>
      <c r="AX398" s="200"/>
      <c r="AY398" s="200"/>
      <c r="AZ398" s="200"/>
      <c r="BA398" s="200"/>
      <c r="BB398" s="200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</row>
    <row r="399" spans="1:71" ht="13.8">
      <c r="A399" s="1"/>
      <c r="B399" s="1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  <c r="AB399" s="200"/>
      <c r="AC399" s="200"/>
      <c r="AD399" s="200"/>
      <c r="AE399" s="200"/>
      <c r="AF399" s="200"/>
      <c r="AG399" s="200"/>
      <c r="AH399" s="200"/>
      <c r="AI399" s="200"/>
      <c r="AJ399" s="200"/>
      <c r="AK399" s="200"/>
      <c r="AL399" s="200"/>
      <c r="AM399" s="200"/>
      <c r="AN399" s="200"/>
      <c r="AO399" s="200"/>
      <c r="AP399" s="200"/>
      <c r="AQ399" s="200"/>
      <c r="AR399" s="200"/>
      <c r="AS399" s="200"/>
      <c r="AT399" s="200"/>
      <c r="AU399" s="200"/>
      <c r="AV399" s="200"/>
      <c r="AW399" s="200"/>
      <c r="AX399" s="200"/>
      <c r="AY399" s="200"/>
      <c r="AZ399" s="200"/>
      <c r="BA399" s="200"/>
      <c r="BB399" s="200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</row>
    <row r="400" spans="1:71" ht="13.8">
      <c r="A400" s="1"/>
      <c r="B400" s="1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  <c r="AB400" s="200"/>
      <c r="AC400" s="200"/>
      <c r="AD400" s="200"/>
      <c r="AE400" s="200"/>
      <c r="AF400" s="200"/>
      <c r="AG400" s="200"/>
      <c r="AH400" s="200"/>
      <c r="AI400" s="200"/>
      <c r="AJ400" s="200"/>
      <c r="AK400" s="200"/>
      <c r="AL400" s="200"/>
      <c r="AM400" s="200"/>
      <c r="AN400" s="200"/>
      <c r="AO400" s="200"/>
      <c r="AP400" s="200"/>
      <c r="AQ400" s="200"/>
      <c r="AR400" s="200"/>
      <c r="AS400" s="200"/>
      <c r="AT400" s="200"/>
      <c r="AU400" s="200"/>
      <c r="AV400" s="200"/>
      <c r="AW400" s="200"/>
      <c r="AX400" s="200"/>
      <c r="AY400" s="200"/>
      <c r="AZ400" s="200"/>
      <c r="BA400" s="200"/>
      <c r="BB400" s="200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</row>
    <row r="401" spans="1:71" ht="13.8">
      <c r="A401" s="1"/>
      <c r="B401" s="1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  <c r="AB401" s="200"/>
      <c r="AC401" s="200"/>
      <c r="AD401" s="200"/>
      <c r="AE401" s="200"/>
      <c r="AF401" s="200"/>
      <c r="AG401" s="200"/>
      <c r="AH401" s="200"/>
      <c r="AI401" s="200"/>
      <c r="AJ401" s="200"/>
      <c r="AK401" s="200"/>
      <c r="AL401" s="200"/>
      <c r="AM401" s="200"/>
      <c r="AN401" s="200"/>
      <c r="AO401" s="200"/>
      <c r="AP401" s="200"/>
      <c r="AQ401" s="200"/>
      <c r="AR401" s="200"/>
      <c r="AS401" s="200"/>
      <c r="AT401" s="200"/>
      <c r="AU401" s="200"/>
      <c r="AV401" s="200"/>
      <c r="AW401" s="200"/>
      <c r="AX401" s="200"/>
      <c r="AY401" s="200"/>
      <c r="AZ401" s="200"/>
      <c r="BA401" s="200"/>
      <c r="BB401" s="200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</row>
    <row r="402" spans="1:71" ht="13.8">
      <c r="A402" s="1"/>
      <c r="B402" s="1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200"/>
      <c r="AG402" s="200"/>
      <c r="AH402" s="200"/>
      <c r="AI402" s="200"/>
      <c r="AJ402" s="200"/>
      <c r="AK402" s="200"/>
      <c r="AL402" s="200"/>
      <c r="AM402" s="200"/>
      <c r="AN402" s="200"/>
      <c r="AO402" s="200"/>
      <c r="AP402" s="200"/>
      <c r="AQ402" s="200"/>
      <c r="AR402" s="200"/>
      <c r="AS402" s="200"/>
      <c r="AT402" s="200"/>
      <c r="AU402" s="200"/>
      <c r="AV402" s="200"/>
      <c r="AW402" s="200"/>
      <c r="AX402" s="200"/>
      <c r="AY402" s="200"/>
      <c r="AZ402" s="200"/>
      <c r="BA402" s="200"/>
      <c r="BB402" s="200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</row>
    <row r="403" spans="1:71" ht="13.8">
      <c r="A403" s="1"/>
      <c r="B403" s="1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  <c r="AB403" s="200"/>
      <c r="AC403" s="200"/>
      <c r="AD403" s="200"/>
      <c r="AE403" s="200"/>
      <c r="AF403" s="200"/>
      <c r="AG403" s="200"/>
      <c r="AH403" s="200"/>
      <c r="AI403" s="200"/>
      <c r="AJ403" s="200"/>
      <c r="AK403" s="200"/>
      <c r="AL403" s="200"/>
      <c r="AM403" s="200"/>
      <c r="AN403" s="200"/>
      <c r="AO403" s="200"/>
      <c r="AP403" s="200"/>
      <c r="AQ403" s="200"/>
      <c r="AR403" s="200"/>
      <c r="AS403" s="200"/>
      <c r="AT403" s="200"/>
      <c r="AU403" s="200"/>
      <c r="AV403" s="200"/>
      <c r="AW403" s="200"/>
      <c r="AX403" s="200"/>
      <c r="AY403" s="200"/>
      <c r="AZ403" s="200"/>
      <c r="BA403" s="200"/>
      <c r="BB403" s="200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</row>
    <row r="404" spans="1:71" ht="13.8">
      <c r="A404" s="1"/>
      <c r="B404" s="1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  <c r="AB404" s="200"/>
      <c r="AC404" s="200"/>
      <c r="AD404" s="200"/>
      <c r="AE404" s="200"/>
      <c r="AF404" s="200"/>
      <c r="AG404" s="200"/>
      <c r="AH404" s="200"/>
      <c r="AI404" s="200"/>
      <c r="AJ404" s="200"/>
      <c r="AK404" s="200"/>
      <c r="AL404" s="200"/>
      <c r="AM404" s="200"/>
      <c r="AN404" s="200"/>
      <c r="AO404" s="200"/>
      <c r="AP404" s="200"/>
      <c r="AQ404" s="200"/>
      <c r="AR404" s="200"/>
      <c r="AS404" s="200"/>
      <c r="AT404" s="200"/>
      <c r="AU404" s="200"/>
      <c r="AV404" s="200"/>
      <c r="AW404" s="200"/>
      <c r="AX404" s="200"/>
      <c r="AY404" s="200"/>
      <c r="AZ404" s="200"/>
      <c r="BA404" s="200"/>
      <c r="BB404" s="200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</row>
    <row r="405" spans="1:71" ht="13.8">
      <c r="A405" s="1"/>
      <c r="B405" s="1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  <c r="AB405" s="200"/>
      <c r="AC405" s="200"/>
      <c r="AD405" s="200"/>
      <c r="AE405" s="200"/>
      <c r="AF405" s="200"/>
      <c r="AG405" s="200"/>
      <c r="AH405" s="200"/>
      <c r="AI405" s="200"/>
      <c r="AJ405" s="200"/>
      <c r="AK405" s="200"/>
      <c r="AL405" s="200"/>
      <c r="AM405" s="200"/>
      <c r="AN405" s="200"/>
      <c r="AO405" s="200"/>
      <c r="AP405" s="200"/>
      <c r="AQ405" s="200"/>
      <c r="AR405" s="200"/>
      <c r="AS405" s="200"/>
      <c r="AT405" s="200"/>
      <c r="AU405" s="200"/>
      <c r="AV405" s="200"/>
      <c r="AW405" s="200"/>
      <c r="AX405" s="200"/>
      <c r="AY405" s="200"/>
      <c r="AZ405" s="200"/>
      <c r="BA405" s="200"/>
      <c r="BB405" s="200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</row>
    <row r="406" spans="1:71" ht="13.8">
      <c r="A406" s="1"/>
      <c r="B406" s="1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  <c r="AB406" s="200"/>
      <c r="AC406" s="200"/>
      <c r="AD406" s="200"/>
      <c r="AE406" s="200"/>
      <c r="AF406" s="200"/>
      <c r="AG406" s="200"/>
      <c r="AH406" s="200"/>
      <c r="AI406" s="200"/>
      <c r="AJ406" s="200"/>
      <c r="AK406" s="200"/>
      <c r="AL406" s="200"/>
      <c r="AM406" s="200"/>
      <c r="AN406" s="200"/>
      <c r="AO406" s="200"/>
      <c r="AP406" s="200"/>
      <c r="AQ406" s="200"/>
      <c r="AR406" s="200"/>
      <c r="AS406" s="200"/>
      <c r="AT406" s="200"/>
      <c r="AU406" s="200"/>
      <c r="AV406" s="200"/>
      <c r="AW406" s="200"/>
      <c r="AX406" s="200"/>
      <c r="AY406" s="200"/>
      <c r="AZ406" s="200"/>
      <c r="BA406" s="200"/>
      <c r="BB406" s="200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</row>
    <row r="407" spans="1:71" ht="13.8">
      <c r="A407" s="1"/>
      <c r="B407" s="1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  <c r="AB407" s="200"/>
      <c r="AC407" s="200"/>
      <c r="AD407" s="200"/>
      <c r="AE407" s="200"/>
      <c r="AF407" s="200"/>
      <c r="AG407" s="200"/>
      <c r="AH407" s="200"/>
      <c r="AI407" s="200"/>
      <c r="AJ407" s="200"/>
      <c r="AK407" s="200"/>
      <c r="AL407" s="200"/>
      <c r="AM407" s="200"/>
      <c r="AN407" s="200"/>
      <c r="AO407" s="200"/>
      <c r="AP407" s="200"/>
      <c r="AQ407" s="200"/>
      <c r="AR407" s="200"/>
      <c r="AS407" s="200"/>
      <c r="AT407" s="200"/>
      <c r="AU407" s="200"/>
      <c r="AV407" s="200"/>
      <c r="AW407" s="200"/>
      <c r="AX407" s="200"/>
      <c r="AY407" s="200"/>
      <c r="AZ407" s="200"/>
      <c r="BA407" s="200"/>
      <c r="BB407" s="200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</row>
    <row r="408" spans="1:71" ht="13.8">
      <c r="A408" s="1"/>
      <c r="B408" s="1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200"/>
      <c r="AG408" s="200"/>
      <c r="AH408" s="200"/>
      <c r="AI408" s="200"/>
      <c r="AJ408" s="200"/>
      <c r="AK408" s="200"/>
      <c r="AL408" s="200"/>
      <c r="AM408" s="200"/>
      <c r="AN408" s="200"/>
      <c r="AO408" s="200"/>
      <c r="AP408" s="200"/>
      <c r="AQ408" s="200"/>
      <c r="AR408" s="200"/>
      <c r="AS408" s="200"/>
      <c r="AT408" s="200"/>
      <c r="AU408" s="200"/>
      <c r="AV408" s="200"/>
      <c r="AW408" s="200"/>
      <c r="AX408" s="200"/>
      <c r="AY408" s="200"/>
      <c r="AZ408" s="200"/>
      <c r="BA408" s="200"/>
      <c r="BB408" s="200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</row>
    <row r="409" spans="1:71" ht="13.8">
      <c r="A409" s="1"/>
      <c r="B409" s="1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0"/>
      <c r="AK409" s="200"/>
      <c r="AL409" s="200"/>
      <c r="AM409" s="200"/>
      <c r="AN409" s="200"/>
      <c r="AO409" s="200"/>
      <c r="AP409" s="200"/>
      <c r="AQ409" s="200"/>
      <c r="AR409" s="200"/>
      <c r="AS409" s="200"/>
      <c r="AT409" s="200"/>
      <c r="AU409" s="200"/>
      <c r="AV409" s="200"/>
      <c r="AW409" s="200"/>
      <c r="AX409" s="200"/>
      <c r="AY409" s="200"/>
      <c r="AZ409" s="200"/>
      <c r="BA409" s="200"/>
      <c r="BB409" s="200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</row>
    <row r="410" spans="1:71" ht="13.8">
      <c r="A410" s="1"/>
      <c r="B410" s="1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  <c r="AB410" s="200"/>
      <c r="AC410" s="200"/>
      <c r="AD410" s="200"/>
      <c r="AE410" s="200"/>
      <c r="AF410" s="200"/>
      <c r="AG410" s="200"/>
      <c r="AH410" s="200"/>
      <c r="AI410" s="200"/>
      <c r="AJ410" s="200"/>
      <c r="AK410" s="200"/>
      <c r="AL410" s="200"/>
      <c r="AM410" s="200"/>
      <c r="AN410" s="200"/>
      <c r="AO410" s="200"/>
      <c r="AP410" s="200"/>
      <c r="AQ410" s="200"/>
      <c r="AR410" s="200"/>
      <c r="AS410" s="200"/>
      <c r="AT410" s="200"/>
      <c r="AU410" s="200"/>
      <c r="AV410" s="200"/>
      <c r="AW410" s="200"/>
      <c r="AX410" s="200"/>
      <c r="AY410" s="200"/>
      <c r="AZ410" s="200"/>
      <c r="BA410" s="200"/>
      <c r="BB410" s="200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</row>
    <row r="411" spans="1:71" ht="13.8">
      <c r="A411" s="1"/>
      <c r="B411" s="1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  <c r="AH411" s="200"/>
      <c r="AI411" s="200"/>
      <c r="AJ411" s="200"/>
      <c r="AK411" s="200"/>
      <c r="AL411" s="200"/>
      <c r="AM411" s="200"/>
      <c r="AN411" s="200"/>
      <c r="AO411" s="200"/>
      <c r="AP411" s="200"/>
      <c r="AQ411" s="200"/>
      <c r="AR411" s="200"/>
      <c r="AS411" s="200"/>
      <c r="AT411" s="200"/>
      <c r="AU411" s="200"/>
      <c r="AV411" s="200"/>
      <c r="AW411" s="200"/>
      <c r="AX411" s="200"/>
      <c r="AY411" s="200"/>
      <c r="AZ411" s="200"/>
      <c r="BA411" s="200"/>
      <c r="BB411" s="200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</row>
    <row r="412" spans="1:71" ht="13.8">
      <c r="A412" s="1"/>
      <c r="B412" s="1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/>
      <c r="AI412" s="200"/>
      <c r="AJ412" s="200"/>
      <c r="AK412" s="200"/>
      <c r="AL412" s="200"/>
      <c r="AM412" s="200"/>
      <c r="AN412" s="200"/>
      <c r="AO412" s="200"/>
      <c r="AP412" s="200"/>
      <c r="AQ412" s="200"/>
      <c r="AR412" s="200"/>
      <c r="AS412" s="200"/>
      <c r="AT412" s="200"/>
      <c r="AU412" s="200"/>
      <c r="AV412" s="200"/>
      <c r="AW412" s="200"/>
      <c r="AX412" s="200"/>
      <c r="AY412" s="200"/>
      <c r="AZ412" s="200"/>
      <c r="BA412" s="200"/>
      <c r="BB412" s="200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</row>
    <row r="413" spans="1:71" ht="13.8">
      <c r="A413" s="1"/>
      <c r="B413" s="1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  <c r="AH413" s="200"/>
      <c r="AI413" s="200"/>
      <c r="AJ413" s="200"/>
      <c r="AK413" s="200"/>
      <c r="AL413" s="200"/>
      <c r="AM413" s="200"/>
      <c r="AN413" s="200"/>
      <c r="AO413" s="200"/>
      <c r="AP413" s="200"/>
      <c r="AQ413" s="200"/>
      <c r="AR413" s="200"/>
      <c r="AS413" s="200"/>
      <c r="AT413" s="200"/>
      <c r="AU413" s="200"/>
      <c r="AV413" s="200"/>
      <c r="AW413" s="200"/>
      <c r="AX413" s="200"/>
      <c r="AY413" s="200"/>
      <c r="AZ413" s="200"/>
      <c r="BA413" s="200"/>
      <c r="BB413" s="200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</row>
    <row r="414" spans="1:71" ht="13.8">
      <c r="A414" s="1"/>
      <c r="B414" s="1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  <c r="AH414" s="200"/>
      <c r="AI414" s="200"/>
      <c r="AJ414" s="200"/>
      <c r="AK414" s="200"/>
      <c r="AL414" s="200"/>
      <c r="AM414" s="200"/>
      <c r="AN414" s="200"/>
      <c r="AO414" s="200"/>
      <c r="AP414" s="200"/>
      <c r="AQ414" s="200"/>
      <c r="AR414" s="200"/>
      <c r="AS414" s="200"/>
      <c r="AT414" s="200"/>
      <c r="AU414" s="200"/>
      <c r="AV414" s="200"/>
      <c r="AW414" s="200"/>
      <c r="AX414" s="200"/>
      <c r="AY414" s="200"/>
      <c r="AZ414" s="200"/>
      <c r="BA414" s="200"/>
      <c r="BB414" s="200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</row>
    <row r="415" spans="1:71" ht="13.8">
      <c r="A415" s="1"/>
      <c r="B415" s="1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  <c r="AK415" s="200"/>
      <c r="AL415" s="200"/>
      <c r="AM415" s="200"/>
      <c r="AN415" s="200"/>
      <c r="AO415" s="200"/>
      <c r="AP415" s="200"/>
      <c r="AQ415" s="200"/>
      <c r="AR415" s="200"/>
      <c r="AS415" s="200"/>
      <c r="AT415" s="200"/>
      <c r="AU415" s="200"/>
      <c r="AV415" s="200"/>
      <c r="AW415" s="200"/>
      <c r="AX415" s="200"/>
      <c r="AY415" s="200"/>
      <c r="AZ415" s="200"/>
      <c r="BA415" s="200"/>
      <c r="BB415" s="200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</row>
    <row r="416" spans="1:71" ht="13.8">
      <c r="A416" s="1"/>
      <c r="B416" s="1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  <c r="AH416" s="200"/>
      <c r="AI416" s="200"/>
      <c r="AJ416" s="200"/>
      <c r="AK416" s="200"/>
      <c r="AL416" s="200"/>
      <c r="AM416" s="200"/>
      <c r="AN416" s="200"/>
      <c r="AO416" s="200"/>
      <c r="AP416" s="200"/>
      <c r="AQ416" s="200"/>
      <c r="AR416" s="200"/>
      <c r="AS416" s="200"/>
      <c r="AT416" s="200"/>
      <c r="AU416" s="200"/>
      <c r="AV416" s="200"/>
      <c r="AW416" s="200"/>
      <c r="AX416" s="200"/>
      <c r="AY416" s="200"/>
      <c r="AZ416" s="200"/>
      <c r="BA416" s="200"/>
      <c r="BB416" s="200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</row>
    <row r="417" spans="1:71" ht="13.8">
      <c r="A417" s="1"/>
      <c r="B417" s="1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  <c r="AH417" s="200"/>
      <c r="AI417" s="200"/>
      <c r="AJ417" s="200"/>
      <c r="AK417" s="200"/>
      <c r="AL417" s="200"/>
      <c r="AM417" s="200"/>
      <c r="AN417" s="200"/>
      <c r="AO417" s="200"/>
      <c r="AP417" s="200"/>
      <c r="AQ417" s="200"/>
      <c r="AR417" s="200"/>
      <c r="AS417" s="200"/>
      <c r="AT417" s="200"/>
      <c r="AU417" s="200"/>
      <c r="AV417" s="200"/>
      <c r="AW417" s="200"/>
      <c r="AX417" s="200"/>
      <c r="AY417" s="200"/>
      <c r="AZ417" s="200"/>
      <c r="BA417" s="200"/>
      <c r="BB417" s="200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</row>
    <row r="418" spans="1:71" ht="13.8">
      <c r="A418" s="1"/>
      <c r="B418" s="1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0"/>
      <c r="AK418" s="200"/>
      <c r="AL418" s="200"/>
      <c r="AM418" s="200"/>
      <c r="AN418" s="200"/>
      <c r="AO418" s="200"/>
      <c r="AP418" s="200"/>
      <c r="AQ418" s="200"/>
      <c r="AR418" s="200"/>
      <c r="AS418" s="200"/>
      <c r="AT418" s="200"/>
      <c r="AU418" s="200"/>
      <c r="AV418" s="200"/>
      <c r="AW418" s="200"/>
      <c r="AX418" s="200"/>
      <c r="AY418" s="200"/>
      <c r="AZ418" s="200"/>
      <c r="BA418" s="200"/>
      <c r="BB418" s="200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</row>
    <row r="419" spans="1:71" ht="13.8">
      <c r="A419" s="1"/>
      <c r="B419" s="1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  <c r="AH419" s="200"/>
      <c r="AI419" s="200"/>
      <c r="AJ419" s="200"/>
      <c r="AK419" s="200"/>
      <c r="AL419" s="200"/>
      <c r="AM419" s="200"/>
      <c r="AN419" s="200"/>
      <c r="AO419" s="200"/>
      <c r="AP419" s="200"/>
      <c r="AQ419" s="200"/>
      <c r="AR419" s="200"/>
      <c r="AS419" s="200"/>
      <c r="AT419" s="200"/>
      <c r="AU419" s="200"/>
      <c r="AV419" s="200"/>
      <c r="AW419" s="200"/>
      <c r="AX419" s="200"/>
      <c r="AY419" s="200"/>
      <c r="AZ419" s="200"/>
      <c r="BA419" s="200"/>
      <c r="BB419" s="200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</row>
    <row r="420" spans="1:71" ht="13.8">
      <c r="A420" s="1"/>
      <c r="B420" s="1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  <c r="AH420" s="200"/>
      <c r="AI420" s="200"/>
      <c r="AJ420" s="200"/>
      <c r="AK420" s="200"/>
      <c r="AL420" s="200"/>
      <c r="AM420" s="200"/>
      <c r="AN420" s="200"/>
      <c r="AO420" s="200"/>
      <c r="AP420" s="200"/>
      <c r="AQ420" s="200"/>
      <c r="AR420" s="200"/>
      <c r="AS420" s="200"/>
      <c r="AT420" s="200"/>
      <c r="AU420" s="200"/>
      <c r="AV420" s="200"/>
      <c r="AW420" s="200"/>
      <c r="AX420" s="200"/>
      <c r="AY420" s="200"/>
      <c r="AZ420" s="200"/>
      <c r="BA420" s="200"/>
      <c r="BB420" s="200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</row>
    <row r="421" spans="1:71" ht="13.8">
      <c r="A421" s="1"/>
      <c r="B421" s="1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  <c r="AH421" s="200"/>
      <c r="AI421" s="200"/>
      <c r="AJ421" s="200"/>
      <c r="AK421" s="200"/>
      <c r="AL421" s="200"/>
      <c r="AM421" s="200"/>
      <c r="AN421" s="200"/>
      <c r="AO421" s="200"/>
      <c r="AP421" s="200"/>
      <c r="AQ421" s="200"/>
      <c r="AR421" s="200"/>
      <c r="AS421" s="200"/>
      <c r="AT421" s="200"/>
      <c r="AU421" s="200"/>
      <c r="AV421" s="200"/>
      <c r="AW421" s="200"/>
      <c r="AX421" s="200"/>
      <c r="AY421" s="200"/>
      <c r="AZ421" s="200"/>
      <c r="BA421" s="200"/>
      <c r="BB421" s="200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</row>
    <row r="422" spans="1:71" ht="13.8">
      <c r="A422" s="1"/>
      <c r="B422" s="1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  <c r="AH422" s="200"/>
      <c r="AI422" s="200"/>
      <c r="AJ422" s="200"/>
      <c r="AK422" s="200"/>
      <c r="AL422" s="200"/>
      <c r="AM422" s="200"/>
      <c r="AN422" s="200"/>
      <c r="AO422" s="200"/>
      <c r="AP422" s="200"/>
      <c r="AQ422" s="200"/>
      <c r="AR422" s="200"/>
      <c r="AS422" s="200"/>
      <c r="AT422" s="200"/>
      <c r="AU422" s="200"/>
      <c r="AV422" s="200"/>
      <c r="AW422" s="200"/>
      <c r="AX422" s="200"/>
      <c r="AY422" s="200"/>
      <c r="AZ422" s="200"/>
      <c r="BA422" s="200"/>
      <c r="BB422" s="200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</row>
    <row r="423" spans="1:71" ht="13.8">
      <c r="A423" s="1"/>
      <c r="B423" s="1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  <c r="AH423" s="200"/>
      <c r="AI423" s="200"/>
      <c r="AJ423" s="200"/>
      <c r="AK423" s="200"/>
      <c r="AL423" s="200"/>
      <c r="AM423" s="200"/>
      <c r="AN423" s="200"/>
      <c r="AO423" s="200"/>
      <c r="AP423" s="200"/>
      <c r="AQ423" s="200"/>
      <c r="AR423" s="200"/>
      <c r="AS423" s="200"/>
      <c r="AT423" s="200"/>
      <c r="AU423" s="200"/>
      <c r="AV423" s="200"/>
      <c r="AW423" s="200"/>
      <c r="AX423" s="200"/>
      <c r="AY423" s="200"/>
      <c r="AZ423" s="200"/>
      <c r="BA423" s="200"/>
      <c r="BB423" s="200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</row>
    <row r="424" spans="1:71" ht="13.8">
      <c r="A424" s="1"/>
      <c r="B424" s="1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  <c r="AH424" s="200"/>
      <c r="AI424" s="200"/>
      <c r="AJ424" s="200"/>
      <c r="AK424" s="200"/>
      <c r="AL424" s="200"/>
      <c r="AM424" s="200"/>
      <c r="AN424" s="200"/>
      <c r="AO424" s="200"/>
      <c r="AP424" s="200"/>
      <c r="AQ424" s="200"/>
      <c r="AR424" s="200"/>
      <c r="AS424" s="200"/>
      <c r="AT424" s="200"/>
      <c r="AU424" s="200"/>
      <c r="AV424" s="200"/>
      <c r="AW424" s="200"/>
      <c r="AX424" s="200"/>
      <c r="AY424" s="200"/>
      <c r="AZ424" s="200"/>
      <c r="BA424" s="200"/>
      <c r="BB424" s="200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</row>
    <row r="425" spans="1:71" ht="13.8">
      <c r="A425" s="1"/>
      <c r="B425" s="1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  <c r="AH425" s="200"/>
      <c r="AI425" s="200"/>
      <c r="AJ425" s="200"/>
      <c r="AK425" s="200"/>
      <c r="AL425" s="200"/>
      <c r="AM425" s="200"/>
      <c r="AN425" s="200"/>
      <c r="AO425" s="200"/>
      <c r="AP425" s="200"/>
      <c r="AQ425" s="200"/>
      <c r="AR425" s="200"/>
      <c r="AS425" s="200"/>
      <c r="AT425" s="200"/>
      <c r="AU425" s="200"/>
      <c r="AV425" s="200"/>
      <c r="AW425" s="200"/>
      <c r="AX425" s="200"/>
      <c r="AY425" s="200"/>
      <c r="AZ425" s="200"/>
      <c r="BA425" s="200"/>
      <c r="BB425" s="200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</row>
    <row r="426" spans="1:71" ht="13.8">
      <c r="A426" s="1"/>
      <c r="B426" s="1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  <c r="AK426" s="200"/>
      <c r="AL426" s="200"/>
      <c r="AM426" s="200"/>
      <c r="AN426" s="200"/>
      <c r="AO426" s="200"/>
      <c r="AP426" s="200"/>
      <c r="AQ426" s="200"/>
      <c r="AR426" s="200"/>
      <c r="AS426" s="200"/>
      <c r="AT426" s="200"/>
      <c r="AU426" s="200"/>
      <c r="AV426" s="200"/>
      <c r="AW426" s="200"/>
      <c r="AX426" s="200"/>
      <c r="AY426" s="200"/>
      <c r="AZ426" s="200"/>
      <c r="BA426" s="200"/>
      <c r="BB426" s="200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</row>
    <row r="427" spans="1:71" ht="13.8">
      <c r="A427" s="1"/>
      <c r="B427" s="1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  <c r="AH427" s="200"/>
      <c r="AI427" s="200"/>
      <c r="AJ427" s="200"/>
      <c r="AK427" s="200"/>
      <c r="AL427" s="200"/>
      <c r="AM427" s="200"/>
      <c r="AN427" s="200"/>
      <c r="AO427" s="200"/>
      <c r="AP427" s="200"/>
      <c r="AQ427" s="200"/>
      <c r="AR427" s="200"/>
      <c r="AS427" s="200"/>
      <c r="AT427" s="200"/>
      <c r="AU427" s="200"/>
      <c r="AV427" s="200"/>
      <c r="AW427" s="200"/>
      <c r="AX427" s="200"/>
      <c r="AY427" s="200"/>
      <c r="AZ427" s="200"/>
      <c r="BA427" s="200"/>
      <c r="BB427" s="200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</row>
    <row r="428" spans="1:71" ht="13.8">
      <c r="A428" s="1"/>
      <c r="B428" s="1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  <c r="AH428" s="200"/>
      <c r="AI428" s="200"/>
      <c r="AJ428" s="200"/>
      <c r="AK428" s="200"/>
      <c r="AL428" s="200"/>
      <c r="AM428" s="200"/>
      <c r="AN428" s="200"/>
      <c r="AO428" s="200"/>
      <c r="AP428" s="200"/>
      <c r="AQ428" s="200"/>
      <c r="AR428" s="200"/>
      <c r="AS428" s="200"/>
      <c r="AT428" s="200"/>
      <c r="AU428" s="200"/>
      <c r="AV428" s="200"/>
      <c r="AW428" s="200"/>
      <c r="AX428" s="200"/>
      <c r="AY428" s="200"/>
      <c r="AZ428" s="200"/>
      <c r="BA428" s="200"/>
      <c r="BB428" s="200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</row>
    <row r="429" spans="1:71" ht="13.8">
      <c r="A429" s="1"/>
      <c r="B429" s="1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/>
      <c r="AI429" s="200"/>
      <c r="AJ429" s="200"/>
      <c r="AK429" s="200"/>
      <c r="AL429" s="200"/>
      <c r="AM429" s="200"/>
      <c r="AN429" s="200"/>
      <c r="AO429" s="200"/>
      <c r="AP429" s="200"/>
      <c r="AQ429" s="200"/>
      <c r="AR429" s="200"/>
      <c r="AS429" s="200"/>
      <c r="AT429" s="200"/>
      <c r="AU429" s="200"/>
      <c r="AV429" s="200"/>
      <c r="AW429" s="200"/>
      <c r="AX429" s="200"/>
      <c r="AY429" s="200"/>
      <c r="AZ429" s="200"/>
      <c r="BA429" s="200"/>
      <c r="BB429" s="200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</row>
    <row r="430" spans="1:71" ht="13.8">
      <c r="A430" s="1"/>
      <c r="B430" s="1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  <c r="AH430" s="200"/>
      <c r="AI430" s="200"/>
      <c r="AJ430" s="200"/>
      <c r="AK430" s="200"/>
      <c r="AL430" s="200"/>
      <c r="AM430" s="200"/>
      <c r="AN430" s="200"/>
      <c r="AO430" s="200"/>
      <c r="AP430" s="200"/>
      <c r="AQ430" s="200"/>
      <c r="AR430" s="200"/>
      <c r="AS430" s="200"/>
      <c r="AT430" s="200"/>
      <c r="AU430" s="200"/>
      <c r="AV430" s="200"/>
      <c r="AW430" s="200"/>
      <c r="AX430" s="200"/>
      <c r="AY430" s="200"/>
      <c r="AZ430" s="200"/>
      <c r="BA430" s="200"/>
      <c r="BB430" s="200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</row>
    <row r="431" spans="1:71" ht="13.8">
      <c r="A431" s="1"/>
      <c r="B431" s="1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200"/>
      <c r="AJ431" s="200"/>
      <c r="AK431" s="200"/>
      <c r="AL431" s="200"/>
      <c r="AM431" s="200"/>
      <c r="AN431" s="200"/>
      <c r="AO431" s="200"/>
      <c r="AP431" s="200"/>
      <c r="AQ431" s="200"/>
      <c r="AR431" s="200"/>
      <c r="AS431" s="200"/>
      <c r="AT431" s="200"/>
      <c r="AU431" s="200"/>
      <c r="AV431" s="200"/>
      <c r="AW431" s="200"/>
      <c r="AX431" s="200"/>
      <c r="AY431" s="200"/>
      <c r="AZ431" s="200"/>
      <c r="BA431" s="200"/>
      <c r="BB431" s="200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</row>
    <row r="432" spans="1:71" ht="13.8">
      <c r="A432" s="1"/>
      <c r="B432" s="1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200"/>
      <c r="AJ432" s="200"/>
      <c r="AK432" s="200"/>
      <c r="AL432" s="200"/>
      <c r="AM432" s="200"/>
      <c r="AN432" s="200"/>
      <c r="AO432" s="200"/>
      <c r="AP432" s="200"/>
      <c r="AQ432" s="200"/>
      <c r="AR432" s="200"/>
      <c r="AS432" s="200"/>
      <c r="AT432" s="200"/>
      <c r="AU432" s="200"/>
      <c r="AV432" s="200"/>
      <c r="AW432" s="200"/>
      <c r="AX432" s="200"/>
      <c r="AY432" s="200"/>
      <c r="AZ432" s="200"/>
      <c r="BA432" s="200"/>
      <c r="BB432" s="200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</row>
    <row r="433" spans="1:71" ht="13.8">
      <c r="A433" s="1"/>
      <c r="B433" s="1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0"/>
      <c r="AK433" s="200"/>
      <c r="AL433" s="200"/>
      <c r="AM433" s="200"/>
      <c r="AN433" s="200"/>
      <c r="AO433" s="200"/>
      <c r="AP433" s="200"/>
      <c r="AQ433" s="200"/>
      <c r="AR433" s="200"/>
      <c r="AS433" s="200"/>
      <c r="AT433" s="200"/>
      <c r="AU433" s="200"/>
      <c r="AV433" s="200"/>
      <c r="AW433" s="200"/>
      <c r="AX433" s="200"/>
      <c r="AY433" s="200"/>
      <c r="AZ433" s="200"/>
      <c r="BA433" s="200"/>
      <c r="BB433" s="200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</row>
    <row r="434" spans="1:71" ht="13.8">
      <c r="A434" s="1"/>
      <c r="B434" s="1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  <c r="AK434" s="200"/>
      <c r="AL434" s="200"/>
      <c r="AM434" s="200"/>
      <c r="AN434" s="200"/>
      <c r="AO434" s="200"/>
      <c r="AP434" s="200"/>
      <c r="AQ434" s="200"/>
      <c r="AR434" s="200"/>
      <c r="AS434" s="200"/>
      <c r="AT434" s="200"/>
      <c r="AU434" s="200"/>
      <c r="AV434" s="200"/>
      <c r="AW434" s="200"/>
      <c r="AX434" s="200"/>
      <c r="AY434" s="200"/>
      <c r="AZ434" s="200"/>
      <c r="BA434" s="200"/>
      <c r="BB434" s="200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</row>
    <row r="435" spans="1:71" ht="13.8">
      <c r="A435" s="1"/>
      <c r="B435" s="1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200"/>
      <c r="AJ435" s="200"/>
      <c r="AK435" s="200"/>
      <c r="AL435" s="200"/>
      <c r="AM435" s="200"/>
      <c r="AN435" s="200"/>
      <c r="AO435" s="200"/>
      <c r="AP435" s="200"/>
      <c r="AQ435" s="200"/>
      <c r="AR435" s="200"/>
      <c r="AS435" s="200"/>
      <c r="AT435" s="200"/>
      <c r="AU435" s="200"/>
      <c r="AV435" s="200"/>
      <c r="AW435" s="200"/>
      <c r="AX435" s="200"/>
      <c r="AY435" s="200"/>
      <c r="AZ435" s="200"/>
      <c r="BA435" s="200"/>
      <c r="BB435" s="200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</row>
    <row r="436" spans="1:71" ht="13.8">
      <c r="A436" s="1"/>
      <c r="B436" s="1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  <c r="AH436" s="200"/>
      <c r="AI436" s="200"/>
      <c r="AJ436" s="200"/>
      <c r="AK436" s="200"/>
      <c r="AL436" s="200"/>
      <c r="AM436" s="200"/>
      <c r="AN436" s="200"/>
      <c r="AO436" s="200"/>
      <c r="AP436" s="200"/>
      <c r="AQ436" s="200"/>
      <c r="AR436" s="200"/>
      <c r="AS436" s="200"/>
      <c r="AT436" s="200"/>
      <c r="AU436" s="200"/>
      <c r="AV436" s="200"/>
      <c r="AW436" s="200"/>
      <c r="AX436" s="200"/>
      <c r="AY436" s="200"/>
      <c r="AZ436" s="200"/>
      <c r="BA436" s="200"/>
      <c r="BB436" s="200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</row>
    <row r="437" spans="1:71" ht="13.8">
      <c r="A437" s="1"/>
      <c r="B437" s="1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  <c r="AH437" s="200"/>
      <c r="AI437" s="200"/>
      <c r="AJ437" s="200"/>
      <c r="AK437" s="200"/>
      <c r="AL437" s="200"/>
      <c r="AM437" s="200"/>
      <c r="AN437" s="200"/>
      <c r="AO437" s="200"/>
      <c r="AP437" s="200"/>
      <c r="AQ437" s="200"/>
      <c r="AR437" s="200"/>
      <c r="AS437" s="200"/>
      <c r="AT437" s="200"/>
      <c r="AU437" s="200"/>
      <c r="AV437" s="200"/>
      <c r="AW437" s="200"/>
      <c r="AX437" s="200"/>
      <c r="AY437" s="200"/>
      <c r="AZ437" s="200"/>
      <c r="BA437" s="200"/>
      <c r="BB437" s="200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</row>
    <row r="438" spans="1:71" ht="13.8">
      <c r="A438" s="1"/>
      <c r="B438" s="1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0"/>
      <c r="AK438" s="200"/>
      <c r="AL438" s="200"/>
      <c r="AM438" s="200"/>
      <c r="AN438" s="200"/>
      <c r="AO438" s="200"/>
      <c r="AP438" s="200"/>
      <c r="AQ438" s="200"/>
      <c r="AR438" s="200"/>
      <c r="AS438" s="200"/>
      <c r="AT438" s="200"/>
      <c r="AU438" s="200"/>
      <c r="AV438" s="200"/>
      <c r="AW438" s="200"/>
      <c r="AX438" s="200"/>
      <c r="AY438" s="200"/>
      <c r="AZ438" s="200"/>
      <c r="BA438" s="200"/>
      <c r="BB438" s="200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</row>
    <row r="439" spans="1:71" ht="13.8">
      <c r="A439" s="1"/>
      <c r="B439" s="1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  <c r="AH439" s="200"/>
      <c r="AI439" s="200"/>
      <c r="AJ439" s="200"/>
      <c r="AK439" s="200"/>
      <c r="AL439" s="200"/>
      <c r="AM439" s="200"/>
      <c r="AN439" s="200"/>
      <c r="AO439" s="200"/>
      <c r="AP439" s="200"/>
      <c r="AQ439" s="200"/>
      <c r="AR439" s="200"/>
      <c r="AS439" s="200"/>
      <c r="AT439" s="200"/>
      <c r="AU439" s="200"/>
      <c r="AV439" s="200"/>
      <c r="AW439" s="200"/>
      <c r="AX439" s="200"/>
      <c r="AY439" s="200"/>
      <c r="AZ439" s="200"/>
      <c r="BA439" s="200"/>
      <c r="BB439" s="200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</row>
    <row r="440" spans="1:71" ht="13.8">
      <c r="A440" s="1"/>
      <c r="B440" s="1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  <c r="AH440" s="200"/>
      <c r="AI440" s="200"/>
      <c r="AJ440" s="200"/>
      <c r="AK440" s="200"/>
      <c r="AL440" s="200"/>
      <c r="AM440" s="200"/>
      <c r="AN440" s="200"/>
      <c r="AO440" s="200"/>
      <c r="AP440" s="200"/>
      <c r="AQ440" s="200"/>
      <c r="AR440" s="200"/>
      <c r="AS440" s="200"/>
      <c r="AT440" s="200"/>
      <c r="AU440" s="200"/>
      <c r="AV440" s="200"/>
      <c r="AW440" s="200"/>
      <c r="AX440" s="200"/>
      <c r="AY440" s="200"/>
      <c r="AZ440" s="200"/>
      <c r="BA440" s="200"/>
      <c r="BB440" s="200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</row>
    <row r="441" spans="1:71" ht="13.8">
      <c r="A441" s="1"/>
      <c r="B441" s="1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  <c r="AK441" s="200"/>
      <c r="AL441" s="200"/>
      <c r="AM441" s="200"/>
      <c r="AN441" s="200"/>
      <c r="AO441" s="200"/>
      <c r="AP441" s="200"/>
      <c r="AQ441" s="200"/>
      <c r="AR441" s="200"/>
      <c r="AS441" s="200"/>
      <c r="AT441" s="200"/>
      <c r="AU441" s="200"/>
      <c r="AV441" s="200"/>
      <c r="AW441" s="200"/>
      <c r="AX441" s="200"/>
      <c r="AY441" s="200"/>
      <c r="AZ441" s="200"/>
      <c r="BA441" s="200"/>
      <c r="BB441" s="200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</row>
    <row r="442" spans="1:71" ht="13.8">
      <c r="A442" s="1"/>
      <c r="B442" s="1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0"/>
      <c r="AK442" s="200"/>
      <c r="AL442" s="200"/>
      <c r="AM442" s="200"/>
      <c r="AN442" s="200"/>
      <c r="AO442" s="200"/>
      <c r="AP442" s="200"/>
      <c r="AQ442" s="200"/>
      <c r="AR442" s="200"/>
      <c r="AS442" s="200"/>
      <c r="AT442" s="200"/>
      <c r="AU442" s="200"/>
      <c r="AV442" s="200"/>
      <c r="AW442" s="200"/>
      <c r="AX442" s="200"/>
      <c r="AY442" s="200"/>
      <c r="AZ442" s="200"/>
      <c r="BA442" s="200"/>
      <c r="BB442" s="200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</row>
    <row r="443" spans="1:71" ht="13.8">
      <c r="A443" s="1"/>
      <c r="B443" s="1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  <c r="AH443" s="200"/>
      <c r="AI443" s="200"/>
      <c r="AJ443" s="200"/>
      <c r="AK443" s="200"/>
      <c r="AL443" s="200"/>
      <c r="AM443" s="200"/>
      <c r="AN443" s="200"/>
      <c r="AO443" s="200"/>
      <c r="AP443" s="200"/>
      <c r="AQ443" s="200"/>
      <c r="AR443" s="200"/>
      <c r="AS443" s="200"/>
      <c r="AT443" s="200"/>
      <c r="AU443" s="200"/>
      <c r="AV443" s="200"/>
      <c r="AW443" s="200"/>
      <c r="AX443" s="200"/>
      <c r="AY443" s="200"/>
      <c r="AZ443" s="200"/>
      <c r="BA443" s="200"/>
      <c r="BB443" s="200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</row>
    <row r="444" spans="1:71" ht="13.8">
      <c r="A444" s="1"/>
      <c r="B444" s="1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0"/>
      <c r="AK444" s="200"/>
      <c r="AL444" s="200"/>
      <c r="AM444" s="200"/>
      <c r="AN444" s="200"/>
      <c r="AO444" s="200"/>
      <c r="AP444" s="200"/>
      <c r="AQ444" s="200"/>
      <c r="AR444" s="200"/>
      <c r="AS444" s="200"/>
      <c r="AT444" s="200"/>
      <c r="AU444" s="200"/>
      <c r="AV444" s="200"/>
      <c r="AW444" s="200"/>
      <c r="AX444" s="200"/>
      <c r="AY444" s="200"/>
      <c r="AZ444" s="200"/>
      <c r="BA444" s="200"/>
      <c r="BB444" s="200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</row>
    <row r="445" spans="1:71" ht="13.8">
      <c r="A445" s="1"/>
      <c r="B445" s="1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  <c r="AH445" s="200"/>
      <c r="AI445" s="200"/>
      <c r="AJ445" s="200"/>
      <c r="AK445" s="200"/>
      <c r="AL445" s="200"/>
      <c r="AM445" s="200"/>
      <c r="AN445" s="200"/>
      <c r="AO445" s="200"/>
      <c r="AP445" s="200"/>
      <c r="AQ445" s="200"/>
      <c r="AR445" s="200"/>
      <c r="AS445" s="200"/>
      <c r="AT445" s="200"/>
      <c r="AU445" s="200"/>
      <c r="AV445" s="200"/>
      <c r="AW445" s="200"/>
      <c r="AX445" s="200"/>
      <c r="AY445" s="200"/>
      <c r="AZ445" s="200"/>
      <c r="BA445" s="200"/>
      <c r="BB445" s="200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</row>
    <row r="446" spans="1:71" ht="13.8">
      <c r="A446" s="1"/>
      <c r="B446" s="1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0"/>
      <c r="AK446" s="200"/>
      <c r="AL446" s="200"/>
      <c r="AM446" s="200"/>
      <c r="AN446" s="200"/>
      <c r="AO446" s="200"/>
      <c r="AP446" s="200"/>
      <c r="AQ446" s="200"/>
      <c r="AR446" s="200"/>
      <c r="AS446" s="200"/>
      <c r="AT446" s="200"/>
      <c r="AU446" s="200"/>
      <c r="AV446" s="200"/>
      <c r="AW446" s="200"/>
      <c r="AX446" s="200"/>
      <c r="AY446" s="200"/>
      <c r="AZ446" s="200"/>
      <c r="BA446" s="200"/>
      <c r="BB446" s="200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</row>
    <row r="447" spans="1:71" ht="13.8">
      <c r="A447" s="1"/>
      <c r="B447" s="1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0"/>
      <c r="AK447" s="200"/>
      <c r="AL447" s="200"/>
      <c r="AM447" s="200"/>
      <c r="AN447" s="200"/>
      <c r="AO447" s="200"/>
      <c r="AP447" s="200"/>
      <c r="AQ447" s="200"/>
      <c r="AR447" s="200"/>
      <c r="AS447" s="200"/>
      <c r="AT447" s="200"/>
      <c r="AU447" s="200"/>
      <c r="AV447" s="200"/>
      <c r="AW447" s="200"/>
      <c r="AX447" s="200"/>
      <c r="AY447" s="200"/>
      <c r="AZ447" s="200"/>
      <c r="BA447" s="200"/>
      <c r="BB447" s="200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</row>
    <row r="448" spans="1:71" ht="13.8">
      <c r="A448" s="1"/>
      <c r="B448" s="1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  <c r="AH448" s="200"/>
      <c r="AI448" s="200"/>
      <c r="AJ448" s="200"/>
      <c r="AK448" s="200"/>
      <c r="AL448" s="200"/>
      <c r="AM448" s="200"/>
      <c r="AN448" s="200"/>
      <c r="AO448" s="200"/>
      <c r="AP448" s="200"/>
      <c r="AQ448" s="200"/>
      <c r="AR448" s="200"/>
      <c r="AS448" s="200"/>
      <c r="AT448" s="200"/>
      <c r="AU448" s="200"/>
      <c r="AV448" s="200"/>
      <c r="AW448" s="200"/>
      <c r="AX448" s="200"/>
      <c r="AY448" s="200"/>
      <c r="AZ448" s="200"/>
      <c r="BA448" s="200"/>
      <c r="BB448" s="200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</row>
    <row r="449" spans="1:71" ht="13.8">
      <c r="A449" s="1"/>
      <c r="B449" s="1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  <c r="AH449" s="200"/>
      <c r="AI449" s="200"/>
      <c r="AJ449" s="200"/>
      <c r="AK449" s="200"/>
      <c r="AL449" s="200"/>
      <c r="AM449" s="200"/>
      <c r="AN449" s="200"/>
      <c r="AO449" s="200"/>
      <c r="AP449" s="200"/>
      <c r="AQ449" s="200"/>
      <c r="AR449" s="200"/>
      <c r="AS449" s="200"/>
      <c r="AT449" s="200"/>
      <c r="AU449" s="200"/>
      <c r="AV449" s="200"/>
      <c r="AW449" s="200"/>
      <c r="AX449" s="200"/>
      <c r="AY449" s="200"/>
      <c r="AZ449" s="200"/>
      <c r="BA449" s="200"/>
      <c r="BB449" s="200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</row>
    <row r="450" spans="1:71" ht="13.8">
      <c r="A450" s="1"/>
      <c r="B450" s="1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0"/>
      <c r="AK450" s="200"/>
      <c r="AL450" s="200"/>
      <c r="AM450" s="200"/>
      <c r="AN450" s="200"/>
      <c r="AO450" s="200"/>
      <c r="AP450" s="200"/>
      <c r="AQ450" s="200"/>
      <c r="AR450" s="200"/>
      <c r="AS450" s="200"/>
      <c r="AT450" s="200"/>
      <c r="AU450" s="200"/>
      <c r="AV450" s="200"/>
      <c r="AW450" s="200"/>
      <c r="AX450" s="200"/>
      <c r="AY450" s="200"/>
      <c r="AZ450" s="200"/>
      <c r="BA450" s="200"/>
      <c r="BB450" s="200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</row>
    <row r="451" spans="1:71" ht="13.8">
      <c r="A451" s="1"/>
      <c r="B451" s="1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  <c r="AH451" s="200"/>
      <c r="AI451" s="200"/>
      <c r="AJ451" s="200"/>
      <c r="AK451" s="200"/>
      <c r="AL451" s="200"/>
      <c r="AM451" s="200"/>
      <c r="AN451" s="200"/>
      <c r="AO451" s="200"/>
      <c r="AP451" s="200"/>
      <c r="AQ451" s="200"/>
      <c r="AR451" s="200"/>
      <c r="AS451" s="200"/>
      <c r="AT451" s="200"/>
      <c r="AU451" s="200"/>
      <c r="AV451" s="200"/>
      <c r="AW451" s="200"/>
      <c r="AX451" s="200"/>
      <c r="AY451" s="200"/>
      <c r="AZ451" s="200"/>
      <c r="BA451" s="200"/>
      <c r="BB451" s="200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</row>
    <row r="452" spans="1:71" ht="13.8">
      <c r="A452" s="1"/>
      <c r="B452" s="1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  <c r="AH452" s="200"/>
      <c r="AI452" s="200"/>
      <c r="AJ452" s="200"/>
      <c r="AK452" s="200"/>
      <c r="AL452" s="200"/>
      <c r="AM452" s="200"/>
      <c r="AN452" s="200"/>
      <c r="AO452" s="200"/>
      <c r="AP452" s="200"/>
      <c r="AQ452" s="200"/>
      <c r="AR452" s="200"/>
      <c r="AS452" s="200"/>
      <c r="AT452" s="200"/>
      <c r="AU452" s="200"/>
      <c r="AV452" s="200"/>
      <c r="AW452" s="200"/>
      <c r="AX452" s="200"/>
      <c r="AY452" s="200"/>
      <c r="AZ452" s="200"/>
      <c r="BA452" s="200"/>
      <c r="BB452" s="200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</row>
    <row r="453" spans="1:71" ht="13.8">
      <c r="A453" s="1"/>
      <c r="B453" s="1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0"/>
      <c r="AK453" s="200"/>
      <c r="AL453" s="200"/>
      <c r="AM453" s="200"/>
      <c r="AN453" s="200"/>
      <c r="AO453" s="200"/>
      <c r="AP453" s="200"/>
      <c r="AQ453" s="200"/>
      <c r="AR453" s="200"/>
      <c r="AS453" s="200"/>
      <c r="AT453" s="200"/>
      <c r="AU453" s="200"/>
      <c r="AV453" s="200"/>
      <c r="AW453" s="200"/>
      <c r="AX453" s="200"/>
      <c r="AY453" s="200"/>
      <c r="AZ453" s="200"/>
      <c r="BA453" s="200"/>
      <c r="BB453" s="200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</row>
    <row r="454" spans="1:71" ht="13.8">
      <c r="A454" s="1"/>
      <c r="B454" s="1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  <c r="AH454" s="200"/>
      <c r="AI454" s="200"/>
      <c r="AJ454" s="200"/>
      <c r="AK454" s="200"/>
      <c r="AL454" s="200"/>
      <c r="AM454" s="200"/>
      <c r="AN454" s="200"/>
      <c r="AO454" s="200"/>
      <c r="AP454" s="200"/>
      <c r="AQ454" s="200"/>
      <c r="AR454" s="200"/>
      <c r="AS454" s="200"/>
      <c r="AT454" s="200"/>
      <c r="AU454" s="200"/>
      <c r="AV454" s="200"/>
      <c r="AW454" s="200"/>
      <c r="AX454" s="200"/>
      <c r="AY454" s="200"/>
      <c r="AZ454" s="200"/>
      <c r="BA454" s="200"/>
      <c r="BB454" s="200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</row>
    <row r="455" spans="1:71" ht="13.8">
      <c r="A455" s="1"/>
      <c r="B455" s="1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  <c r="AH455" s="200"/>
      <c r="AI455" s="200"/>
      <c r="AJ455" s="200"/>
      <c r="AK455" s="200"/>
      <c r="AL455" s="200"/>
      <c r="AM455" s="200"/>
      <c r="AN455" s="200"/>
      <c r="AO455" s="200"/>
      <c r="AP455" s="200"/>
      <c r="AQ455" s="200"/>
      <c r="AR455" s="200"/>
      <c r="AS455" s="200"/>
      <c r="AT455" s="200"/>
      <c r="AU455" s="200"/>
      <c r="AV455" s="200"/>
      <c r="AW455" s="200"/>
      <c r="AX455" s="200"/>
      <c r="AY455" s="200"/>
      <c r="AZ455" s="200"/>
      <c r="BA455" s="200"/>
      <c r="BB455" s="200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</row>
    <row r="456" spans="1:71" ht="13.8">
      <c r="A456" s="1"/>
      <c r="B456" s="1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  <c r="AH456" s="200"/>
      <c r="AI456" s="200"/>
      <c r="AJ456" s="200"/>
      <c r="AK456" s="200"/>
      <c r="AL456" s="200"/>
      <c r="AM456" s="200"/>
      <c r="AN456" s="200"/>
      <c r="AO456" s="200"/>
      <c r="AP456" s="200"/>
      <c r="AQ456" s="200"/>
      <c r="AR456" s="200"/>
      <c r="AS456" s="200"/>
      <c r="AT456" s="200"/>
      <c r="AU456" s="200"/>
      <c r="AV456" s="200"/>
      <c r="AW456" s="200"/>
      <c r="AX456" s="200"/>
      <c r="AY456" s="200"/>
      <c r="AZ456" s="200"/>
      <c r="BA456" s="200"/>
      <c r="BB456" s="200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</row>
    <row r="457" spans="1:71" ht="13.8">
      <c r="A457" s="1"/>
      <c r="B457" s="1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  <c r="AH457" s="200"/>
      <c r="AI457" s="200"/>
      <c r="AJ457" s="200"/>
      <c r="AK457" s="200"/>
      <c r="AL457" s="200"/>
      <c r="AM457" s="200"/>
      <c r="AN457" s="200"/>
      <c r="AO457" s="200"/>
      <c r="AP457" s="200"/>
      <c r="AQ457" s="200"/>
      <c r="AR457" s="200"/>
      <c r="AS457" s="200"/>
      <c r="AT457" s="200"/>
      <c r="AU457" s="200"/>
      <c r="AV457" s="200"/>
      <c r="AW457" s="200"/>
      <c r="AX457" s="200"/>
      <c r="AY457" s="200"/>
      <c r="AZ457" s="200"/>
      <c r="BA457" s="200"/>
      <c r="BB457" s="200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</row>
    <row r="458" spans="1:71" ht="13.8">
      <c r="A458" s="1"/>
      <c r="B458" s="1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0"/>
      <c r="AK458" s="200"/>
      <c r="AL458" s="200"/>
      <c r="AM458" s="200"/>
      <c r="AN458" s="200"/>
      <c r="AO458" s="200"/>
      <c r="AP458" s="200"/>
      <c r="AQ458" s="200"/>
      <c r="AR458" s="200"/>
      <c r="AS458" s="200"/>
      <c r="AT458" s="200"/>
      <c r="AU458" s="200"/>
      <c r="AV458" s="200"/>
      <c r="AW458" s="200"/>
      <c r="AX458" s="200"/>
      <c r="AY458" s="200"/>
      <c r="AZ458" s="200"/>
      <c r="BA458" s="200"/>
      <c r="BB458" s="200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</row>
    <row r="459" spans="1:71" ht="13.8">
      <c r="A459" s="1"/>
      <c r="B459" s="1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  <c r="AH459" s="200"/>
      <c r="AI459" s="200"/>
      <c r="AJ459" s="200"/>
      <c r="AK459" s="200"/>
      <c r="AL459" s="200"/>
      <c r="AM459" s="200"/>
      <c r="AN459" s="200"/>
      <c r="AO459" s="200"/>
      <c r="AP459" s="200"/>
      <c r="AQ459" s="200"/>
      <c r="AR459" s="200"/>
      <c r="AS459" s="200"/>
      <c r="AT459" s="200"/>
      <c r="AU459" s="200"/>
      <c r="AV459" s="200"/>
      <c r="AW459" s="200"/>
      <c r="AX459" s="200"/>
      <c r="AY459" s="200"/>
      <c r="AZ459" s="200"/>
      <c r="BA459" s="200"/>
      <c r="BB459" s="200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</row>
    <row r="460" spans="1:71" ht="13.8">
      <c r="A460" s="1"/>
      <c r="B460" s="1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0"/>
      <c r="AK460" s="200"/>
      <c r="AL460" s="200"/>
      <c r="AM460" s="200"/>
      <c r="AN460" s="200"/>
      <c r="AO460" s="200"/>
      <c r="AP460" s="200"/>
      <c r="AQ460" s="200"/>
      <c r="AR460" s="200"/>
      <c r="AS460" s="200"/>
      <c r="AT460" s="200"/>
      <c r="AU460" s="200"/>
      <c r="AV460" s="200"/>
      <c r="AW460" s="200"/>
      <c r="AX460" s="200"/>
      <c r="AY460" s="200"/>
      <c r="AZ460" s="200"/>
      <c r="BA460" s="200"/>
      <c r="BB460" s="200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</row>
    <row r="461" spans="1:71" ht="13.8">
      <c r="A461" s="1"/>
      <c r="B461" s="1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  <c r="AH461" s="200"/>
      <c r="AI461" s="200"/>
      <c r="AJ461" s="200"/>
      <c r="AK461" s="200"/>
      <c r="AL461" s="200"/>
      <c r="AM461" s="200"/>
      <c r="AN461" s="200"/>
      <c r="AO461" s="200"/>
      <c r="AP461" s="200"/>
      <c r="AQ461" s="200"/>
      <c r="AR461" s="200"/>
      <c r="AS461" s="200"/>
      <c r="AT461" s="200"/>
      <c r="AU461" s="200"/>
      <c r="AV461" s="200"/>
      <c r="AW461" s="200"/>
      <c r="AX461" s="200"/>
      <c r="AY461" s="200"/>
      <c r="AZ461" s="200"/>
      <c r="BA461" s="200"/>
      <c r="BB461" s="200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</row>
    <row r="462" spans="1:71" ht="13.8">
      <c r="A462" s="1"/>
      <c r="B462" s="1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0"/>
      <c r="AK462" s="200"/>
      <c r="AL462" s="200"/>
      <c r="AM462" s="200"/>
      <c r="AN462" s="200"/>
      <c r="AO462" s="200"/>
      <c r="AP462" s="200"/>
      <c r="AQ462" s="200"/>
      <c r="AR462" s="200"/>
      <c r="AS462" s="200"/>
      <c r="AT462" s="200"/>
      <c r="AU462" s="200"/>
      <c r="AV462" s="200"/>
      <c r="AW462" s="200"/>
      <c r="AX462" s="200"/>
      <c r="AY462" s="200"/>
      <c r="AZ462" s="200"/>
      <c r="BA462" s="200"/>
      <c r="BB462" s="200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</row>
    <row r="463" spans="1:71" ht="13.8">
      <c r="A463" s="1"/>
      <c r="B463" s="1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  <c r="AH463" s="200"/>
      <c r="AI463" s="200"/>
      <c r="AJ463" s="200"/>
      <c r="AK463" s="200"/>
      <c r="AL463" s="200"/>
      <c r="AM463" s="200"/>
      <c r="AN463" s="200"/>
      <c r="AO463" s="200"/>
      <c r="AP463" s="200"/>
      <c r="AQ463" s="200"/>
      <c r="AR463" s="200"/>
      <c r="AS463" s="200"/>
      <c r="AT463" s="200"/>
      <c r="AU463" s="200"/>
      <c r="AV463" s="200"/>
      <c r="AW463" s="200"/>
      <c r="AX463" s="200"/>
      <c r="AY463" s="200"/>
      <c r="AZ463" s="200"/>
      <c r="BA463" s="200"/>
      <c r="BB463" s="200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</row>
    <row r="464" spans="1:71" ht="13.8">
      <c r="A464" s="1"/>
      <c r="B464" s="1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  <c r="AH464" s="200"/>
      <c r="AI464" s="200"/>
      <c r="AJ464" s="200"/>
      <c r="AK464" s="200"/>
      <c r="AL464" s="200"/>
      <c r="AM464" s="200"/>
      <c r="AN464" s="200"/>
      <c r="AO464" s="200"/>
      <c r="AP464" s="200"/>
      <c r="AQ464" s="200"/>
      <c r="AR464" s="200"/>
      <c r="AS464" s="200"/>
      <c r="AT464" s="200"/>
      <c r="AU464" s="200"/>
      <c r="AV464" s="200"/>
      <c r="AW464" s="200"/>
      <c r="AX464" s="200"/>
      <c r="AY464" s="200"/>
      <c r="AZ464" s="200"/>
      <c r="BA464" s="200"/>
      <c r="BB464" s="200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</row>
    <row r="465" spans="1:71" ht="13.8">
      <c r="A465" s="1"/>
      <c r="B465" s="1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  <c r="AH465" s="200"/>
      <c r="AI465" s="200"/>
      <c r="AJ465" s="200"/>
      <c r="AK465" s="200"/>
      <c r="AL465" s="200"/>
      <c r="AM465" s="200"/>
      <c r="AN465" s="200"/>
      <c r="AO465" s="200"/>
      <c r="AP465" s="200"/>
      <c r="AQ465" s="200"/>
      <c r="AR465" s="200"/>
      <c r="AS465" s="200"/>
      <c r="AT465" s="200"/>
      <c r="AU465" s="200"/>
      <c r="AV465" s="200"/>
      <c r="AW465" s="200"/>
      <c r="AX465" s="200"/>
      <c r="AY465" s="200"/>
      <c r="AZ465" s="200"/>
      <c r="BA465" s="200"/>
      <c r="BB465" s="200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</row>
    <row r="466" spans="1:71" ht="13.8">
      <c r="A466" s="1"/>
      <c r="B466" s="1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  <c r="AK466" s="200"/>
      <c r="AL466" s="200"/>
      <c r="AM466" s="200"/>
      <c r="AN466" s="200"/>
      <c r="AO466" s="200"/>
      <c r="AP466" s="200"/>
      <c r="AQ466" s="200"/>
      <c r="AR466" s="200"/>
      <c r="AS466" s="200"/>
      <c r="AT466" s="200"/>
      <c r="AU466" s="200"/>
      <c r="AV466" s="200"/>
      <c r="AW466" s="200"/>
      <c r="AX466" s="200"/>
      <c r="AY466" s="200"/>
      <c r="AZ466" s="200"/>
      <c r="BA466" s="200"/>
      <c r="BB466" s="200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</row>
    <row r="467" spans="1:71" ht="13.8">
      <c r="A467" s="1"/>
      <c r="B467" s="1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  <c r="AH467" s="200"/>
      <c r="AI467" s="200"/>
      <c r="AJ467" s="200"/>
      <c r="AK467" s="200"/>
      <c r="AL467" s="200"/>
      <c r="AM467" s="200"/>
      <c r="AN467" s="200"/>
      <c r="AO467" s="200"/>
      <c r="AP467" s="200"/>
      <c r="AQ467" s="200"/>
      <c r="AR467" s="200"/>
      <c r="AS467" s="200"/>
      <c r="AT467" s="200"/>
      <c r="AU467" s="200"/>
      <c r="AV467" s="200"/>
      <c r="AW467" s="200"/>
      <c r="AX467" s="200"/>
      <c r="AY467" s="200"/>
      <c r="AZ467" s="200"/>
      <c r="BA467" s="200"/>
      <c r="BB467" s="200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</row>
    <row r="468" spans="1:71" ht="13.8">
      <c r="A468" s="1"/>
      <c r="B468" s="1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  <c r="AH468" s="200"/>
      <c r="AI468" s="200"/>
      <c r="AJ468" s="200"/>
      <c r="AK468" s="200"/>
      <c r="AL468" s="200"/>
      <c r="AM468" s="200"/>
      <c r="AN468" s="200"/>
      <c r="AO468" s="200"/>
      <c r="AP468" s="200"/>
      <c r="AQ468" s="200"/>
      <c r="AR468" s="200"/>
      <c r="AS468" s="200"/>
      <c r="AT468" s="200"/>
      <c r="AU468" s="200"/>
      <c r="AV468" s="200"/>
      <c r="AW468" s="200"/>
      <c r="AX468" s="200"/>
      <c r="AY468" s="200"/>
      <c r="AZ468" s="200"/>
      <c r="BA468" s="200"/>
      <c r="BB468" s="200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</row>
    <row r="469" spans="1:71" ht="13.8">
      <c r="A469" s="1"/>
      <c r="B469" s="1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0"/>
      <c r="AK469" s="200"/>
      <c r="AL469" s="200"/>
      <c r="AM469" s="200"/>
      <c r="AN469" s="200"/>
      <c r="AO469" s="200"/>
      <c r="AP469" s="200"/>
      <c r="AQ469" s="200"/>
      <c r="AR469" s="200"/>
      <c r="AS469" s="200"/>
      <c r="AT469" s="200"/>
      <c r="AU469" s="200"/>
      <c r="AV469" s="200"/>
      <c r="AW469" s="200"/>
      <c r="AX469" s="200"/>
      <c r="AY469" s="200"/>
      <c r="AZ469" s="200"/>
      <c r="BA469" s="200"/>
      <c r="BB469" s="200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</row>
    <row r="470" spans="1:71" ht="13.8">
      <c r="A470" s="1"/>
      <c r="B470" s="1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  <c r="AH470" s="200"/>
      <c r="AI470" s="200"/>
      <c r="AJ470" s="200"/>
      <c r="AK470" s="200"/>
      <c r="AL470" s="200"/>
      <c r="AM470" s="200"/>
      <c r="AN470" s="200"/>
      <c r="AO470" s="200"/>
      <c r="AP470" s="200"/>
      <c r="AQ470" s="200"/>
      <c r="AR470" s="200"/>
      <c r="AS470" s="200"/>
      <c r="AT470" s="200"/>
      <c r="AU470" s="200"/>
      <c r="AV470" s="200"/>
      <c r="AW470" s="200"/>
      <c r="AX470" s="200"/>
      <c r="AY470" s="200"/>
      <c r="AZ470" s="200"/>
      <c r="BA470" s="200"/>
      <c r="BB470" s="200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</row>
    <row r="471" spans="1:71" ht="13.8">
      <c r="A471" s="1"/>
      <c r="B471" s="1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  <c r="AH471" s="200"/>
      <c r="AI471" s="200"/>
      <c r="AJ471" s="200"/>
      <c r="AK471" s="200"/>
      <c r="AL471" s="200"/>
      <c r="AM471" s="200"/>
      <c r="AN471" s="200"/>
      <c r="AO471" s="200"/>
      <c r="AP471" s="200"/>
      <c r="AQ471" s="200"/>
      <c r="AR471" s="200"/>
      <c r="AS471" s="200"/>
      <c r="AT471" s="200"/>
      <c r="AU471" s="200"/>
      <c r="AV471" s="200"/>
      <c r="AW471" s="200"/>
      <c r="AX471" s="200"/>
      <c r="AY471" s="200"/>
      <c r="AZ471" s="200"/>
      <c r="BA471" s="200"/>
      <c r="BB471" s="200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</row>
    <row r="472" spans="1:71" ht="13.8">
      <c r="A472" s="1"/>
      <c r="B472" s="1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0"/>
      <c r="AK472" s="200"/>
      <c r="AL472" s="200"/>
      <c r="AM472" s="200"/>
      <c r="AN472" s="200"/>
      <c r="AO472" s="200"/>
      <c r="AP472" s="200"/>
      <c r="AQ472" s="200"/>
      <c r="AR472" s="200"/>
      <c r="AS472" s="200"/>
      <c r="AT472" s="200"/>
      <c r="AU472" s="200"/>
      <c r="AV472" s="200"/>
      <c r="AW472" s="200"/>
      <c r="AX472" s="200"/>
      <c r="AY472" s="200"/>
      <c r="AZ472" s="200"/>
      <c r="BA472" s="200"/>
      <c r="BB472" s="200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</row>
    <row r="473" spans="1:71" ht="13.8">
      <c r="A473" s="1"/>
      <c r="B473" s="1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  <c r="AK473" s="200"/>
      <c r="AL473" s="200"/>
      <c r="AM473" s="200"/>
      <c r="AN473" s="200"/>
      <c r="AO473" s="200"/>
      <c r="AP473" s="200"/>
      <c r="AQ473" s="200"/>
      <c r="AR473" s="200"/>
      <c r="AS473" s="200"/>
      <c r="AT473" s="200"/>
      <c r="AU473" s="200"/>
      <c r="AV473" s="200"/>
      <c r="AW473" s="200"/>
      <c r="AX473" s="200"/>
      <c r="AY473" s="200"/>
      <c r="AZ473" s="200"/>
      <c r="BA473" s="200"/>
      <c r="BB473" s="200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</row>
    <row r="474" spans="1:71" ht="13.8">
      <c r="A474" s="1"/>
      <c r="B474" s="1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  <c r="AK474" s="200"/>
      <c r="AL474" s="200"/>
      <c r="AM474" s="200"/>
      <c r="AN474" s="200"/>
      <c r="AO474" s="200"/>
      <c r="AP474" s="200"/>
      <c r="AQ474" s="200"/>
      <c r="AR474" s="200"/>
      <c r="AS474" s="200"/>
      <c r="AT474" s="200"/>
      <c r="AU474" s="200"/>
      <c r="AV474" s="200"/>
      <c r="AW474" s="200"/>
      <c r="AX474" s="200"/>
      <c r="AY474" s="200"/>
      <c r="AZ474" s="200"/>
      <c r="BA474" s="200"/>
      <c r="BB474" s="200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</row>
    <row r="475" spans="1:71" ht="13.8">
      <c r="A475" s="1"/>
      <c r="B475" s="1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0"/>
      <c r="AK475" s="200"/>
      <c r="AL475" s="200"/>
      <c r="AM475" s="200"/>
      <c r="AN475" s="200"/>
      <c r="AO475" s="200"/>
      <c r="AP475" s="200"/>
      <c r="AQ475" s="200"/>
      <c r="AR475" s="200"/>
      <c r="AS475" s="200"/>
      <c r="AT475" s="200"/>
      <c r="AU475" s="200"/>
      <c r="AV475" s="200"/>
      <c r="AW475" s="200"/>
      <c r="AX475" s="200"/>
      <c r="AY475" s="200"/>
      <c r="AZ475" s="200"/>
      <c r="BA475" s="200"/>
      <c r="BB475" s="200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</row>
    <row r="476" spans="1:71" ht="13.8">
      <c r="A476" s="1"/>
      <c r="B476" s="1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  <c r="AH476" s="200"/>
      <c r="AI476" s="200"/>
      <c r="AJ476" s="200"/>
      <c r="AK476" s="200"/>
      <c r="AL476" s="200"/>
      <c r="AM476" s="200"/>
      <c r="AN476" s="200"/>
      <c r="AO476" s="200"/>
      <c r="AP476" s="200"/>
      <c r="AQ476" s="200"/>
      <c r="AR476" s="200"/>
      <c r="AS476" s="200"/>
      <c r="AT476" s="200"/>
      <c r="AU476" s="200"/>
      <c r="AV476" s="200"/>
      <c r="AW476" s="200"/>
      <c r="AX476" s="200"/>
      <c r="AY476" s="200"/>
      <c r="AZ476" s="200"/>
      <c r="BA476" s="200"/>
      <c r="BB476" s="200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</row>
    <row r="477" spans="1:71" ht="13.8">
      <c r="A477" s="1"/>
      <c r="B477" s="1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0"/>
      <c r="AK477" s="200"/>
      <c r="AL477" s="200"/>
      <c r="AM477" s="200"/>
      <c r="AN477" s="200"/>
      <c r="AO477" s="200"/>
      <c r="AP477" s="200"/>
      <c r="AQ477" s="200"/>
      <c r="AR477" s="200"/>
      <c r="AS477" s="200"/>
      <c r="AT477" s="200"/>
      <c r="AU477" s="200"/>
      <c r="AV477" s="200"/>
      <c r="AW477" s="200"/>
      <c r="AX477" s="200"/>
      <c r="AY477" s="200"/>
      <c r="AZ477" s="200"/>
      <c r="BA477" s="200"/>
      <c r="BB477" s="200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</row>
    <row r="478" spans="1:71" ht="13.8">
      <c r="A478" s="1"/>
      <c r="B478" s="1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0"/>
      <c r="AK478" s="200"/>
      <c r="AL478" s="200"/>
      <c r="AM478" s="200"/>
      <c r="AN478" s="200"/>
      <c r="AO478" s="200"/>
      <c r="AP478" s="200"/>
      <c r="AQ478" s="200"/>
      <c r="AR478" s="200"/>
      <c r="AS478" s="200"/>
      <c r="AT478" s="200"/>
      <c r="AU478" s="200"/>
      <c r="AV478" s="200"/>
      <c r="AW478" s="200"/>
      <c r="AX478" s="200"/>
      <c r="AY478" s="200"/>
      <c r="AZ478" s="200"/>
      <c r="BA478" s="200"/>
      <c r="BB478" s="200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</row>
    <row r="479" spans="1:71" ht="13.8">
      <c r="A479" s="1"/>
      <c r="B479" s="1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  <c r="AH479" s="200"/>
      <c r="AI479" s="200"/>
      <c r="AJ479" s="200"/>
      <c r="AK479" s="200"/>
      <c r="AL479" s="200"/>
      <c r="AM479" s="200"/>
      <c r="AN479" s="200"/>
      <c r="AO479" s="200"/>
      <c r="AP479" s="200"/>
      <c r="AQ479" s="200"/>
      <c r="AR479" s="200"/>
      <c r="AS479" s="200"/>
      <c r="AT479" s="200"/>
      <c r="AU479" s="200"/>
      <c r="AV479" s="200"/>
      <c r="AW479" s="200"/>
      <c r="AX479" s="200"/>
      <c r="AY479" s="200"/>
      <c r="AZ479" s="200"/>
      <c r="BA479" s="200"/>
      <c r="BB479" s="200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</row>
    <row r="480" spans="1:71" ht="13.8">
      <c r="A480" s="1"/>
      <c r="B480" s="1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  <c r="AH480" s="200"/>
      <c r="AI480" s="200"/>
      <c r="AJ480" s="200"/>
      <c r="AK480" s="200"/>
      <c r="AL480" s="200"/>
      <c r="AM480" s="200"/>
      <c r="AN480" s="200"/>
      <c r="AO480" s="200"/>
      <c r="AP480" s="200"/>
      <c r="AQ480" s="200"/>
      <c r="AR480" s="200"/>
      <c r="AS480" s="200"/>
      <c r="AT480" s="200"/>
      <c r="AU480" s="200"/>
      <c r="AV480" s="200"/>
      <c r="AW480" s="200"/>
      <c r="AX480" s="200"/>
      <c r="AY480" s="200"/>
      <c r="AZ480" s="200"/>
      <c r="BA480" s="200"/>
      <c r="BB480" s="200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</row>
    <row r="481" spans="1:71" ht="13.8">
      <c r="A481" s="1"/>
      <c r="B481" s="1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  <c r="AH481" s="200"/>
      <c r="AI481" s="200"/>
      <c r="AJ481" s="200"/>
      <c r="AK481" s="200"/>
      <c r="AL481" s="200"/>
      <c r="AM481" s="200"/>
      <c r="AN481" s="200"/>
      <c r="AO481" s="200"/>
      <c r="AP481" s="200"/>
      <c r="AQ481" s="200"/>
      <c r="AR481" s="200"/>
      <c r="AS481" s="200"/>
      <c r="AT481" s="200"/>
      <c r="AU481" s="200"/>
      <c r="AV481" s="200"/>
      <c r="AW481" s="200"/>
      <c r="AX481" s="200"/>
      <c r="AY481" s="200"/>
      <c r="AZ481" s="200"/>
      <c r="BA481" s="200"/>
      <c r="BB481" s="200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</row>
    <row r="482" spans="1:71" ht="13.8">
      <c r="A482" s="1"/>
      <c r="B482" s="1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0"/>
      <c r="AK482" s="200"/>
      <c r="AL482" s="200"/>
      <c r="AM482" s="200"/>
      <c r="AN482" s="200"/>
      <c r="AO482" s="200"/>
      <c r="AP482" s="200"/>
      <c r="AQ482" s="200"/>
      <c r="AR482" s="200"/>
      <c r="AS482" s="200"/>
      <c r="AT482" s="200"/>
      <c r="AU482" s="200"/>
      <c r="AV482" s="200"/>
      <c r="AW482" s="200"/>
      <c r="AX482" s="200"/>
      <c r="AY482" s="200"/>
      <c r="AZ482" s="200"/>
      <c r="BA482" s="200"/>
      <c r="BB482" s="200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</row>
    <row r="483" spans="1:71" ht="13.8">
      <c r="A483" s="1"/>
      <c r="B483" s="1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  <c r="AH483" s="200"/>
      <c r="AI483" s="200"/>
      <c r="AJ483" s="200"/>
      <c r="AK483" s="200"/>
      <c r="AL483" s="200"/>
      <c r="AM483" s="200"/>
      <c r="AN483" s="200"/>
      <c r="AO483" s="200"/>
      <c r="AP483" s="200"/>
      <c r="AQ483" s="200"/>
      <c r="AR483" s="200"/>
      <c r="AS483" s="200"/>
      <c r="AT483" s="200"/>
      <c r="AU483" s="200"/>
      <c r="AV483" s="200"/>
      <c r="AW483" s="200"/>
      <c r="AX483" s="200"/>
      <c r="AY483" s="200"/>
      <c r="AZ483" s="200"/>
      <c r="BA483" s="200"/>
      <c r="BB483" s="200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</row>
    <row r="484" spans="1:71" ht="13.8">
      <c r="A484" s="1"/>
      <c r="B484" s="1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0"/>
      <c r="AK484" s="200"/>
      <c r="AL484" s="200"/>
      <c r="AM484" s="200"/>
      <c r="AN484" s="200"/>
      <c r="AO484" s="200"/>
      <c r="AP484" s="200"/>
      <c r="AQ484" s="200"/>
      <c r="AR484" s="200"/>
      <c r="AS484" s="200"/>
      <c r="AT484" s="200"/>
      <c r="AU484" s="200"/>
      <c r="AV484" s="200"/>
      <c r="AW484" s="200"/>
      <c r="AX484" s="200"/>
      <c r="AY484" s="200"/>
      <c r="AZ484" s="200"/>
      <c r="BA484" s="200"/>
      <c r="BB484" s="200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</row>
    <row r="485" spans="1:71" ht="13.8">
      <c r="A485" s="1"/>
      <c r="B485" s="1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  <c r="AH485" s="200"/>
      <c r="AI485" s="200"/>
      <c r="AJ485" s="200"/>
      <c r="AK485" s="200"/>
      <c r="AL485" s="200"/>
      <c r="AM485" s="200"/>
      <c r="AN485" s="200"/>
      <c r="AO485" s="200"/>
      <c r="AP485" s="200"/>
      <c r="AQ485" s="200"/>
      <c r="AR485" s="200"/>
      <c r="AS485" s="200"/>
      <c r="AT485" s="200"/>
      <c r="AU485" s="200"/>
      <c r="AV485" s="200"/>
      <c r="AW485" s="200"/>
      <c r="AX485" s="200"/>
      <c r="AY485" s="200"/>
      <c r="AZ485" s="200"/>
      <c r="BA485" s="200"/>
      <c r="BB485" s="200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</row>
    <row r="486" spans="1:71" ht="13.8">
      <c r="A486" s="1"/>
      <c r="B486" s="1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  <c r="AH486" s="200"/>
      <c r="AI486" s="200"/>
      <c r="AJ486" s="200"/>
      <c r="AK486" s="200"/>
      <c r="AL486" s="200"/>
      <c r="AM486" s="200"/>
      <c r="AN486" s="200"/>
      <c r="AO486" s="200"/>
      <c r="AP486" s="200"/>
      <c r="AQ486" s="200"/>
      <c r="AR486" s="200"/>
      <c r="AS486" s="200"/>
      <c r="AT486" s="200"/>
      <c r="AU486" s="200"/>
      <c r="AV486" s="200"/>
      <c r="AW486" s="200"/>
      <c r="AX486" s="200"/>
      <c r="AY486" s="200"/>
      <c r="AZ486" s="200"/>
      <c r="BA486" s="200"/>
      <c r="BB486" s="200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</row>
    <row r="487" spans="1:71" ht="13.8">
      <c r="A487" s="1"/>
      <c r="B487" s="1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  <c r="AH487" s="200"/>
      <c r="AI487" s="200"/>
      <c r="AJ487" s="200"/>
      <c r="AK487" s="200"/>
      <c r="AL487" s="200"/>
      <c r="AM487" s="200"/>
      <c r="AN487" s="200"/>
      <c r="AO487" s="200"/>
      <c r="AP487" s="200"/>
      <c r="AQ487" s="200"/>
      <c r="AR487" s="200"/>
      <c r="AS487" s="200"/>
      <c r="AT487" s="200"/>
      <c r="AU487" s="200"/>
      <c r="AV487" s="200"/>
      <c r="AW487" s="200"/>
      <c r="AX487" s="200"/>
      <c r="AY487" s="200"/>
      <c r="AZ487" s="200"/>
      <c r="BA487" s="200"/>
      <c r="BB487" s="200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</row>
    <row r="488" spans="1:71" ht="13.8">
      <c r="A488" s="1"/>
      <c r="B488" s="1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  <c r="AH488" s="200"/>
      <c r="AI488" s="200"/>
      <c r="AJ488" s="200"/>
      <c r="AK488" s="200"/>
      <c r="AL488" s="200"/>
      <c r="AM488" s="200"/>
      <c r="AN488" s="200"/>
      <c r="AO488" s="200"/>
      <c r="AP488" s="200"/>
      <c r="AQ488" s="200"/>
      <c r="AR488" s="200"/>
      <c r="AS488" s="200"/>
      <c r="AT488" s="200"/>
      <c r="AU488" s="200"/>
      <c r="AV488" s="200"/>
      <c r="AW488" s="200"/>
      <c r="AX488" s="200"/>
      <c r="AY488" s="200"/>
      <c r="AZ488" s="200"/>
      <c r="BA488" s="200"/>
      <c r="BB488" s="200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</row>
    <row r="489" spans="1:71" ht="13.8">
      <c r="A489" s="1"/>
      <c r="B489" s="1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  <c r="AH489" s="200"/>
      <c r="AI489" s="200"/>
      <c r="AJ489" s="200"/>
      <c r="AK489" s="200"/>
      <c r="AL489" s="200"/>
      <c r="AM489" s="200"/>
      <c r="AN489" s="200"/>
      <c r="AO489" s="200"/>
      <c r="AP489" s="200"/>
      <c r="AQ489" s="200"/>
      <c r="AR489" s="200"/>
      <c r="AS489" s="200"/>
      <c r="AT489" s="200"/>
      <c r="AU489" s="200"/>
      <c r="AV489" s="200"/>
      <c r="AW489" s="200"/>
      <c r="AX489" s="200"/>
      <c r="AY489" s="200"/>
      <c r="AZ489" s="200"/>
      <c r="BA489" s="200"/>
      <c r="BB489" s="200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</row>
    <row r="490" spans="1:71" ht="13.8">
      <c r="A490" s="1"/>
      <c r="B490" s="1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  <c r="AK490" s="200"/>
      <c r="AL490" s="200"/>
      <c r="AM490" s="200"/>
      <c r="AN490" s="200"/>
      <c r="AO490" s="200"/>
      <c r="AP490" s="200"/>
      <c r="AQ490" s="200"/>
      <c r="AR490" s="200"/>
      <c r="AS490" s="200"/>
      <c r="AT490" s="200"/>
      <c r="AU490" s="200"/>
      <c r="AV490" s="200"/>
      <c r="AW490" s="200"/>
      <c r="AX490" s="200"/>
      <c r="AY490" s="200"/>
      <c r="AZ490" s="200"/>
      <c r="BA490" s="200"/>
      <c r="BB490" s="200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</row>
    <row r="491" spans="1:71" ht="13.8">
      <c r="A491" s="1"/>
      <c r="B491" s="1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  <c r="AH491" s="200"/>
      <c r="AI491" s="200"/>
      <c r="AJ491" s="200"/>
      <c r="AK491" s="200"/>
      <c r="AL491" s="200"/>
      <c r="AM491" s="200"/>
      <c r="AN491" s="200"/>
      <c r="AO491" s="200"/>
      <c r="AP491" s="200"/>
      <c r="AQ491" s="200"/>
      <c r="AR491" s="200"/>
      <c r="AS491" s="200"/>
      <c r="AT491" s="200"/>
      <c r="AU491" s="200"/>
      <c r="AV491" s="200"/>
      <c r="AW491" s="200"/>
      <c r="AX491" s="200"/>
      <c r="AY491" s="200"/>
      <c r="AZ491" s="200"/>
      <c r="BA491" s="200"/>
      <c r="BB491" s="200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</row>
    <row r="492" spans="1:71" ht="13.8">
      <c r="A492" s="1"/>
      <c r="B492" s="1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  <c r="AH492" s="200"/>
      <c r="AI492" s="200"/>
      <c r="AJ492" s="200"/>
      <c r="AK492" s="200"/>
      <c r="AL492" s="200"/>
      <c r="AM492" s="200"/>
      <c r="AN492" s="200"/>
      <c r="AO492" s="200"/>
      <c r="AP492" s="200"/>
      <c r="AQ492" s="200"/>
      <c r="AR492" s="200"/>
      <c r="AS492" s="200"/>
      <c r="AT492" s="200"/>
      <c r="AU492" s="200"/>
      <c r="AV492" s="200"/>
      <c r="AW492" s="200"/>
      <c r="AX492" s="200"/>
      <c r="AY492" s="200"/>
      <c r="AZ492" s="200"/>
      <c r="BA492" s="200"/>
      <c r="BB492" s="200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</row>
    <row r="493" spans="1:71" ht="13.8">
      <c r="A493" s="1"/>
      <c r="B493" s="1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  <c r="AH493" s="200"/>
      <c r="AI493" s="200"/>
      <c r="AJ493" s="200"/>
      <c r="AK493" s="200"/>
      <c r="AL493" s="200"/>
      <c r="AM493" s="200"/>
      <c r="AN493" s="200"/>
      <c r="AO493" s="200"/>
      <c r="AP493" s="200"/>
      <c r="AQ493" s="200"/>
      <c r="AR493" s="200"/>
      <c r="AS493" s="200"/>
      <c r="AT493" s="200"/>
      <c r="AU493" s="200"/>
      <c r="AV493" s="200"/>
      <c r="AW493" s="200"/>
      <c r="AX493" s="200"/>
      <c r="AY493" s="200"/>
      <c r="AZ493" s="200"/>
      <c r="BA493" s="200"/>
      <c r="BB493" s="200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</row>
    <row r="494" spans="1:71" ht="13.8">
      <c r="A494" s="1"/>
      <c r="B494" s="1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  <c r="AK494" s="200"/>
      <c r="AL494" s="200"/>
      <c r="AM494" s="200"/>
      <c r="AN494" s="200"/>
      <c r="AO494" s="200"/>
      <c r="AP494" s="200"/>
      <c r="AQ494" s="200"/>
      <c r="AR494" s="200"/>
      <c r="AS494" s="200"/>
      <c r="AT494" s="200"/>
      <c r="AU494" s="200"/>
      <c r="AV494" s="200"/>
      <c r="AW494" s="200"/>
      <c r="AX494" s="200"/>
      <c r="AY494" s="200"/>
      <c r="AZ494" s="200"/>
      <c r="BA494" s="200"/>
      <c r="BB494" s="200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</row>
    <row r="495" spans="1:71" ht="13.8">
      <c r="A495" s="1"/>
      <c r="B495" s="1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  <c r="AH495" s="200"/>
      <c r="AI495" s="200"/>
      <c r="AJ495" s="200"/>
      <c r="AK495" s="200"/>
      <c r="AL495" s="200"/>
      <c r="AM495" s="200"/>
      <c r="AN495" s="200"/>
      <c r="AO495" s="200"/>
      <c r="AP495" s="200"/>
      <c r="AQ495" s="200"/>
      <c r="AR495" s="200"/>
      <c r="AS495" s="200"/>
      <c r="AT495" s="200"/>
      <c r="AU495" s="200"/>
      <c r="AV495" s="200"/>
      <c r="AW495" s="200"/>
      <c r="AX495" s="200"/>
      <c r="AY495" s="200"/>
      <c r="AZ495" s="200"/>
      <c r="BA495" s="200"/>
      <c r="BB495" s="200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</row>
    <row r="496" spans="1:71" ht="13.8">
      <c r="A496" s="1"/>
      <c r="B496" s="1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  <c r="AH496" s="200"/>
      <c r="AI496" s="200"/>
      <c r="AJ496" s="200"/>
      <c r="AK496" s="200"/>
      <c r="AL496" s="200"/>
      <c r="AM496" s="200"/>
      <c r="AN496" s="200"/>
      <c r="AO496" s="200"/>
      <c r="AP496" s="200"/>
      <c r="AQ496" s="200"/>
      <c r="AR496" s="200"/>
      <c r="AS496" s="200"/>
      <c r="AT496" s="200"/>
      <c r="AU496" s="200"/>
      <c r="AV496" s="200"/>
      <c r="AW496" s="200"/>
      <c r="AX496" s="200"/>
      <c r="AY496" s="200"/>
      <c r="AZ496" s="200"/>
      <c r="BA496" s="200"/>
      <c r="BB496" s="200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</row>
    <row r="497" spans="1:71" ht="13.8">
      <c r="A497" s="1"/>
      <c r="B497" s="1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  <c r="AK497" s="200"/>
      <c r="AL497" s="200"/>
      <c r="AM497" s="200"/>
      <c r="AN497" s="200"/>
      <c r="AO497" s="200"/>
      <c r="AP497" s="200"/>
      <c r="AQ497" s="200"/>
      <c r="AR497" s="200"/>
      <c r="AS497" s="200"/>
      <c r="AT497" s="200"/>
      <c r="AU497" s="200"/>
      <c r="AV497" s="200"/>
      <c r="AW497" s="200"/>
      <c r="AX497" s="200"/>
      <c r="AY497" s="200"/>
      <c r="AZ497" s="200"/>
      <c r="BA497" s="200"/>
      <c r="BB497" s="200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</row>
    <row r="498" spans="1:71" ht="13.8">
      <c r="A498" s="1"/>
      <c r="B498" s="1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0"/>
      <c r="AK498" s="200"/>
      <c r="AL498" s="200"/>
      <c r="AM498" s="200"/>
      <c r="AN498" s="200"/>
      <c r="AO498" s="200"/>
      <c r="AP498" s="200"/>
      <c r="AQ498" s="200"/>
      <c r="AR498" s="200"/>
      <c r="AS498" s="200"/>
      <c r="AT498" s="200"/>
      <c r="AU498" s="200"/>
      <c r="AV498" s="200"/>
      <c r="AW498" s="200"/>
      <c r="AX498" s="200"/>
      <c r="AY498" s="200"/>
      <c r="AZ498" s="200"/>
      <c r="BA498" s="200"/>
      <c r="BB498" s="200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</row>
    <row r="499" spans="1:71" ht="13.8">
      <c r="A499" s="1"/>
      <c r="B499" s="1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  <c r="AH499" s="200"/>
      <c r="AI499" s="200"/>
      <c r="AJ499" s="200"/>
      <c r="AK499" s="200"/>
      <c r="AL499" s="200"/>
      <c r="AM499" s="200"/>
      <c r="AN499" s="200"/>
      <c r="AO499" s="200"/>
      <c r="AP499" s="200"/>
      <c r="AQ499" s="200"/>
      <c r="AR499" s="200"/>
      <c r="AS499" s="200"/>
      <c r="AT499" s="200"/>
      <c r="AU499" s="200"/>
      <c r="AV499" s="200"/>
      <c r="AW499" s="200"/>
      <c r="AX499" s="200"/>
      <c r="AY499" s="200"/>
      <c r="AZ499" s="200"/>
      <c r="BA499" s="200"/>
      <c r="BB499" s="200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</row>
    <row r="500" spans="1:71" ht="13.8">
      <c r="A500" s="1"/>
      <c r="B500" s="1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0"/>
      <c r="AK500" s="200"/>
      <c r="AL500" s="200"/>
      <c r="AM500" s="200"/>
      <c r="AN500" s="200"/>
      <c r="AO500" s="200"/>
      <c r="AP500" s="200"/>
      <c r="AQ500" s="200"/>
      <c r="AR500" s="200"/>
      <c r="AS500" s="200"/>
      <c r="AT500" s="200"/>
      <c r="AU500" s="200"/>
      <c r="AV500" s="200"/>
      <c r="AW500" s="200"/>
      <c r="AX500" s="200"/>
      <c r="AY500" s="200"/>
      <c r="AZ500" s="200"/>
      <c r="BA500" s="200"/>
      <c r="BB500" s="200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</row>
    <row r="501" spans="1:71" ht="13.8">
      <c r="A501" s="1"/>
      <c r="B501" s="1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  <c r="AH501" s="200"/>
      <c r="AI501" s="200"/>
      <c r="AJ501" s="200"/>
      <c r="AK501" s="200"/>
      <c r="AL501" s="200"/>
      <c r="AM501" s="200"/>
      <c r="AN501" s="200"/>
      <c r="AO501" s="200"/>
      <c r="AP501" s="200"/>
      <c r="AQ501" s="200"/>
      <c r="AR501" s="200"/>
      <c r="AS501" s="200"/>
      <c r="AT501" s="200"/>
      <c r="AU501" s="200"/>
      <c r="AV501" s="200"/>
      <c r="AW501" s="200"/>
      <c r="AX501" s="200"/>
      <c r="AY501" s="200"/>
      <c r="AZ501" s="200"/>
      <c r="BA501" s="200"/>
      <c r="BB501" s="200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</row>
    <row r="502" spans="1:71" ht="13.8">
      <c r="A502" s="1"/>
      <c r="B502" s="1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  <c r="AH502" s="200"/>
      <c r="AI502" s="200"/>
      <c r="AJ502" s="200"/>
      <c r="AK502" s="200"/>
      <c r="AL502" s="200"/>
      <c r="AM502" s="200"/>
      <c r="AN502" s="200"/>
      <c r="AO502" s="200"/>
      <c r="AP502" s="200"/>
      <c r="AQ502" s="200"/>
      <c r="AR502" s="200"/>
      <c r="AS502" s="200"/>
      <c r="AT502" s="200"/>
      <c r="AU502" s="200"/>
      <c r="AV502" s="200"/>
      <c r="AW502" s="200"/>
      <c r="AX502" s="200"/>
      <c r="AY502" s="200"/>
      <c r="AZ502" s="200"/>
      <c r="BA502" s="200"/>
      <c r="BB502" s="200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</row>
    <row r="503" spans="1:71" ht="13.8">
      <c r="A503" s="1"/>
      <c r="B503" s="1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/>
      <c r="AK503" s="200"/>
      <c r="AL503" s="200"/>
      <c r="AM503" s="200"/>
      <c r="AN503" s="200"/>
      <c r="AO503" s="200"/>
      <c r="AP503" s="200"/>
      <c r="AQ503" s="200"/>
      <c r="AR503" s="200"/>
      <c r="AS503" s="200"/>
      <c r="AT503" s="200"/>
      <c r="AU503" s="200"/>
      <c r="AV503" s="200"/>
      <c r="AW503" s="200"/>
      <c r="AX503" s="200"/>
      <c r="AY503" s="200"/>
      <c r="AZ503" s="200"/>
      <c r="BA503" s="200"/>
      <c r="BB503" s="200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</row>
    <row r="504" spans="1:71" ht="13.8">
      <c r="A504" s="1"/>
      <c r="B504" s="1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  <c r="AH504" s="200"/>
      <c r="AI504" s="200"/>
      <c r="AJ504" s="200"/>
      <c r="AK504" s="200"/>
      <c r="AL504" s="200"/>
      <c r="AM504" s="200"/>
      <c r="AN504" s="200"/>
      <c r="AO504" s="200"/>
      <c r="AP504" s="200"/>
      <c r="AQ504" s="200"/>
      <c r="AR504" s="200"/>
      <c r="AS504" s="200"/>
      <c r="AT504" s="200"/>
      <c r="AU504" s="200"/>
      <c r="AV504" s="200"/>
      <c r="AW504" s="200"/>
      <c r="AX504" s="200"/>
      <c r="AY504" s="200"/>
      <c r="AZ504" s="200"/>
      <c r="BA504" s="200"/>
      <c r="BB504" s="200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</row>
    <row r="505" spans="1:71" ht="13.8">
      <c r="A505" s="1"/>
      <c r="B505" s="1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  <c r="AH505" s="200"/>
      <c r="AI505" s="200"/>
      <c r="AJ505" s="200"/>
      <c r="AK505" s="200"/>
      <c r="AL505" s="200"/>
      <c r="AM505" s="200"/>
      <c r="AN505" s="200"/>
      <c r="AO505" s="200"/>
      <c r="AP505" s="200"/>
      <c r="AQ505" s="200"/>
      <c r="AR505" s="200"/>
      <c r="AS505" s="200"/>
      <c r="AT505" s="200"/>
      <c r="AU505" s="200"/>
      <c r="AV505" s="200"/>
      <c r="AW505" s="200"/>
      <c r="AX505" s="200"/>
      <c r="AY505" s="200"/>
      <c r="AZ505" s="200"/>
      <c r="BA505" s="200"/>
      <c r="BB505" s="200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</row>
    <row r="506" spans="1:71" ht="13.8">
      <c r="A506" s="1"/>
      <c r="B506" s="1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0"/>
      <c r="AK506" s="200"/>
      <c r="AL506" s="200"/>
      <c r="AM506" s="200"/>
      <c r="AN506" s="200"/>
      <c r="AO506" s="200"/>
      <c r="AP506" s="200"/>
      <c r="AQ506" s="200"/>
      <c r="AR506" s="200"/>
      <c r="AS506" s="200"/>
      <c r="AT506" s="200"/>
      <c r="AU506" s="200"/>
      <c r="AV506" s="200"/>
      <c r="AW506" s="200"/>
      <c r="AX506" s="200"/>
      <c r="AY506" s="200"/>
      <c r="AZ506" s="200"/>
      <c r="BA506" s="200"/>
      <c r="BB506" s="200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</row>
    <row r="507" spans="1:71" ht="13.8">
      <c r="A507" s="1"/>
      <c r="B507" s="1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  <c r="AH507" s="200"/>
      <c r="AI507" s="200"/>
      <c r="AJ507" s="200"/>
      <c r="AK507" s="200"/>
      <c r="AL507" s="200"/>
      <c r="AM507" s="200"/>
      <c r="AN507" s="200"/>
      <c r="AO507" s="200"/>
      <c r="AP507" s="200"/>
      <c r="AQ507" s="200"/>
      <c r="AR507" s="200"/>
      <c r="AS507" s="200"/>
      <c r="AT507" s="200"/>
      <c r="AU507" s="200"/>
      <c r="AV507" s="200"/>
      <c r="AW507" s="200"/>
      <c r="AX507" s="200"/>
      <c r="AY507" s="200"/>
      <c r="AZ507" s="200"/>
      <c r="BA507" s="200"/>
      <c r="BB507" s="200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</row>
    <row r="508" spans="1:71" ht="13.8">
      <c r="A508" s="1"/>
      <c r="B508" s="1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  <c r="AH508" s="200"/>
      <c r="AI508" s="200"/>
      <c r="AJ508" s="200"/>
      <c r="AK508" s="200"/>
      <c r="AL508" s="200"/>
      <c r="AM508" s="200"/>
      <c r="AN508" s="200"/>
      <c r="AO508" s="200"/>
      <c r="AP508" s="200"/>
      <c r="AQ508" s="200"/>
      <c r="AR508" s="200"/>
      <c r="AS508" s="200"/>
      <c r="AT508" s="200"/>
      <c r="AU508" s="200"/>
      <c r="AV508" s="200"/>
      <c r="AW508" s="200"/>
      <c r="AX508" s="200"/>
      <c r="AY508" s="200"/>
      <c r="AZ508" s="200"/>
      <c r="BA508" s="200"/>
      <c r="BB508" s="200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</row>
    <row r="509" spans="1:71" ht="13.8">
      <c r="A509" s="1"/>
      <c r="B509" s="1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  <c r="AH509" s="200"/>
      <c r="AI509" s="200"/>
      <c r="AJ509" s="200"/>
      <c r="AK509" s="200"/>
      <c r="AL509" s="200"/>
      <c r="AM509" s="200"/>
      <c r="AN509" s="200"/>
      <c r="AO509" s="200"/>
      <c r="AP509" s="200"/>
      <c r="AQ509" s="200"/>
      <c r="AR509" s="200"/>
      <c r="AS509" s="200"/>
      <c r="AT509" s="200"/>
      <c r="AU509" s="200"/>
      <c r="AV509" s="200"/>
      <c r="AW509" s="200"/>
      <c r="AX509" s="200"/>
      <c r="AY509" s="200"/>
      <c r="AZ509" s="200"/>
      <c r="BA509" s="200"/>
      <c r="BB509" s="200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</row>
    <row r="510" spans="1:71" ht="13.8">
      <c r="A510" s="1"/>
      <c r="B510" s="1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  <c r="AH510" s="200"/>
      <c r="AI510" s="200"/>
      <c r="AJ510" s="200"/>
      <c r="AK510" s="200"/>
      <c r="AL510" s="200"/>
      <c r="AM510" s="200"/>
      <c r="AN510" s="200"/>
      <c r="AO510" s="200"/>
      <c r="AP510" s="200"/>
      <c r="AQ510" s="200"/>
      <c r="AR510" s="200"/>
      <c r="AS510" s="200"/>
      <c r="AT510" s="200"/>
      <c r="AU510" s="200"/>
      <c r="AV510" s="200"/>
      <c r="AW510" s="200"/>
      <c r="AX510" s="200"/>
      <c r="AY510" s="200"/>
      <c r="AZ510" s="200"/>
      <c r="BA510" s="200"/>
      <c r="BB510" s="200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</row>
    <row r="511" spans="1:71" ht="13.8">
      <c r="A511" s="1"/>
      <c r="B511" s="1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  <c r="AI511" s="200"/>
      <c r="AJ511" s="200"/>
      <c r="AK511" s="200"/>
      <c r="AL511" s="200"/>
      <c r="AM511" s="200"/>
      <c r="AN511" s="200"/>
      <c r="AO511" s="200"/>
      <c r="AP511" s="200"/>
      <c r="AQ511" s="200"/>
      <c r="AR511" s="200"/>
      <c r="AS511" s="200"/>
      <c r="AT511" s="200"/>
      <c r="AU511" s="200"/>
      <c r="AV511" s="200"/>
      <c r="AW511" s="200"/>
      <c r="AX511" s="200"/>
      <c r="AY511" s="200"/>
      <c r="AZ511" s="200"/>
      <c r="BA511" s="200"/>
      <c r="BB511" s="200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</row>
    <row r="512" spans="1:71" ht="13.8">
      <c r="A512" s="1"/>
      <c r="B512" s="1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  <c r="AH512" s="200"/>
      <c r="AI512" s="200"/>
      <c r="AJ512" s="200"/>
      <c r="AK512" s="200"/>
      <c r="AL512" s="200"/>
      <c r="AM512" s="200"/>
      <c r="AN512" s="200"/>
      <c r="AO512" s="200"/>
      <c r="AP512" s="200"/>
      <c r="AQ512" s="200"/>
      <c r="AR512" s="200"/>
      <c r="AS512" s="200"/>
      <c r="AT512" s="200"/>
      <c r="AU512" s="200"/>
      <c r="AV512" s="200"/>
      <c r="AW512" s="200"/>
      <c r="AX512" s="200"/>
      <c r="AY512" s="200"/>
      <c r="AZ512" s="200"/>
      <c r="BA512" s="200"/>
      <c r="BB512" s="200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</row>
    <row r="513" spans="1:71" ht="13.8">
      <c r="A513" s="1"/>
      <c r="B513" s="1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  <c r="AH513" s="200"/>
      <c r="AI513" s="200"/>
      <c r="AJ513" s="200"/>
      <c r="AK513" s="200"/>
      <c r="AL513" s="200"/>
      <c r="AM513" s="200"/>
      <c r="AN513" s="200"/>
      <c r="AO513" s="200"/>
      <c r="AP513" s="200"/>
      <c r="AQ513" s="200"/>
      <c r="AR513" s="200"/>
      <c r="AS513" s="200"/>
      <c r="AT513" s="200"/>
      <c r="AU513" s="200"/>
      <c r="AV513" s="200"/>
      <c r="AW513" s="200"/>
      <c r="AX513" s="200"/>
      <c r="AY513" s="200"/>
      <c r="AZ513" s="200"/>
      <c r="BA513" s="200"/>
      <c r="BB513" s="200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</row>
    <row r="514" spans="1:71" ht="13.8">
      <c r="A514" s="1"/>
      <c r="B514" s="1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  <c r="AK514" s="200"/>
      <c r="AL514" s="200"/>
      <c r="AM514" s="200"/>
      <c r="AN514" s="200"/>
      <c r="AO514" s="200"/>
      <c r="AP514" s="200"/>
      <c r="AQ514" s="200"/>
      <c r="AR514" s="200"/>
      <c r="AS514" s="200"/>
      <c r="AT514" s="200"/>
      <c r="AU514" s="200"/>
      <c r="AV514" s="200"/>
      <c r="AW514" s="200"/>
      <c r="AX514" s="200"/>
      <c r="AY514" s="200"/>
      <c r="AZ514" s="200"/>
      <c r="BA514" s="200"/>
      <c r="BB514" s="200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</row>
    <row r="515" spans="1:71" ht="13.8">
      <c r="A515" s="1"/>
      <c r="B515" s="1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200"/>
      <c r="AI515" s="200"/>
      <c r="AJ515" s="200"/>
      <c r="AK515" s="200"/>
      <c r="AL515" s="200"/>
      <c r="AM515" s="200"/>
      <c r="AN515" s="200"/>
      <c r="AO515" s="200"/>
      <c r="AP515" s="200"/>
      <c r="AQ515" s="200"/>
      <c r="AR515" s="200"/>
      <c r="AS515" s="200"/>
      <c r="AT515" s="200"/>
      <c r="AU515" s="200"/>
      <c r="AV515" s="200"/>
      <c r="AW515" s="200"/>
      <c r="AX515" s="200"/>
      <c r="AY515" s="200"/>
      <c r="AZ515" s="200"/>
      <c r="BA515" s="200"/>
      <c r="BB515" s="200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</row>
    <row r="516" spans="1:71" ht="13.8">
      <c r="A516" s="1"/>
      <c r="B516" s="1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  <c r="AH516" s="200"/>
      <c r="AI516" s="200"/>
      <c r="AJ516" s="200"/>
      <c r="AK516" s="200"/>
      <c r="AL516" s="200"/>
      <c r="AM516" s="200"/>
      <c r="AN516" s="200"/>
      <c r="AO516" s="200"/>
      <c r="AP516" s="200"/>
      <c r="AQ516" s="200"/>
      <c r="AR516" s="200"/>
      <c r="AS516" s="200"/>
      <c r="AT516" s="200"/>
      <c r="AU516" s="200"/>
      <c r="AV516" s="200"/>
      <c r="AW516" s="200"/>
      <c r="AX516" s="200"/>
      <c r="AY516" s="200"/>
      <c r="AZ516" s="200"/>
      <c r="BA516" s="200"/>
      <c r="BB516" s="200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</row>
    <row r="517" spans="1:71" ht="13.8">
      <c r="A517" s="1"/>
      <c r="B517" s="1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  <c r="AH517" s="200"/>
      <c r="AI517" s="200"/>
      <c r="AJ517" s="200"/>
      <c r="AK517" s="200"/>
      <c r="AL517" s="200"/>
      <c r="AM517" s="200"/>
      <c r="AN517" s="200"/>
      <c r="AO517" s="200"/>
      <c r="AP517" s="200"/>
      <c r="AQ517" s="200"/>
      <c r="AR517" s="200"/>
      <c r="AS517" s="200"/>
      <c r="AT517" s="200"/>
      <c r="AU517" s="200"/>
      <c r="AV517" s="200"/>
      <c r="AW517" s="200"/>
      <c r="AX517" s="200"/>
      <c r="AY517" s="200"/>
      <c r="AZ517" s="200"/>
      <c r="BA517" s="200"/>
      <c r="BB517" s="200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</row>
    <row r="518" spans="1:71" ht="13.8">
      <c r="A518" s="1"/>
      <c r="B518" s="1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0"/>
      <c r="AK518" s="200"/>
      <c r="AL518" s="200"/>
      <c r="AM518" s="200"/>
      <c r="AN518" s="200"/>
      <c r="AO518" s="200"/>
      <c r="AP518" s="200"/>
      <c r="AQ518" s="200"/>
      <c r="AR518" s="200"/>
      <c r="AS518" s="200"/>
      <c r="AT518" s="200"/>
      <c r="AU518" s="200"/>
      <c r="AV518" s="200"/>
      <c r="AW518" s="200"/>
      <c r="AX518" s="200"/>
      <c r="AY518" s="200"/>
      <c r="AZ518" s="200"/>
      <c r="BA518" s="200"/>
      <c r="BB518" s="200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</row>
    <row r="519" spans="1:71" ht="13.8">
      <c r="A519" s="1"/>
      <c r="B519" s="1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0"/>
      <c r="AK519" s="200"/>
      <c r="AL519" s="200"/>
      <c r="AM519" s="200"/>
      <c r="AN519" s="200"/>
      <c r="AO519" s="200"/>
      <c r="AP519" s="200"/>
      <c r="AQ519" s="200"/>
      <c r="AR519" s="200"/>
      <c r="AS519" s="200"/>
      <c r="AT519" s="200"/>
      <c r="AU519" s="200"/>
      <c r="AV519" s="200"/>
      <c r="AW519" s="200"/>
      <c r="AX519" s="200"/>
      <c r="AY519" s="200"/>
      <c r="AZ519" s="200"/>
      <c r="BA519" s="200"/>
      <c r="BB519" s="200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</row>
    <row r="520" spans="1:71" ht="13.8">
      <c r="A520" s="1"/>
      <c r="B520" s="1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  <c r="AH520" s="200"/>
      <c r="AI520" s="200"/>
      <c r="AJ520" s="200"/>
      <c r="AK520" s="200"/>
      <c r="AL520" s="200"/>
      <c r="AM520" s="200"/>
      <c r="AN520" s="200"/>
      <c r="AO520" s="200"/>
      <c r="AP520" s="200"/>
      <c r="AQ520" s="200"/>
      <c r="AR520" s="200"/>
      <c r="AS520" s="200"/>
      <c r="AT520" s="200"/>
      <c r="AU520" s="200"/>
      <c r="AV520" s="200"/>
      <c r="AW520" s="200"/>
      <c r="AX520" s="200"/>
      <c r="AY520" s="200"/>
      <c r="AZ520" s="200"/>
      <c r="BA520" s="200"/>
      <c r="BB520" s="200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</row>
    <row r="521" spans="1:71" ht="13.8">
      <c r="A521" s="1"/>
      <c r="B521" s="1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  <c r="AH521" s="200"/>
      <c r="AI521" s="200"/>
      <c r="AJ521" s="200"/>
      <c r="AK521" s="200"/>
      <c r="AL521" s="200"/>
      <c r="AM521" s="200"/>
      <c r="AN521" s="200"/>
      <c r="AO521" s="200"/>
      <c r="AP521" s="200"/>
      <c r="AQ521" s="200"/>
      <c r="AR521" s="200"/>
      <c r="AS521" s="200"/>
      <c r="AT521" s="200"/>
      <c r="AU521" s="200"/>
      <c r="AV521" s="200"/>
      <c r="AW521" s="200"/>
      <c r="AX521" s="200"/>
      <c r="AY521" s="200"/>
      <c r="AZ521" s="200"/>
      <c r="BA521" s="200"/>
      <c r="BB521" s="200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</row>
    <row r="522" spans="1:71" ht="13.8">
      <c r="A522" s="1"/>
      <c r="B522" s="1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  <c r="AK522" s="200"/>
      <c r="AL522" s="200"/>
      <c r="AM522" s="200"/>
      <c r="AN522" s="200"/>
      <c r="AO522" s="200"/>
      <c r="AP522" s="200"/>
      <c r="AQ522" s="200"/>
      <c r="AR522" s="200"/>
      <c r="AS522" s="200"/>
      <c r="AT522" s="200"/>
      <c r="AU522" s="200"/>
      <c r="AV522" s="200"/>
      <c r="AW522" s="200"/>
      <c r="AX522" s="200"/>
      <c r="AY522" s="200"/>
      <c r="AZ522" s="200"/>
      <c r="BA522" s="200"/>
      <c r="BB522" s="200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</row>
    <row r="523" spans="1:71" ht="13.8">
      <c r="A523" s="1"/>
      <c r="B523" s="1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  <c r="AH523" s="200"/>
      <c r="AI523" s="200"/>
      <c r="AJ523" s="200"/>
      <c r="AK523" s="200"/>
      <c r="AL523" s="200"/>
      <c r="AM523" s="200"/>
      <c r="AN523" s="200"/>
      <c r="AO523" s="200"/>
      <c r="AP523" s="200"/>
      <c r="AQ523" s="200"/>
      <c r="AR523" s="200"/>
      <c r="AS523" s="200"/>
      <c r="AT523" s="200"/>
      <c r="AU523" s="200"/>
      <c r="AV523" s="200"/>
      <c r="AW523" s="200"/>
      <c r="AX523" s="200"/>
      <c r="AY523" s="200"/>
      <c r="AZ523" s="200"/>
      <c r="BA523" s="200"/>
      <c r="BB523" s="200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</row>
    <row r="524" spans="1:71" ht="13.8">
      <c r="A524" s="1"/>
      <c r="B524" s="1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  <c r="AH524" s="200"/>
      <c r="AI524" s="200"/>
      <c r="AJ524" s="200"/>
      <c r="AK524" s="200"/>
      <c r="AL524" s="200"/>
      <c r="AM524" s="200"/>
      <c r="AN524" s="200"/>
      <c r="AO524" s="200"/>
      <c r="AP524" s="200"/>
      <c r="AQ524" s="200"/>
      <c r="AR524" s="200"/>
      <c r="AS524" s="200"/>
      <c r="AT524" s="200"/>
      <c r="AU524" s="200"/>
      <c r="AV524" s="200"/>
      <c r="AW524" s="200"/>
      <c r="AX524" s="200"/>
      <c r="AY524" s="200"/>
      <c r="AZ524" s="200"/>
      <c r="BA524" s="200"/>
      <c r="BB524" s="200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</row>
    <row r="525" spans="1:71" ht="13.8">
      <c r="A525" s="1"/>
      <c r="B525" s="1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0"/>
      <c r="AK525" s="200"/>
      <c r="AL525" s="200"/>
      <c r="AM525" s="200"/>
      <c r="AN525" s="200"/>
      <c r="AO525" s="200"/>
      <c r="AP525" s="200"/>
      <c r="AQ525" s="200"/>
      <c r="AR525" s="200"/>
      <c r="AS525" s="200"/>
      <c r="AT525" s="200"/>
      <c r="AU525" s="200"/>
      <c r="AV525" s="200"/>
      <c r="AW525" s="200"/>
      <c r="AX525" s="200"/>
      <c r="AY525" s="200"/>
      <c r="AZ525" s="200"/>
      <c r="BA525" s="200"/>
      <c r="BB525" s="200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</row>
    <row r="526" spans="1:71" ht="13.8">
      <c r="A526" s="1"/>
      <c r="B526" s="1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  <c r="AH526" s="200"/>
      <c r="AI526" s="200"/>
      <c r="AJ526" s="200"/>
      <c r="AK526" s="200"/>
      <c r="AL526" s="200"/>
      <c r="AM526" s="200"/>
      <c r="AN526" s="200"/>
      <c r="AO526" s="200"/>
      <c r="AP526" s="200"/>
      <c r="AQ526" s="200"/>
      <c r="AR526" s="200"/>
      <c r="AS526" s="200"/>
      <c r="AT526" s="200"/>
      <c r="AU526" s="200"/>
      <c r="AV526" s="200"/>
      <c r="AW526" s="200"/>
      <c r="AX526" s="200"/>
      <c r="AY526" s="200"/>
      <c r="AZ526" s="200"/>
      <c r="BA526" s="200"/>
      <c r="BB526" s="200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</row>
    <row r="527" spans="1:71" ht="13.8">
      <c r="A527" s="1"/>
      <c r="B527" s="1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  <c r="AH527" s="200"/>
      <c r="AI527" s="200"/>
      <c r="AJ527" s="200"/>
      <c r="AK527" s="200"/>
      <c r="AL527" s="200"/>
      <c r="AM527" s="200"/>
      <c r="AN527" s="200"/>
      <c r="AO527" s="200"/>
      <c r="AP527" s="200"/>
      <c r="AQ527" s="200"/>
      <c r="AR527" s="200"/>
      <c r="AS527" s="200"/>
      <c r="AT527" s="200"/>
      <c r="AU527" s="200"/>
      <c r="AV527" s="200"/>
      <c r="AW527" s="200"/>
      <c r="AX527" s="200"/>
      <c r="AY527" s="200"/>
      <c r="AZ527" s="200"/>
      <c r="BA527" s="200"/>
      <c r="BB527" s="200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</row>
    <row r="528" spans="1:71" ht="13.8">
      <c r="A528" s="1"/>
      <c r="B528" s="1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  <c r="AH528" s="200"/>
      <c r="AI528" s="200"/>
      <c r="AJ528" s="200"/>
      <c r="AK528" s="200"/>
      <c r="AL528" s="200"/>
      <c r="AM528" s="200"/>
      <c r="AN528" s="200"/>
      <c r="AO528" s="200"/>
      <c r="AP528" s="200"/>
      <c r="AQ528" s="200"/>
      <c r="AR528" s="200"/>
      <c r="AS528" s="200"/>
      <c r="AT528" s="200"/>
      <c r="AU528" s="200"/>
      <c r="AV528" s="200"/>
      <c r="AW528" s="200"/>
      <c r="AX528" s="200"/>
      <c r="AY528" s="200"/>
      <c r="AZ528" s="200"/>
      <c r="BA528" s="200"/>
      <c r="BB528" s="200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</row>
    <row r="529" spans="1:71" ht="13.8">
      <c r="A529" s="1"/>
      <c r="B529" s="1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  <c r="AH529" s="200"/>
      <c r="AI529" s="200"/>
      <c r="AJ529" s="200"/>
      <c r="AK529" s="200"/>
      <c r="AL529" s="200"/>
      <c r="AM529" s="200"/>
      <c r="AN529" s="200"/>
      <c r="AO529" s="200"/>
      <c r="AP529" s="200"/>
      <c r="AQ529" s="200"/>
      <c r="AR529" s="200"/>
      <c r="AS529" s="200"/>
      <c r="AT529" s="200"/>
      <c r="AU529" s="200"/>
      <c r="AV529" s="200"/>
      <c r="AW529" s="200"/>
      <c r="AX529" s="200"/>
      <c r="AY529" s="200"/>
      <c r="AZ529" s="200"/>
      <c r="BA529" s="200"/>
      <c r="BB529" s="200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</row>
    <row r="530" spans="1:71" ht="13.8">
      <c r="A530" s="1"/>
      <c r="B530" s="1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0"/>
      <c r="AK530" s="200"/>
      <c r="AL530" s="200"/>
      <c r="AM530" s="200"/>
      <c r="AN530" s="200"/>
      <c r="AO530" s="200"/>
      <c r="AP530" s="200"/>
      <c r="AQ530" s="200"/>
      <c r="AR530" s="200"/>
      <c r="AS530" s="200"/>
      <c r="AT530" s="200"/>
      <c r="AU530" s="200"/>
      <c r="AV530" s="200"/>
      <c r="AW530" s="200"/>
      <c r="AX530" s="200"/>
      <c r="AY530" s="200"/>
      <c r="AZ530" s="200"/>
      <c r="BA530" s="200"/>
      <c r="BB530" s="200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</row>
    <row r="531" spans="1:71" ht="13.8">
      <c r="A531" s="1"/>
      <c r="B531" s="1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  <c r="AH531" s="200"/>
      <c r="AI531" s="200"/>
      <c r="AJ531" s="200"/>
      <c r="AK531" s="200"/>
      <c r="AL531" s="200"/>
      <c r="AM531" s="200"/>
      <c r="AN531" s="200"/>
      <c r="AO531" s="200"/>
      <c r="AP531" s="200"/>
      <c r="AQ531" s="200"/>
      <c r="AR531" s="200"/>
      <c r="AS531" s="200"/>
      <c r="AT531" s="200"/>
      <c r="AU531" s="200"/>
      <c r="AV531" s="200"/>
      <c r="AW531" s="200"/>
      <c r="AX531" s="200"/>
      <c r="AY531" s="200"/>
      <c r="AZ531" s="200"/>
      <c r="BA531" s="200"/>
      <c r="BB531" s="200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</row>
    <row r="532" spans="1:71" ht="13.8">
      <c r="A532" s="1"/>
      <c r="B532" s="1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  <c r="AH532" s="200"/>
      <c r="AI532" s="200"/>
      <c r="AJ532" s="200"/>
      <c r="AK532" s="200"/>
      <c r="AL532" s="200"/>
      <c r="AM532" s="200"/>
      <c r="AN532" s="200"/>
      <c r="AO532" s="200"/>
      <c r="AP532" s="200"/>
      <c r="AQ532" s="200"/>
      <c r="AR532" s="200"/>
      <c r="AS532" s="200"/>
      <c r="AT532" s="200"/>
      <c r="AU532" s="200"/>
      <c r="AV532" s="200"/>
      <c r="AW532" s="200"/>
      <c r="AX532" s="200"/>
      <c r="AY532" s="200"/>
      <c r="AZ532" s="200"/>
      <c r="BA532" s="200"/>
      <c r="BB532" s="200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</row>
    <row r="533" spans="1:71" ht="13.8">
      <c r="A533" s="1"/>
      <c r="B533" s="1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  <c r="AH533" s="200"/>
      <c r="AI533" s="200"/>
      <c r="AJ533" s="200"/>
      <c r="AK533" s="200"/>
      <c r="AL533" s="200"/>
      <c r="AM533" s="200"/>
      <c r="AN533" s="200"/>
      <c r="AO533" s="200"/>
      <c r="AP533" s="200"/>
      <c r="AQ533" s="200"/>
      <c r="AR533" s="200"/>
      <c r="AS533" s="200"/>
      <c r="AT533" s="200"/>
      <c r="AU533" s="200"/>
      <c r="AV533" s="200"/>
      <c r="AW533" s="200"/>
      <c r="AX533" s="200"/>
      <c r="AY533" s="200"/>
      <c r="AZ533" s="200"/>
      <c r="BA533" s="200"/>
      <c r="BB533" s="200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</row>
    <row r="534" spans="1:71" ht="13.8">
      <c r="A534" s="1"/>
      <c r="B534" s="1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  <c r="AH534" s="200"/>
      <c r="AI534" s="200"/>
      <c r="AJ534" s="200"/>
      <c r="AK534" s="200"/>
      <c r="AL534" s="200"/>
      <c r="AM534" s="200"/>
      <c r="AN534" s="200"/>
      <c r="AO534" s="200"/>
      <c r="AP534" s="200"/>
      <c r="AQ534" s="200"/>
      <c r="AR534" s="200"/>
      <c r="AS534" s="200"/>
      <c r="AT534" s="200"/>
      <c r="AU534" s="200"/>
      <c r="AV534" s="200"/>
      <c r="AW534" s="200"/>
      <c r="AX534" s="200"/>
      <c r="AY534" s="200"/>
      <c r="AZ534" s="200"/>
      <c r="BA534" s="200"/>
      <c r="BB534" s="200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</row>
    <row r="535" spans="1:71" ht="13.8">
      <c r="A535" s="1"/>
      <c r="B535" s="1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  <c r="AH535" s="200"/>
      <c r="AI535" s="200"/>
      <c r="AJ535" s="200"/>
      <c r="AK535" s="200"/>
      <c r="AL535" s="200"/>
      <c r="AM535" s="200"/>
      <c r="AN535" s="200"/>
      <c r="AO535" s="200"/>
      <c r="AP535" s="200"/>
      <c r="AQ535" s="200"/>
      <c r="AR535" s="200"/>
      <c r="AS535" s="200"/>
      <c r="AT535" s="200"/>
      <c r="AU535" s="200"/>
      <c r="AV535" s="200"/>
      <c r="AW535" s="200"/>
      <c r="AX535" s="200"/>
      <c r="AY535" s="200"/>
      <c r="AZ535" s="200"/>
      <c r="BA535" s="200"/>
      <c r="BB535" s="200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</row>
    <row r="536" spans="1:71" ht="13.8">
      <c r="A536" s="1"/>
      <c r="B536" s="1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  <c r="AH536" s="200"/>
      <c r="AI536" s="200"/>
      <c r="AJ536" s="200"/>
      <c r="AK536" s="200"/>
      <c r="AL536" s="200"/>
      <c r="AM536" s="200"/>
      <c r="AN536" s="200"/>
      <c r="AO536" s="200"/>
      <c r="AP536" s="200"/>
      <c r="AQ536" s="200"/>
      <c r="AR536" s="200"/>
      <c r="AS536" s="200"/>
      <c r="AT536" s="200"/>
      <c r="AU536" s="200"/>
      <c r="AV536" s="200"/>
      <c r="AW536" s="200"/>
      <c r="AX536" s="200"/>
      <c r="AY536" s="200"/>
      <c r="AZ536" s="200"/>
      <c r="BA536" s="200"/>
      <c r="BB536" s="200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</row>
    <row r="537" spans="1:71" ht="13.8">
      <c r="A537" s="1"/>
      <c r="B537" s="1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  <c r="AH537" s="200"/>
      <c r="AI537" s="200"/>
      <c r="AJ537" s="200"/>
      <c r="AK537" s="200"/>
      <c r="AL537" s="200"/>
      <c r="AM537" s="200"/>
      <c r="AN537" s="200"/>
      <c r="AO537" s="200"/>
      <c r="AP537" s="200"/>
      <c r="AQ537" s="200"/>
      <c r="AR537" s="200"/>
      <c r="AS537" s="200"/>
      <c r="AT537" s="200"/>
      <c r="AU537" s="200"/>
      <c r="AV537" s="200"/>
      <c r="AW537" s="200"/>
      <c r="AX537" s="200"/>
      <c r="AY537" s="200"/>
      <c r="AZ537" s="200"/>
      <c r="BA537" s="200"/>
      <c r="BB537" s="200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</row>
    <row r="538" spans="1:71" ht="13.8">
      <c r="A538" s="1"/>
      <c r="B538" s="1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0"/>
      <c r="AK538" s="200"/>
      <c r="AL538" s="200"/>
      <c r="AM538" s="200"/>
      <c r="AN538" s="200"/>
      <c r="AO538" s="200"/>
      <c r="AP538" s="200"/>
      <c r="AQ538" s="200"/>
      <c r="AR538" s="200"/>
      <c r="AS538" s="200"/>
      <c r="AT538" s="200"/>
      <c r="AU538" s="200"/>
      <c r="AV538" s="200"/>
      <c r="AW538" s="200"/>
      <c r="AX538" s="200"/>
      <c r="AY538" s="200"/>
      <c r="AZ538" s="200"/>
      <c r="BA538" s="200"/>
      <c r="BB538" s="200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</row>
    <row r="539" spans="1:71" ht="13.8">
      <c r="A539" s="1"/>
      <c r="B539" s="1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0"/>
      <c r="AK539" s="200"/>
      <c r="AL539" s="200"/>
      <c r="AM539" s="200"/>
      <c r="AN539" s="200"/>
      <c r="AO539" s="200"/>
      <c r="AP539" s="200"/>
      <c r="AQ539" s="200"/>
      <c r="AR539" s="200"/>
      <c r="AS539" s="200"/>
      <c r="AT539" s="200"/>
      <c r="AU539" s="200"/>
      <c r="AV539" s="200"/>
      <c r="AW539" s="200"/>
      <c r="AX539" s="200"/>
      <c r="AY539" s="200"/>
      <c r="AZ539" s="200"/>
      <c r="BA539" s="200"/>
      <c r="BB539" s="200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</row>
    <row r="540" spans="1:71" ht="13.8">
      <c r="A540" s="1"/>
      <c r="B540" s="1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  <c r="AH540" s="200"/>
      <c r="AI540" s="200"/>
      <c r="AJ540" s="200"/>
      <c r="AK540" s="200"/>
      <c r="AL540" s="200"/>
      <c r="AM540" s="200"/>
      <c r="AN540" s="200"/>
      <c r="AO540" s="200"/>
      <c r="AP540" s="200"/>
      <c r="AQ540" s="200"/>
      <c r="AR540" s="200"/>
      <c r="AS540" s="200"/>
      <c r="AT540" s="200"/>
      <c r="AU540" s="200"/>
      <c r="AV540" s="200"/>
      <c r="AW540" s="200"/>
      <c r="AX540" s="200"/>
      <c r="AY540" s="200"/>
      <c r="AZ540" s="200"/>
      <c r="BA540" s="200"/>
      <c r="BB540" s="200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</row>
    <row r="541" spans="1:71" ht="13.8">
      <c r="A541" s="1"/>
      <c r="B541" s="1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  <c r="AH541" s="200"/>
      <c r="AI541" s="200"/>
      <c r="AJ541" s="200"/>
      <c r="AK541" s="200"/>
      <c r="AL541" s="200"/>
      <c r="AM541" s="200"/>
      <c r="AN541" s="200"/>
      <c r="AO541" s="200"/>
      <c r="AP541" s="200"/>
      <c r="AQ541" s="200"/>
      <c r="AR541" s="200"/>
      <c r="AS541" s="200"/>
      <c r="AT541" s="200"/>
      <c r="AU541" s="200"/>
      <c r="AV541" s="200"/>
      <c r="AW541" s="200"/>
      <c r="AX541" s="200"/>
      <c r="AY541" s="200"/>
      <c r="AZ541" s="200"/>
      <c r="BA541" s="200"/>
      <c r="BB541" s="200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</row>
    <row r="542" spans="1:71" ht="13.8">
      <c r="A542" s="1"/>
      <c r="B542" s="1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  <c r="AH542" s="200"/>
      <c r="AI542" s="200"/>
      <c r="AJ542" s="200"/>
      <c r="AK542" s="200"/>
      <c r="AL542" s="200"/>
      <c r="AM542" s="200"/>
      <c r="AN542" s="200"/>
      <c r="AO542" s="200"/>
      <c r="AP542" s="200"/>
      <c r="AQ542" s="200"/>
      <c r="AR542" s="200"/>
      <c r="AS542" s="200"/>
      <c r="AT542" s="200"/>
      <c r="AU542" s="200"/>
      <c r="AV542" s="200"/>
      <c r="AW542" s="200"/>
      <c r="AX542" s="200"/>
      <c r="AY542" s="200"/>
      <c r="AZ542" s="200"/>
      <c r="BA542" s="200"/>
      <c r="BB542" s="200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</row>
    <row r="543" spans="1:71" ht="13.8">
      <c r="A543" s="1"/>
      <c r="B543" s="1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  <c r="AH543" s="200"/>
      <c r="AI543" s="200"/>
      <c r="AJ543" s="200"/>
      <c r="AK543" s="200"/>
      <c r="AL543" s="200"/>
      <c r="AM543" s="200"/>
      <c r="AN543" s="200"/>
      <c r="AO543" s="200"/>
      <c r="AP543" s="200"/>
      <c r="AQ543" s="200"/>
      <c r="AR543" s="200"/>
      <c r="AS543" s="200"/>
      <c r="AT543" s="200"/>
      <c r="AU543" s="200"/>
      <c r="AV543" s="200"/>
      <c r="AW543" s="200"/>
      <c r="AX543" s="200"/>
      <c r="AY543" s="200"/>
      <c r="AZ543" s="200"/>
      <c r="BA543" s="200"/>
      <c r="BB543" s="200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</row>
    <row r="544" spans="1:71" ht="13.8">
      <c r="A544" s="1"/>
      <c r="B544" s="1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  <c r="AH544" s="200"/>
      <c r="AI544" s="200"/>
      <c r="AJ544" s="200"/>
      <c r="AK544" s="200"/>
      <c r="AL544" s="200"/>
      <c r="AM544" s="200"/>
      <c r="AN544" s="200"/>
      <c r="AO544" s="200"/>
      <c r="AP544" s="200"/>
      <c r="AQ544" s="200"/>
      <c r="AR544" s="200"/>
      <c r="AS544" s="200"/>
      <c r="AT544" s="200"/>
      <c r="AU544" s="200"/>
      <c r="AV544" s="200"/>
      <c r="AW544" s="200"/>
      <c r="AX544" s="200"/>
      <c r="AY544" s="200"/>
      <c r="AZ544" s="200"/>
      <c r="BA544" s="200"/>
      <c r="BB544" s="200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</row>
    <row r="545" spans="1:71" ht="13.8">
      <c r="A545" s="1"/>
      <c r="B545" s="1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  <c r="AH545" s="200"/>
      <c r="AI545" s="200"/>
      <c r="AJ545" s="200"/>
      <c r="AK545" s="200"/>
      <c r="AL545" s="200"/>
      <c r="AM545" s="200"/>
      <c r="AN545" s="200"/>
      <c r="AO545" s="200"/>
      <c r="AP545" s="200"/>
      <c r="AQ545" s="200"/>
      <c r="AR545" s="200"/>
      <c r="AS545" s="200"/>
      <c r="AT545" s="200"/>
      <c r="AU545" s="200"/>
      <c r="AV545" s="200"/>
      <c r="AW545" s="200"/>
      <c r="AX545" s="200"/>
      <c r="AY545" s="200"/>
      <c r="AZ545" s="200"/>
      <c r="BA545" s="200"/>
      <c r="BB545" s="200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</row>
    <row r="546" spans="1:71" ht="13.8">
      <c r="A546" s="1"/>
      <c r="B546" s="1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  <c r="AK546" s="200"/>
      <c r="AL546" s="200"/>
      <c r="AM546" s="200"/>
      <c r="AN546" s="200"/>
      <c r="AO546" s="200"/>
      <c r="AP546" s="200"/>
      <c r="AQ546" s="200"/>
      <c r="AR546" s="200"/>
      <c r="AS546" s="200"/>
      <c r="AT546" s="200"/>
      <c r="AU546" s="200"/>
      <c r="AV546" s="200"/>
      <c r="AW546" s="200"/>
      <c r="AX546" s="200"/>
      <c r="AY546" s="200"/>
      <c r="AZ546" s="200"/>
      <c r="BA546" s="200"/>
      <c r="BB546" s="200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</row>
    <row r="547" spans="1:71" ht="13.8">
      <c r="A547" s="1"/>
      <c r="B547" s="1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  <c r="AH547" s="200"/>
      <c r="AI547" s="200"/>
      <c r="AJ547" s="200"/>
      <c r="AK547" s="200"/>
      <c r="AL547" s="200"/>
      <c r="AM547" s="200"/>
      <c r="AN547" s="200"/>
      <c r="AO547" s="200"/>
      <c r="AP547" s="200"/>
      <c r="AQ547" s="200"/>
      <c r="AR547" s="200"/>
      <c r="AS547" s="200"/>
      <c r="AT547" s="200"/>
      <c r="AU547" s="200"/>
      <c r="AV547" s="200"/>
      <c r="AW547" s="200"/>
      <c r="AX547" s="200"/>
      <c r="AY547" s="200"/>
      <c r="AZ547" s="200"/>
      <c r="BA547" s="200"/>
      <c r="BB547" s="200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</row>
    <row r="548" spans="1:71" ht="13.8">
      <c r="A548" s="1"/>
      <c r="B548" s="1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  <c r="AH548" s="200"/>
      <c r="AI548" s="200"/>
      <c r="AJ548" s="200"/>
      <c r="AK548" s="200"/>
      <c r="AL548" s="200"/>
      <c r="AM548" s="200"/>
      <c r="AN548" s="200"/>
      <c r="AO548" s="200"/>
      <c r="AP548" s="200"/>
      <c r="AQ548" s="200"/>
      <c r="AR548" s="200"/>
      <c r="AS548" s="200"/>
      <c r="AT548" s="200"/>
      <c r="AU548" s="200"/>
      <c r="AV548" s="200"/>
      <c r="AW548" s="200"/>
      <c r="AX548" s="200"/>
      <c r="AY548" s="200"/>
      <c r="AZ548" s="200"/>
      <c r="BA548" s="200"/>
      <c r="BB548" s="200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</row>
    <row r="549" spans="1:71" ht="13.8">
      <c r="A549" s="1"/>
      <c r="B549" s="1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  <c r="AH549" s="200"/>
      <c r="AI549" s="200"/>
      <c r="AJ549" s="200"/>
      <c r="AK549" s="200"/>
      <c r="AL549" s="200"/>
      <c r="AM549" s="200"/>
      <c r="AN549" s="200"/>
      <c r="AO549" s="200"/>
      <c r="AP549" s="200"/>
      <c r="AQ549" s="200"/>
      <c r="AR549" s="200"/>
      <c r="AS549" s="200"/>
      <c r="AT549" s="200"/>
      <c r="AU549" s="200"/>
      <c r="AV549" s="200"/>
      <c r="AW549" s="200"/>
      <c r="AX549" s="200"/>
      <c r="AY549" s="200"/>
      <c r="AZ549" s="200"/>
      <c r="BA549" s="200"/>
      <c r="BB549" s="200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</row>
    <row r="550" spans="1:71" ht="13.8">
      <c r="A550" s="1"/>
      <c r="B550" s="1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0"/>
      <c r="AK550" s="200"/>
      <c r="AL550" s="200"/>
      <c r="AM550" s="200"/>
      <c r="AN550" s="200"/>
      <c r="AO550" s="200"/>
      <c r="AP550" s="200"/>
      <c r="AQ550" s="200"/>
      <c r="AR550" s="200"/>
      <c r="AS550" s="200"/>
      <c r="AT550" s="200"/>
      <c r="AU550" s="200"/>
      <c r="AV550" s="200"/>
      <c r="AW550" s="200"/>
      <c r="AX550" s="200"/>
      <c r="AY550" s="200"/>
      <c r="AZ550" s="200"/>
      <c r="BA550" s="200"/>
      <c r="BB550" s="200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</row>
    <row r="551" spans="1:71" ht="13.8">
      <c r="A551" s="1"/>
      <c r="B551" s="1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  <c r="AH551" s="200"/>
      <c r="AI551" s="200"/>
      <c r="AJ551" s="200"/>
      <c r="AK551" s="200"/>
      <c r="AL551" s="200"/>
      <c r="AM551" s="200"/>
      <c r="AN551" s="200"/>
      <c r="AO551" s="200"/>
      <c r="AP551" s="200"/>
      <c r="AQ551" s="200"/>
      <c r="AR551" s="200"/>
      <c r="AS551" s="200"/>
      <c r="AT551" s="200"/>
      <c r="AU551" s="200"/>
      <c r="AV551" s="200"/>
      <c r="AW551" s="200"/>
      <c r="AX551" s="200"/>
      <c r="AY551" s="200"/>
      <c r="AZ551" s="200"/>
      <c r="BA551" s="200"/>
      <c r="BB551" s="200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</row>
    <row r="552" spans="1:71" ht="13.8">
      <c r="A552" s="1"/>
      <c r="B552" s="1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  <c r="AH552" s="200"/>
      <c r="AI552" s="200"/>
      <c r="AJ552" s="200"/>
      <c r="AK552" s="200"/>
      <c r="AL552" s="200"/>
      <c r="AM552" s="200"/>
      <c r="AN552" s="200"/>
      <c r="AO552" s="200"/>
      <c r="AP552" s="200"/>
      <c r="AQ552" s="200"/>
      <c r="AR552" s="200"/>
      <c r="AS552" s="200"/>
      <c r="AT552" s="200"/>
      <c r="AU552" s="200"/>
      <c r="AV552" s="200"/>
      <c r="AW552" s="200"/>
      <c r="AX552" s="200"/>
      <c r="AY552" s="200"/>
      <c r="AZ552" s="200"/>
      <c r="BA552" s="200"/>
      <c r="BB552" s="200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</row>
    <row r="553" spans="1:71" ht="13.8">
      <c r="A553" s="1"/>
      <c r="B553" s="1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0"/>
      <c r="AK553" s="200"/>
      <c r="AL553" s="200"/>
      <c r="AM553" s="200"/>
      <c r="AN553" s="200"/>
      <c r="AO553" s="200"/>
      <c r="AP553" s="200"/>
      <c r="AQ553" s="200"/>
      <c r="AR553" s="200"/>
      <c r="AS553" s="200"/>
      <c r="AT553" s="200"/>
      <c r="AU553" s="200"/>
      <c r="AV553" s="200"/>
      <c r="AW553" s="200"/>
      <c r="AX553" s="200"/>
      <c r="AY553" s="200"/>
      <c r="AZ553" s="200"/>
      <c r="BA553" s="200"/>
      <c r="BB553" s="200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</row>
    <row r="554" spans="1:71" ht="13.8">
      <c r="A554" s="1"/>
      <c r="B554" s="1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  <c r="AK554" s="200"/>
      <c r="AL554" s="200"/>
      <c r="AM554" s="200"/>
      <c r="AN554" s="200"/>
      <c r="AO554" s="200"/>
      <c r="AP554" s="200"/>
      <c r="AQ554" s="200"/>
      <c r="AR554" s="200"/>
      <c r="AS554" s="200"/>
      <c r="AT554" s="200"/>
      <c r="AU554" s="200"/>
      <c r="AV554" s="200"/>
      <c r="AW554" s="200"/>
      <c r="AX554" s="200"/>
      <c r="AY554" s="200"/>
      <c r="AZ554" s="200"/>
      <c r="BA554" s="200"/>
      <c r="BB554" s="200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</row>
    <row r="555" spans="1:71" ht="13.8">
      <c r="A555" s="1"/>
      <c r="B555" s="1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  <c r="AH555" s="200"/>
      <c r="AI555" s="200"/>
      <c r="AJ555" s="200"/>
      <c r="AK555" s="200"/>
      <c r="AL555" s="200"/>
      <c r="AM555" s="200"/>
      <c r="AN555" s="200"/>
      <c r="AO555" s="200"/>
      <c r="AP555" s="200"/>
      <c r="AQ555" s="200"/>
      <c r="AR555" s="200"/>
      <c r="AS555" s="200"/>
      <c r="AT555" s="200"/>
      <c r="AU555" s="200"/>
      <c r="AV555" s="200"/>
      <c r="AW555" s="200"/>
      <c r="AX555" s="200"/>
      <c r="AY555" s="200"/>
      <c r="AZ555" s="200"/>
      <c r="BA555" s="200"/>
      <c r="BB555" s="200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</row>
    <row r="556" spans="1:71" ht="13.8">
      <c r="A556" s="1"/>
      <c r="B556" s="1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  <c r="AH556" s="200"/>
      <c r="AI556" s="200"/>
      <c r="AJ556" s="200"/>
      <c r="AK556" s="200"/>
      <c r="AL556" s="200"/>
      <c r="AM556" s="200"/>
      <c r="AN556" s="200"/>
      <c r="AO556" s="200"/>
      <c r="AP556" s="200"/>
      <c r="AQ556" s="200"/>
      <c r="AR556" s="200"/>
      <c r="AS556" s="200"/>
      <c r="AT556" s="200"/>
      <c r="AU556" s="200"/>
      <c r="AV556" s="200"/>
      <c r="AW556" s="200"/>
      <c r="AX556" s="200"/>
      <c r="AY556" s="200"/>
      <c r="AZ556" s="200"/>
      <c r="BA556" s="200"/>
      <c r="BB556" s="200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</row>
    <row r="557" spans="1:71" ht="13.8">
      <c r="A557" s="1"/>
      <c r="B557" s="1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0"/>
      <c r="AK557" s="200"/>
      <c r="AL557" s="200"/>
      <c r="AM557" s="200"/>
      <c r="AN557" s="200"/>
      <c r="AO557" s="200"/>
      <c r="AP557" s="200"/>
      <c r="AQ557" s="200"/>
      <c r="AR557" s="200"/>
      <c r="AS557" s="200"/>
      <c r="AT557" s="200"/>
      <c r="AU557" s="200"/>
      <c r="AV557" s="200"/>
      <c r="AW557" s="200"/>
      <c r="AX557" s="200"/>
      <c r="AY557" s="200"/>
      <c r="AZ557" s="200"/>
      <c r="BA557" s="200"/>
      <c r="BB557" s="200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</row>
    <row r="558" spans="1:71" ht="13.8">
      <c r="A558" s="1"/>
      <c r="B558" s="1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  <c r="AH558" s="200"/>
      <c r="AI558" s="200"/>
      <c r="AJ558" s="200"/>
      <c r="AK558" s="200"/>
      <c r="AL558" s="200"/>
      <c r="AM558" s="200"/>
      <c r="AN558" s="200"/>
      <c r="AO558" s="200"/>
      <c r="AP558" s="200"/>
      <c r="AQ558" s="200"/>
      <c r="AR558" s="200"/>
      <c r="AS558" s="200"/>
      <c r="AT558" s="200"/>
      <c r="AU558" s="200"/>
      <c r="AV558" s="200"/>
      <c r="AW558" s="200"/>
      <c r="AX558" s="200"/>
      <c r="AY558" s="200"/>
      <c r="AZ558" s="200"/>
      <c r="BA558" s="200"/>
      <c r="BB558" s="200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</row>
    <row r="559" spans="1:71" ht="13.8">
      <c r="A559" s="1"/>
      <c r="B559" s="1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  <c r="AH559" s="200"/>
      <c r="AI559" s="200"/>
      <c r="AJ559" s="200"/>
      <c r="AK559" s="200"/>
      <c r="AL559" s="200"/>
      <c r="AM559" s="200"/>
      <c r="AN559" s="200"/>
      <c r="AO559" s="200"/>
      <c r="AP559" s="200"/>
      <c r="AQ559" s="200"/>
      <c r="AR559" s="200"/>
      <c r="AS559" s="200"/>
      <c r="AT559" s="200"/>
      <c r="AU559" s="200"/>
      <c r="AV559" s="200"/>
      <c r="AW559" s="200"/>
      <c r="AX559" s="200"/>
      <c r="AY559" s="200"/>
      <c r="AZ559" s="200"/>
      <c r="BA559" s="200"/>
      <c r="BB559" s="200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</row>
    <row r="560" spans="1:71" ht="13.8">
      <c r="A560" s="1"/>
      <c r="B560" s="1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0"/>
      <c r="AK560" s="200"/>
      <c r="AL560" s="200"/>
      <c r="AM560" s="200"/>
      <c r="AN560" s="200"/>
      <c r="AO560" s="200"/>
      <c r="AP560" s="200"/>
      <c r="AQ560" s="200"/>
      <c r="AR560" s="200"/>
      <c r="AS560" s="200"/>
      <c r="AT560" s="200"/>
      <c r="AU560" s="200"/>
      <c r="AV560" s="200"/>
      <c r="AW560" s="200"/>
      <c r="AX560" s="200"/>
      <c r="AY560" s="200"/>
      <c r="AZ560" s="200"/>
      <c r="BA560" s="200"/>
      <c r="BB560" s="200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</row>
    <row r="561" spans="1:71" ht="13.8">
      <c r="A561" s="1"/>
      <c r="B561" s="1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  <c r="AH561" s="200"/>
      <c r="AI561" s="200"/>
      <c r="AJ561" s="200"/>
      <c r="AK561" s="200"/>
      <c r="AL561" s="200"/>
      <c r="AM561" s="200"/>
      <c r="AN561" s="200"/>
      <c r="AO561" s="200"/>
      <c r="AP561" s="200"/>
      <c r="AQ561" s="200"/>
      <c r="AR561" s="200"/>
      <c r="AS561" s="200"/>
      <c r="AT561" s="200"/>
      <c r="AU561" s="200"/>
      <c r="AV561" s="200"/>
      <c r="AW561" s="200"/>
      <c r="AX561" s="200"/>
      <c r="AY561" s="200"/>
      <c r="AZ561" s="200"/>
      <c r="BA561" s="200"/>
      <c r="BB561" s="200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</row>
    <row r="562" spans="1:71" ht="13.8">
      <c r="A562" s="1"/>
      <c r="B562" s="1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0"/>
      <c r="AK562" s="200"/>
      <c r="AL562" s="200"/>
      <c r="AM562" s="200"/>
      <c r="AN562" s="200"/>
      <c r="AO562" s="200"/>
      <c r="AP562" s="200"/>
      <c r="AQ562" s="200"/>
      <c r="AR562" s="200"/>
      <c r="AS562" s="200"/>
      <c r="AT562" s="200"/>
      <c r="AU562" s="200"/>
      <c r="AV562" s="200"/>
      <c r="AW562" s="200"/>
      <c r="AX562" s="200"/>
      <c r="AY562" s="200"/>
      <c r="AZ562" s="200"/>
      <c r="BA562" s="200"/>
      <c r="BB562" s="200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</row>
    <row r="563" spans="1:71" ht="13.8">
      <c r="A563" s="1"/>
      <c r="B563" s="1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  <c r="AH563" s="200"/>
      <c r="AI563" s="200"/>
      <c r="AJ563" s="200"/>
      <c r="AK563" s="200"/>
      <c r="AL563" s="200"/>
      <c r="AM563" s="200"/>
      <c r="AN563" s="200"/>
      <c r="AO563" s="200"/>
      <c r="AP563" s="200"/>
      <c r="AQ563" s="200"/>
      <c r="AR563" s="200"/>
      <c r="AS563" s="200"/>
      <c r="AT563" s="200"/>
      <c r="AU563" s="200"/>
      <c r="AV563" s="200"/>
      <c r="AW563" s="200"/>
      <c r="AX563" s="200"/>
      <c r="AY563" s="200"/>
      <c r="AZ563" s="200"/>
      <c r="BA563" s="200"/>
      <c r="BB563" s="200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</row>
    <row r="564" spans="1:71" ht="13.8">
      <c r="A564" s="1"/>
      <c r="B564" s="1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  <c r="AH564" s="200"/>
      <c r="AI564" s="200"/>
      <c r="AJ564" s="200"/>
      <c r="AK564" s="200"/>
      <c r="AL564" s="200"/>
      <c r="AM564" s="200"/>
      <c r="AN564" s="200"/>
      <c r="AO564" s="200"/>
      <c r="AP564" s="200"/>
      <c r="AQ564" s="200"/>
      <c r="AR564" s="200"/>
      <c r="AS564" s="200"/>
      <c r="AT564" s="200"/>
      <c r="AU564" s="200"/>
      <c r="AV564" s="200"/>
      <c r="AW564" s="200"/>
      <c r="AX564" s="200"/>
      <c r="AY564" s="200"/>
      <c r="AZ564" s="200"/>
      <c r="BA564" s="200"/>
      <c r="BB564" s="200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</row>
    <row r="565" spans="1:71" ht="13.8">
      <c r="A565" s="1"/>
      <c r="B565" s="1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  <c r="AH565" s="200"/>
      <c r="AI565" s="200"/>
      <c r="AJ565" s="200"/>
      <c r="AK565" s="200"/>
      <c r="AL565" s="200"/>
      <c r="AM565" s="200"/>
      <c r="AN565" s="200"/>
      <c r="AO565" s="200"/>
      <c r="AP565" s="200"/>
      <c r="AQ565" s="200"/>
      <c r="AR565" s="200"/>
      <c r="AS565" s="200"/>
      <c r="AT565" s="200"/>
      <c r="AU565" s="200"/>
      <c r="AV565" s="200"/>
      <c r="AW565" s="200"/>
      <c r="AX565" s="200"/>
      <c r="AY565" s="200"/>
      <c r="AZ565" s="200"/>
      <c r="BA565" s="200"/>
      <c r="BB565" s="200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</row>
    <row r="566" spans="1:71" ht="13.8">
      <c r="A566" s="1"/>
      <c r="B566" s="1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0"/>
      <c r="AK566" s="200"/>
      <c r="AL566" s="200"/>
      <c r="AM566" s="200"/>
      <c r="AN566" s="200"/>
      <c r="AO566" s="200"/>
      <c r="AP566" s="200"/>
      <c r="AQ566" s="200"/>
      <c r="AR566" s="200"/>
      <c r="AS566" s="200"/>
      <c r="AT566" s="200"/>
      <c r="AU566" s="200"/>
      <c r="AV566" s="200"/>
      <c r="AW566" s="200"/>
      <c r="AX566" s="200"/>
      <c r="AY566" s="200"/>
      <c r="AZ566" s="200"/>
      <c r="BA566" s="200"/>
      <c r="BB566" s="200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</row>
    <row r="567" spans="1:71" ht="13.8">
      <c r="A567" s="1"/>
      <c r="B567" s="1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  <c r="AH567" s="200"/>
      <c r="AI567" s="200"/>
      <c r="AJ567" s="200"/>
      <c r="AK567" s="200"/>
      <c r="AL567" s="200"/>
      <c r="AM567" s="200"/>
      <c r="AN567" s="200"/>
      <c r="AO567" s="200"/>
      <c r="AP567" s="200"/>
      <c r="AQ567" s="200"/>
      <c r="AR567" s="200"/>
      <c r="AS567" s="200"/>
      <c r="AT567" s="200"/>
      <c r="AU567" s="200"/>
      <c r="AV567" s="200"/>
      <c r="AW567" s="200"/>
      <c r="AX567" s="200"/>
      <c r="AY567" s="200"/>
      <c r="AZ567" s="200"/>
      <c r="BA567" s="200"/>
      <c r="BB567" s="200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</row>
    <row r="568" spans="1:71" ht="13.8">
      <c r="A568" s="1"/>
      <c r="B568" s="1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  <c r="AH568" s="200"/>
      <c r="AI568" s="200"/>
      <c r="AJ568" s="200"/>
      <c r="AK568" s="200"/>
      <c r="AL568" s="200"/>
      <c r="AM568" s="200"/>
      <c r="AN568" s="200"/>
      <c r="AO568" s="200"/>
      <c r="AP568" s="200"/>
      <c r="AQ568" s="200"/>
      <c r="AR568" s="200"/>
      <c r="AS568" s="200"/>
      <c r="AT568" s="200"/>
      <c r="AU568" s="200"/>
      <c r="AV568" s="200"/>
      <c r="AW568" s="200"/>
      <c r="AX568" s="200"/>
      <c r="AY568" s="200"/>
      <c r="AZ568" s="200"/>
      <c r="BA568" s="200"/>
      <c r="BB568" s="200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</row>
    <row r="569" spans="1:71" ht="13.8">
      <c r="A569" s="1"/>
      <c r="B569" s="1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  <c r="AH569" s="200"/>
      <c r="AI569" s="200"/>
      <c r="AJ569" s="200"/>
      <c r="AK569" s="200"/>
      <c r="AL569" s="200"/>
      <c r="AM569" s="200"/>
      <c r="AN569" s="200"/>
      <c r="AO569" s="200"/>
      <c r="AP569" s="200"/>
      <c r="AQ569" s="200"/>
      <c r="AR569" s="200"/>
      <c r="AS569" s="200"/>
      <c r="AT569" s="200"/>
      <c r="AU569" s="200"/>
      <c r="AV569" s="200"/>
      <c r="AW569" s="200"/>
      <c r="AX569" s="200"/>
      <c r="AY569" s="200"/>
      <c r="AZ569" s="200"/>
      <c r="BA569" s="200"/>
      <c r="BB569" s="200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</row>
    <row r="570" spans="1:71" ht="13.8">
      <c r="A570" s="1"/>
      <c r="B570" s="1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0"/>
      <c r="AK570" s="200"/>
      <c r="AL570" s="200"/>
      <c r="AM570" s="200"/>
      <c r="AN570" s="200"/>
      <c r="AO570" s="200"/>
      <c r="AP570" s="200"/>
      <c r="AQ570" s="200"/>
      <c r="AR570" s="200"/>
      <c r="AS570" s="200"/>
      <c r="AT570" s="200"/>
      <c r="AU570" s="200"/>
      <c r="AV570" s="200"/>
      <c r="AW570" s="200"/>
      <c r="AX570" s="200"/>
      <c r="AY570" s="200"/>
      <c r="AZ570" s="200"/>
      <c r="BA570" s="200"/>
      <c r="BB570" s="200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</row>
    <row r="571" spans="1:71" ht="13.8">
      <c r="A571" s="1"/>
      <c r="B571" s="1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  <c r="AH571" s="200"/>
      <c r="AI571" s="200"/>
      <c r="AJ571" s="200"/>
      <c r="AK571" s="200"/>
      <c r="AL571" s="200"/>
      <c r="AM571" s="200"/>
      <c r="AN571" s="200"/>
      <c r="AO571" s="200"/>
      <c r="AP571" s="200"/>
      <c r="AQ571" s="200"/>
      <c r="AR571" s="200"/>
      <c r="AS571" s="200"/>
      <c r="AT571" s="200"/>
      <c r="AU571" s="200"/>
      <c r="AV571" s="200"/>
      <c r="AW571" s="200"/>
      <c r="AX571" s="200"/>
      <c r="AY571" s="200"/>
      <c r="AZ571" s="200"/>
      <c r="BA571" s="200"/>
      <c r="BB571" s="200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</row>
    <row r="572" spans="1:71" ht="13.8">
      <c r="A572" s="1"/>
      <c r="B572" s="1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  <c r="AH572" s="200"/>
      <c r="AI572" s="200"/>
      <c r="AJ572" s="200"/>
      <c r="AK572" s="200"/>
      <c r="AL572" s="200"/>
      <c r="AM572" s="200"/>
      <c r="AN572" s="200"/>
      <c r="AO572" s="200"/>
      <c r="AP572" s="200"/>
      <c r="AQ572" s="200"/>
      <c r="AR572" s="200"/>
      <c r="AS572" s="200"/>
      <c r="AT572" s="200"/>
      <c r="AU572" s="200"/>
      <c r="AV572" s="200"/>
      <c r="AW572" s="200"/>
      <c r="AX572" s="200"/>
      <c r="AY572" s="200"/>
      <c r="AZ572" s="200"/>
      <c r="BA572" s="200"/>
      <c r="BB572" s="200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</row>
    <row r="573" spans="1:71" ht="13.8">
      <c r="A573" s="1"/>
      <c r="B573" s="1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0"/>
      <c r="AK573" s="200"/>
      <c r="AL573" s="200"/>
      <c r="AM573" s="200"/>
      <c r="AN573" s="200"/>
      <c r="AO573" s="200"/>
      <c r="AP573" s="200"/>
      <c r="AQ573" s="200"/>
      <c r="AR573" s="200"/>
      <c r="AS573" s="200"/>
      <c r="AT573" s="200"/>
      <c r="AU573" s="200"/>
      <c r="AV573" s="200"/>
      <c r="AW573" s="200"/>
      <c r="AX573" s="200"/>
      <c r="AY573" s="200"/>
      <c r="AZ573" s="200"/>
      <c r="BA573" s="200"/>
      <c r="BB573" s="200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</row>
    <row r="574" spans="1:71" ht="13.8">
      <c r="A574" s="1"/>
      <c r="B574" s="1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  <c r="AH574" s="200"/>
      <c r="AI574" s="200"/>
      <c r="AJ574" s="200"/>
      <c r="AK574" s="200"/>
      <c r="AL574" s="200"/>
      <c r="AM574" s="200"/>
      <c r="AN574" s="200"/>
      <c r="AO574" s="200"/>
      <c r="AP574" s="200"/>
      <c r="AQ574" s="200"/>
      <c r="AR574" s="200"/>
      <c r="AS574" s="200"/>
      <c r="AT574" s="200"/>
      <c r="AU574" s="200"/>
      <c r="AV574" s="200"/>
      <c r="AW574" s="200"/>
      <c r="AX574" s="200"/>
      <c r="AY574" s="200"/>
      <c r="AZ574" s="200"/>
      <c r="BA574" s="200"/>
      <c r="BB574" s="200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</row>
    <row r="575" spans="1:71" ht="13.8">
      <c r="A575" s="1"/>
      <c r="B575" s="1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  <c r="AH575" s="200"/>
      <c r="AI575" s="200"/>
      <c r="AJ575" s="200"/>
      <c r="AK575" s="200"/>
      <c r="AL575" s="200"/>
      <c r="AM575" s="200"/>
      <c r="AN575" s="200"/>
      <c r="AO575" s="200"/>
      <c r="AP575" s="200"/>
      <c r="AQ575" s="200"/>
      <c r="AR575" s="200"/>
      <c r="AS575" s="200"/>
      <c r="AT575" s="200"/>
      <c r="AU575" s="200"/>
      <c r="AV575" s="200"/>
      <c r="AW575" s="200"/>
      <c r="AX575" s="200"/>
      <c r="AY575" s="200"/>
      <c r="AZ575" s="200"/>
      <c r="BA575" s="200"/>
      <c r="BB575" s="200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</row>
    <row r="576" spans="1:71" ht="13.8">
      <c r="A576" s="1"/>
      <c r="B576" s="1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  <c r="AH576" s="200"/>
      <c r="AI576" s="200"/>
      <c r="AJ576" s="200"/>
      <c r="AK576" s="200"/>
      <c r="AL576" s="200"/>
      <c r="AM576" s="200"/>
      <c r="AN576" s="200"/>
      <c r="AO576" s="200"/>
      <c r="AP576" s="200"/>
      <c r="AQ576" s="200"/>
      <c r="AR576" s="200"/>
      <c r="AS576" s="200"/>
      <c r="AT576" s="200"/>
      <c r="AU576" s="200"/>
      <c r="AV576" s="200"/>
      <c r="AW576" s="200"/>
      <c r="AX576" s="200"/>
      <c r="AY576" s="200"/>
      <c r="AZ576" s="200"/>
      <c r="BA576" s="200"/>
      <c r="BB576" s="200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</row>
    <row r="577" spans="1:71" ht="13.8">
      <c r="A577" s="1"/>
      <c r="B577" s="1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  <c r="AH577" s="200"/>
      <c r="AI577" s="200"/>
      <c r="AJ577" s="200"/>
      <c r="AK577" s="200"/>
      <c r="AL577" s="200"/>
      <c r="AM577" s="200"/>
      <c r="AN577" s="200"/>
      <c r="AO577" s="200"/>
      <c r="AP577" s="200"/>
      <c r="AQ577" s="200"/>
      <c r="AR577" s="200"/>
      <c r="AS577" s="200"/>
      <c r="AT577" s="200"/>
      <c r="AU577" s="200"/>
      <c r="AV577" s="200"/>
      <c r="AW577" s="200"/>
      <c r="AX577" s="200"/>
      <c r="AY577" s="200"/>
      <c r="AZ577" s="200"/>
      <c r="BA577" s="200"/>
      <c r="BB577" s="200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</row>
    <row r="578" spans="1:71" ht="13.8">
      <c r="A578" s="1"/>
      <c r="B578" s="1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  <c r="AB578" s="200"/>
      <c r="AC578" s="200"/>
      <c r="AD578" s="200"/>
      <c r="AE578" s="200"/>
      <c r="AF578" s="200"/>
      <c r="AG578" s="200"/>
      <c r="AH578" s="200"/>
      <c r="AI578" s="200"/>
      <c r="AJ578" s="200"/>
      <c r="AK578" s="200"/>
      <c r="AL578" s="200"/>
      <c r="AM578" s="200"/>
      <c r="AN578" s="200"/>
      <c r="AO578" s="200"/>
      <c r="AP578" s="200"/>
      <c r="AQ578" s="200"/>
      <c r="AR578" s="200"/>
      <c r="AS578" s="200"/>
      <c r="AT578" s="200"/>
      <c r="AU578" s="200"/>
      <c r="AV578" s="200"/>
      <c r="AW578" s="200"/>
      <c r="AX578" s="200"/>
      <c r="AY578" s="200"/>
      <c r="AZ578" s="200"/>
      <c r="BA578" s="200"/>
      <c r="BB578" s="200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</row>
    <row r="579" spans="1:71" ht="13.8">
      <c r="A579" s="1"/>
      <c r="B579" s="1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  <c r="AB579" s="200"/>
      <c r="AC579" s="200"/>
      <c r="AD579" s="200"/>
      <c r="AE579" s="200"/>
      <c r="AF579" s="200"/>
      <c r="AG579" s="200"/>
      <c r="AH579" s="200"/>
      <c r="AI579" s="200"/>
      <c r="AJ579" s="200"/>
      <c r="AK579" s="200"/>
      <c r="AL579" s="200"/>
      <c r="AM579" s="200"/>
      <c r="AN579" s="200"/>
      <c r="AO579" s="200"/>
      <c r="AP579" s="200"/>
      <c r="AQ579" s="200"/>
      <c r="AR579" s="200"/>
      <c r="AS579" s="200"/>
      <c r="AT579" s="200"/>
      <c r="AU579" s="200"/>
      <c r="AV579" s="200"/>
      <c r="AW579" s="200"/>
      <c r="AX579" s="200"/>
      <c r="AY579" s="200"/>
      <c r="AZ579" s="200"/>
      <c r="BA579" s="200"/>
      <c r="BB579" s="200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</row>
    <row r="580" spans="1:71" ht="13.8">
      <c r="A580" s="1"/>
      <c r="B580" s="1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0"/>
      <c r="AH580" s="200"/>
      <c r="AI580" s="200"/>
      <c r="AJ580" s="200"/>
      <c r="AK580" s="200"/>
      <c r="AL580" s="200"/>
      <c r="AM580" s="200"/>
      <c r="AN580" s="200"/>
      <c r="AO580" s="200"/>
      <c r="AP580" s="200"/>
      <c r="AQ580" s="200"/>
      <c r="AR580" s="200"/>
      <c r="AS580" s="200"/>
      <c r="AT580" s="200"/>
      <c r="AU580" s="200"/>
      <c r="AV580" s="200"/>
      <c r="AW580" s="200"/>
      <c r="AX580" s="200"/>
      <c r="AY580" s="200"/>
      <c r="AZ580" s="200"/>
      <c r="BA580" s="200"/>
      <c r="BB580" s="200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</row>
    <row r="581" spans="1:71" ht="13.8">
      <c r="A581" s="1"/>
      <c r="B581" s="1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  <c r="AB581" s="200"/>
      <c r="AC581" s="200"/>
      <c r="AD581" s="200"/>
      <c r="AE581" s="200"/>
      <c r="AF581" s="200"/>
      <c r="AG581" s="200"/>
      <c r="AH581" s="200"/>
      <c r="AI581" s="200"/>
      <c r="AJ581" s="200"/>
      <c r="AK581" s="200"/>
      <c r="AL581" s="200"/>
      <c r="AM581" s="200"/>
      <c r="AN581" s="200"/>
      <c r="AO581" s="200"/>
      <c r="AP581" s="200"/>
      <c r="AQ581" s="200"/>
      <c r="AR581" s="200"/>
      <c r="AS581" s="200"/>
      <c r="AT581" s="200"/>
      <c r="AU581" s="200"/>
      <c r="AV581" s="200"/>
      <c r="AW581" s="200"/>
      <c r="AX581" s="200"/>
      <c r="AY581" s="200"/>
      <c r="AZ581" s="200"/>
      <c r="BA581" s="200"/>
      <c r="BB581" s="200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</row>
    <row r="582" spans="1:71" ht="13.8">
      <c r="A582" s="1"/>
      <c r="B582" s="1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  <c r="AB582" s="200"/>
      <c r="AC582" s="200"/>
      <c r="AD582" s="200"/>
      <c r="AE582" s="200"/>
      <c r="AF582" s="200"/>
      <c r="AG582" s="200"/>
      <c r="AH582" s="200"/>
      <c r="AI582" s="200"/>
      <c r="AJ582" s="200"/>
      <c r="AK582" s="200"/>
      <c r="AL582" s="200"/>
      <c r="AM582" s="200"/>
      <c r="AN582" s="200"/>
      <c r="AO582" s="200"/>
      <c r="AP582" s="200"/>
      <c r="AQ582" s="200"/>
      <c r="AR582" s="200"/>
      <c r="AS582" s="200"/>
      <c r="AT582" s="200"/>
      <c r="AU582" s="200"/>
      <c r="AV582" s="200"/>
      <c r="AW582" s="200"/>
      <c r="AX582" s="200"/>
      <c r="AY582" s="200"/>
      <c r="AZ582" s="200"/>
      <c r="BA582" s="200"/>
      <c r="BB582" s="200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</row>
    <row r="583" spans="1:71" ht="13.8">
      <c r="A583" s="1"/>
      <c r="B583" s="1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  <c r="AB583" s="200"/>
      <c r="AC583" s="200"/>
      <c r="AD583" s="200"/>
      <c r="AE583" s="200"/>
      <c r="AF583" s="200"/>
      <c r="AG583" s="200"/>
      <c r="AH583" s="200"/>
      <c r="AI583" s="200"/>
      <c r="AJ583" s="200"/>
      <c r="AK583" s="200"/>
      <c r="AL583" s="200"/>
      <c r="AM583" s="200"/>
      <c r="AN583" s="200"/>
      <c r="AO583" s="200"/>
      <c r="AP583" s="200"/>
      <c r="AQ583" s="200"/>
      <c r="AR583" s="200"/>
      <c r="AS583" s="200"/>
      <c r="AT583" s="200"/>
      <c r="AU583" s="200"/>
      <c r="AV583" s="200"/>
      <c r="AW583" s="200"/>
      <c r="AX583" s="200"/>
      <c r="AY583" s="200"/>
      <c r="AZ583" s="200"/>
      <c r="BA583" s="200"/>
      <c r="BB583" s="200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</row>
    <row r="584" spans="1:71" ht="13.8">
      <c r="A584" s="1"/>
      <c r="B584" s="1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  <c r="AB584" s="200"/>
      <c r="AC584" s="200"/>
      <c r="AD584" s="200"/>
      <c r="AE584" s="200"/>
      <c r="AF584" s="200"/>
      <c r="AG584" s="200"/>
      <c r="AH584" s="200"/>
      <c r="AI584" s="200"/>
      <c r="AJ584" s="200"/>
      <c r="AK584" s="200"/>
      <c r="AL584" s="200"/>
      <c r="AM584" s="200"/>
      <c r="AN584" s="200"/>
      <c r="AO584" s="200"/>
      <c r="AP584" s="200"/>
      <c r="AQ584" s="200"/>
      <c r="AR584" s="200"/>
      <c r="AS584" s="200"/>
      <c r="AT584" s="200"/>
      <c r="AU584" s="200"/>
      <c r="AV584" s="200"/>
      <c r="AW584" s="200"/>
      <c r="AX584" s="200"/>
      <c r="AY584" s="200"/>
      <c r="AZ584" s="200"/>
      <c r="BA584" s="200"/>
      <c r="BB584" s="200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</row>
    <row r="585" spans="1:71" ht="13.8">
      <c r="A585" s="1"/>
      <c r="B585" s="1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  <c r="AB585" s="200"/>
      <c r="AC585" s="200"/>
      <c r="AD585" s="200"/>
      <c r="AE585" s="200"/>
      <c r="AF585" s="200"/>
      <c r="AG585" s="200"/>
      <c r="AH585" s="200"/>
      <c r="AI585" s="200"/>
      <c r="AJ585" s="200"/>
      <c r="AK585" s="200"/>
      <c r="AL585" s="200"/>
      <c r="AM585" s="200"/>
      <c r="AN585" s="200"/>
      <c r="AO585" s="200"/>
      <c r="AP585" s="200"/>
      <c r="AQ585" s="200"/>
      <c r="AR585" s="200"/>
      <c r="AS585" s="200"/>
      <c r="AT585" s="200"/>
      <c r="AU585" s="200"/>
      <c r="AV585" s="200"/>
      <c r="AW585" s="200"/>
      <c r="AX585" s="200"/>
      <c r="AY585" s="200"/>
      <c r="AZ585" s="200"/>
      <c r="BA585" s="200"/>
      <c r="BB585" s="200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</row>
    <row r="586" spans="1:71" ht="13.8">
      <c r="A586" s="1"/>
      <c r="B586" s="1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  <c r="AB586" s="200"/>
      <c r="AC586" s="200"/>
      <c r="AD586" s="200"/>
      <c r="AE586" s="200"/>
      <c r="AF586" s="200"/>
      <c r="AG586" s="200"/>
      <c r="AH586" s="200"/>
      <c r="AI586" s="200"/>
      <c r="AJ586" s="200"/>
      <c r="AK586" s="200"/>
      <c r="AL586" s="200"/>
      <c r="AM586" s="200"/>
      <c r="AN586" s="200"/>
      <c r="AO586" s="200"/>
      <c r="AP586" s="200"/>
      <c r="AQ586" s="200"/>
      <c r="AR586" s="200"/>
      <c r="AS586" s="200"/>
      <c r="AT586" s="200"/>
      <c r="AU586" s="200"/>
      <c r="AV586" s="200"/>
      <c r="AW586" s="200"/>
      <c r="AX586" s="200"/>
      <c r="AY586" s="200"/>
      <c r="AZ586" s="200"/>
      <c r="BA586" s="200"/>
      <c r="BB586" s="200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</row>
    <row r="587" spans="1:71" ht="13.8">
      <c r="A587" s="1"/>
      <c r="B587" s="1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  <c r="AB587" s="200"/>
      <c r="AC587" s="200"/>
      <c r="AD587" s="200"/>
      <c r="AE587" s="200"/>
      <c r="AF587" s="200"/>
      <c r="AG587" s="200"/>
      <c r="AH587" s="200"/>
      <c r="AI587" s="200"/>
      <c r="AJ587" s="200"/>
      <c r="AK587" s="200"/>
      <c r="AL587" s="200"/>
      <c r="AM587" s="200"/>
      <c r="AN587" s="200"/>
      <c r="AO587" s="200"/>
      <c r="AP587" s="200"/>
      <c r="AQ587" s="200"/>
      <c r="AR587" s="200"/>
      <c r="AS587" s="200"/>
      <c r="AT587" s="200"/>
      <c r="AU587" s="200"/>
      <c r="AV587" s="200"/>
      <c r="AW587" s="200"/>
      <c r="AX587" s="200"/>
      <c r="AY587" s="200"/>
      <c r="AZ587" s="200"/>
      <c r="BA587" s="200"/>
      <c r="BB587" s="200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</row>
    <row r="588" spans="1:71" ht="13.8">
      <c r="A588" s="1"/>
      <c r="B588" s="1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  <c r="AB588" s="200"/>
      <c r="AC588" s="200"/>
      <c r="AD588" s="200"/>
      <c r="AE588" s="200"/>
      <c r="AF588" s="200"/>
      <c r="AG588" s="200"/>
      <c r="AH588" s="200"/>
      <c r="AI588" s="200"/>
      <c r="AJ588" s="200"/>
      <c r="AK588" s="200"/>
      <c r="AL588" s="200"/>
      <c r="AM588" s="200"/>
      <c r="AN588" s="200"/>
      <c r="AO588" s="200"/>
      <c r="AP588" s="200"/>
      <c r="AQ588" s="200"/>
      <c r="AR588" s="200"/>
      <c r="AS588" s="200"/>
      <c r="AT588" s="200"/>
      <c r="AU588" s="200"/>
      <c r="AV588" s="200"/>
      <c r="AW588" s="200"/>
      <c r="AX588" s="200"/>
      <c r="AY588" s="200"/>
      <c r="AZ588" s="200"/>
      <c r="BA588" s="200"/>
      <c r="BB588" s="200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</row>
    <row r="589" spans="1:71" ht="13.8">
      <c r="A589" s="1"/>
      <c r="B589" s="1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  <c r="AB589" s="200"/>
      <c r="AC589" s="200"/>
      <c r="AD589" s="200"/>
      <c r="AE589" s="200"/>
      <c r="AF589" s="200"/>
      <c r="AG589" s="200"/>
      <c r="AH589" s="200"/>
      <c r="AI589" s="200"/>
      <c r="AJ589" s="200"/>
      <c r="AK589" s="200"/>
      <c r="AL589" s="200"/>
      <c r="AM589" s="200"/>
      <c r="AN589" s="200"/>
      <c r="AO589" s="200"/>
      <c r="AP589" s="200"/>
      <c r="AQ589" s="200"/>
      <c r="AR589" s="200"/>
      <c r="AS589" s="200"/>
      <c r="AT589" s="200"/>
      <c r="AU589" s="200"/>
      <c r="AV589" s="200"/>
      <c r="AW589" s="200"/>
      <c r="AX589" s="200"/>
      <c r="AY589" s="200"/>
      <c r="AZ589" s="200"/>
      <c r="BA589" s="200"/>
      <c r="BB589" s="200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</row>
    <row r="590" spans="1:71" ht="13.8">
      <c r="A590" s="1"/>
      <c r="B590" s="1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  <c r="AH590" s="200"/>
      <c r="AI590" s="200"/>
      <c r="AJ590" s="200"/>
      <c r="AK590" s="200"/>
      <c r="AL590" s="200"/>
      <c r="AM590" s="200"/>
      <c r="AN590" s="200"/>
      <c r="AO590" s="200"/>
      <c r="AP590" s="200"/>
      <c r="AQ590" s="200"/>
      <c r="AR590" s="200"/>
      <c r="AS590" s="200"/>
      <c r="AT590" s="200"/>
      <c r="AU590" s="200"/>
      <c r="AV590" s="200"/>
      <c r="AW590" s="200"/>
      <c r="AX590" s="200"/>
      <c r="AY590" s="200"/>
      <c r="AZ590" s="200"/>
      <c r="BA590" s="200"/>
      <c r="BB590" s="200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</row>
    <row r="591" spans="1:71" ht="13.8">
      <c r="A591" s="1"/>
      <c r="B591" s="1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  <c r="AB591" s="200"/>
      <c r="AC591" s="200"/>
      <c r="AD591" s="200"/>
      <c r="AE591" s="200"/>
      <c r="AF591" s="200"/>
      <c r="AG591" s="200"/>
      <c r="AH591" s="200"/>
      <c r="AI591" s="200"/>
      <c r="AJ591" s="200"/>
      <c r="AK591" s="200"/>
      <c r="AL591" s="200"/>
      <c r="AM591" s="200"/>
      <c r="AN591" s="200"/>
      <c r="AO591" s="200"/>
      <c r="AP591" s="200"/>
      <c r="AQ591" s="200"/>
      <c r="AR591" s="200"/>
      <c r="AS591" s="200"/>
      <c r="AT591" s="200"/>
      <c r="AU591" s="200"/>
      <c r="AV591" s="200"/>
      <c r="AW591" s="200"/>
      <c r="AX591" s="200"/>
      <c r="AY591" s="200"/>
      <c r="AZ591" s="200"/>
      <c r="BA591" s="200"/>
      <c r="BB591" s="200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</row>
    <row r="592" spans="1:71" ht="13.8">
      <c r="A592" s="1"/>
      <c r="B592" s="1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  <c r="AB592" s="200"/>
      <c r="AC592" s="200"/>
      <c r="AD592" s="200"/>
      <c r="AE592" s="200"/>
      <c r="AF592" s="200"/>
      <c r="AG592" s="200"/>
      <c r="AH592" s="200"/>
      <c r="AI592" s="200"/>
      <c r="AJ592" s="200"/>
      <c r="AK592" s="200"/>
      <c r="AL592" s="200"/>
      <c r="AM592" s="200"/>
      <c r="AN592" s="200"/>
      <c r="AO592" s="200"/>
      <c r="AP592" s="200"/>
      <c r="AQ592" s="200"/>
      <c r="AR592" s="200"/>
      <c r="AS592" s="200"/>
      <c r="AT592" s="200"/>
      <c r="AU592" s="200"/>
      <c r="AV592" s="200"/>
      <c r="AW592" s="200"/>
      <c r="AX592" s="200"/>
      <c r="AY592" s="200"/>
      <c r="AZ592" s="200"/>
      <c r="BA592" s="200"/>
      <c r="BB592" s="200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</row>
    <row r="593" spans="1:71" ht="13.8">
      <c r="A593" s="1"/>
      <c r="B593" s="1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  <c r="AB593" s="200"/>
      <c r="AC593" s="200"/>
      <c r="AD593" s="200"/>
      <c r="AE593" s="200"/>
      <c r="AF593" s="200"/>
      <c r="AG593" s="200"/>
      <c r="AH593" s="200"/>
      <c r="AI593" s="200"/>
      <c r="AJ593" s="200"/>
      <c r="AK593" s="200"/>
      <c r="AL593" s="200"/>
      <c r="AM593" s="200"/>
      <c r="AN593" s="200"/>
      <c r="AO593" s="200"/>
      <c r="AP593" s="200"/>
      <c r="AQ593" s="200"/>
      <c r="AR593" s="200"/>
      <c r="AS593" s="200"/>
      <c r="AT593" s="200"/>
      <c r="AU593" s="200"/>
      <c r="AV593" s="200"/>
      <c r="AW593" s="200"/>
      <c r="AX593" s="200"/>
      <c r="AY593" s="200"/>
      <c r="AZ593" s="200"/>
      <c r="BA593" s="200"/>
      <c r="BB593" s="200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</row>
    <row r="594" spans="1:71" ht="13.8">
      <c r="A594" s="1"/>
      <c r="B594" s="1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  <c r="AB594" s="200"/>
      <c r="AC594" s="200"/>
      <c r="AD594" s="200"/>
      <c r="AE594" s="200"/>
      <c r="AF594" s="200"/>
      <c r="AG594" s="200"/>
      <c r="AH594" s="200"/>
      <c r="AI594" s="200"/>
      <c r="AJ594" s="200"/>
      <c r="AK594" s="200"/>
      <c r="AL594" s="200"/>
      <c r="AM594" s="200"/>
      <c r="AN594" s="200"/>
      <c r="AO594" s="200"/>
      <c r="AP594" s="200"/>
      <c r="AQ594" s="200"/>
      <c r="AR594" s="200"/>
      <c r="AS594" s="200"/>
      <c r="AT594" s="200"/>
      <c r="AU594" s="200"/>
      <c r="AV594" s="200"/>
      <c r="AW594" s="200"/>
      <c r="AX594" s="200"/>
      <c r="AY594" s="200"/>
      <c r="AZ594" s="200"/>
      <c r="BA594" s="200"/>
      <c r="BB594" s="200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</row>
    <row r="595" spans="1:71" ht="13.8">
      <c r="A595" s="1"/>
      <c r="B595" s="1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  <c r="AH595" s="200"/>
      <c r="AI595" s="200"/>
      <c r="AJ595" s="200"/>
      <c r="AK595" s="200"/>
      <c r="AL595" s="200"/>
      <c r="AM595" s="200"/>
      <c r="AN595" s="200"/>
      <c r="AO595" s="200"/>
      <c r="AP595" s="200"/>
      <c r="AQ595" s="200"/>
      <c r="AR595" s="200"/>
      <c r="AS595" s="200"/>
      <c r="AT595" s="200"/>
      <c r="AU595" s="200"/>
      <c r="AV595" s="200"/>
      <c r="AW595" s="200"/>
      <c r="AX595" s="200"/>
      <c r="AY595" s="200"/>
      <c r="AZ595" s="200"/>
      <c r="BA595" s="200"/>
      <c r="BB595" s="200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</row>
    <row r="596" spans="1:71" ht="13.8">
      <c r="A596" s="1"/>
      <c r="B596" s="1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  <c r="AB596" s="200"/>
      <c r="AC596" s="200"/>
      <c r="AD596" s="200"/>
      <c r="AE596" s="200"/>
      <c r="AF596" s="200"/>
      <c r="AG596" s="200"/>
      <c r="AH596" s="200"/>
      <c r="AI596" s="200"/>
      <c r="AJ596" s="200"/>
      <c r="AK596" s="200"/>
      <c r="AL596" s="200"/>
      <c r="AM596" s="200"/>
      <c r="AN596" s="200"/>
      <c r="AO596" s="200"/>
      <c r="AP596" s="200"/>
      <c r="AQ596" s="200"/>
      <c r="AR596" s="200"/>
      <c r="AS596" s="200"/>
      <c r="AT596" s="200"/>
      <c r="AU596" s="200"/>
      <c r="AV596" s="200"/>
      <c r="AW596" s="200"/>
      <c r="AX596" s="200"/>
      <c r="AY596" s="200"/>
      <c r="AZ596" s="200"/>
      <c r="BA596" s="200"/>
      <c r="BB596" s="200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</row>
    <row r="597" spans="1:71" ht="13.8">
      <c r="A597" s="1"/>
      <c r="B597" s="1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  <c r="AB597" s="200"/>
      <c r="AC597" s="200"/>
      <c r="AD597" s="200"/>
      <c r="AE597" s="200"/>
      <c r="AF597" s="200"/>
      <c r="AG597" s="200"/>
      <c r="AH597" s="200"/>
      <c r="AI597" s="200"/>
      <c r="AJ597" s="200"/>
      <c r="AK597" s="200"/>
      <c r="AL597" s="200"/>
      <c r="AM597" s="200"/>
      <c r="AN597" s="200"/>
      <c r="AO597" s="200"/>
      <c r="AP597" s="200"/>
      <c r="AQ597" s="200"/>
      <c r="AR597" s="200"/>
      <c r="AS597" s="200"/>
      <c r="AT597" s="200"/>
      <c r="AU597" s="200"/>
      <c r="AV597" s="200"/>
      <c r="AW597" s="200"/>
      <c r="AX597" s="200"/>
      <c r="AY597" s="200"/>
      <c r="AZ597" s="200"/>
      <c r="BA597" s="200"/>
      <c r="BB597" s="200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</row>
    <row r="598" spans="1:71" ht="13.8">
      <c r="A598" s="1"/>
      <c r="B598" s="1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  <c r="AB598" s="200"/>
      <c r="AC598" s="200"/>
      <c r="AD598" s="200"/>
      <c r="AE598" s="200"/>
      <c r="AF598" s="200"/>
      <c r="AG598" s="200"/>
      <c r="AH598" s="200"/>
      <c r="AI598" s="200"/>
      <c r="AJ598" s="200"/>
      <c r="AK598" s="200"/>
      <c r="AL598" s="200"/>
      <c r="AM598" s="200"/>
      <c r="AN598" s="200"/>
      <c r="AO598" s="200"/>
      <c r="AP598" s="200"/>
      <c r="AQ598" s="200"/>
      <c r="AR598" s="200"/>
      <c r="AS598" s="200"/>
      <c r="AT598" s="200"/>
      <c r="AU598" s="200"/>
      <c r="AV598" s="200"/>
      <c r="AW598" s="200"/>
      <c r="AX598" s="200"/>
      <c r="AY598" s="200"/>
      <c r="AZ598" s="200"/>
      <c r="BA598" s="200"/>
      <c r="BB598" s="200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</row>
    <row r="599" spans="1:71" ht="13.8">
      <c r="A599" s="1"/>
      <c r="B599" s="1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  <c r="AB599" s="200"/>
      <c r="AC599" s="200"/>
      <c r="AD599" s="200"/>
      <c r="AE599" s="200"/>
      <c r="AF599" s="200"/>
      <c r="AG599" s="200"/>
      <c r="AH599" s="200"/>
      <c r="AI599" s="200"/>
      <c r="AJ599" s="200"/>
      <c r="AK599" s="200"/>
      <c r="AL599" s="200"/>
      <c r="AM599" s="200"/>
      <c r="AN599" s="200"/>
      <c r="AO599" s="200"/>
      <c r="AP599" s="200"/>
      <c r="AQ599" s="200"/>
      <c r="AR599" s="200"/>
      <c r="AS599" s="200"/>
      <c r="AT599" s="200"/>
      <c r="AU599" s="200"/>
      <c r="AV599" s="200"/>
      <c r="AW599" s="200"/>
      <c r="AX599" s="200"/>
      <c r="AY599" s="200"/>
      <c r="AZ599" s="200"/>
      <c r="BA599" s="200"/>
      <c r="BB599" s="200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</row>
    <row r="600" spans="1:71" ht="13.8">
      <c r="A600" s="1"/>
      <c r="B600" s="1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  <c r="AB600" s="200"/>
      <c r="AC600" s="200"/>
      <c r="AD600" s="200"/>
      <c r="AE600" s="200"/>
      <c r="AF600" s="200"/>
      <c r="AG600" s="200"/>
      <c r="AH600" s="200"/>
      <c r="AI600" s="200"/>
      <c r="AJ600" s="200"/>
      <c r="AK600" s="200"/>
      <c r="AL600" s="200"/>
      <c r="AM600" s="200"/>
      <c r="AN600" s="200"/>
      <c r="AO600" s="200"/>
      <c r="AP600" s="200"/>
      <c r="AQ600" s="200"/>
      <c r="AR600" s="200"/>
      <c r="AS600" s="200"/>
      <c r="AT600" s="200"/>
      <c r="AU600" s="200"/>
      <c r="AV600" s="200"/>
      <c r="AW600" s="200"/>
      <c r="AX600" s="200"/>
      <c r="AY600" s="200"/>
      <c r="AZ600" s="200"/>
      <c r="BA600" s="200"/>
      <c r="BB600" s="200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</row>
    <row r="601" spans="1:71" ht="13.8">
      <c r="A601" s="1"/>
      <c r="B601" s="1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  <c r="AB601" s="200"/>
      <c r="AC601" s="200"/>
      <c r="AD601" s="200"/>
      <c r="AE601" s="200"/>
      <c r="AF601" s="200"/>
      <c r="AG601" s="200"/>
      <c r="AH601" s="200"/>
      <c r="AI601" s="200"/>
      <c r="AJ601" s="200"/>
      <c r="AK601" s="200"/>
      <c r="AL601" s="200"/>
      <c r="AM601" s="200"/>
      <c r="AN601" s="200"/>
      <c r="AO601" s="200"/>
      <c r="AP601" s="200"/>
      <c r="AQ601" s="200"/>
      <c r="AR601" s="200"/>
      <c r="AS601" s="200"/>
      <c r="AT601" s="200"/>
      <c r="AU601" s="200"/>
      <c r="AV601" s="200"/>
      <c r="AW601" s="200"/>
      <c r="AX601" s="200"/>
      <c r="AY601" s="200"/>
      <c r="AZ601" s="200"/>
      <c r="BA601" s="200"/>
      <c r="BB601" s="200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</row>
    <row r="602" spans="1:71" ht="13.8">
      <c r="A602" s="1"/>
      <c r="B602" s="1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  <c r="AB602" s="200"/>
      <c r="AC602" s="200"/>
      <c r="AD602" s="200"/>
      <c r="AE602" s="200"/>
      <c r="AF602" s="200"/>
      <c r="AG602" s="200"/>
      <c r="AH602" s="200"/>
      <c r="AI602" s="200"/>
      <c r="AJ602" s="200"/>
      <c r="AK602" s="200"/>
      <c r="AL602" s="200"/>
      <c r="AM602" s="200"/>
      <c r="AN602" s="200"/>
      <c r="AO602" s="200"/>
      <c r="AP602" s="200"/>
      <c r="AQ602" s="200"/>
      <c r="AR602" s="200"/>
      <c r="AS602" s="200"/>
      <c r="AT602" s="200"/>
      <c r="AU602" s="200"/>
      <c r="AV602" s="200"/>
      <c r="AW602" s="200"/>
      <c r="AX602" s="200"/>
      <c r="AY602" s="200"/>
      <c r="AZ602" s="200"/>
      <c r="BA602" s="200"/>
      <c r="BB602" s="200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</row>
    <row r="603" spans="1:71" ht="13.8">
      <c r="A603" s="1"/>
      <c r="B603" s="1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  <c r="AB603" s="200"/>
      <c r="AC603" s="200"/>
      <c r="AD603" s="200"/>
      <c r="AE603" s="200"/>
      <c r="AF603" s="200"/>
      <c r="AG603" s="200"/>
      <c r="AH603" s="200"/>
      <c r="AI603" s="200"/>
      <c r="AJ603" s="200"/>
      <c r="AK603" s="200"/>
      <c r="AL603" s="200"/>
      <c r="AM603" s="200"/>
      <c r="AN603" s="200"/>
      <c r="AO603" s="200"/>
      <c r="AP603" s="200"/>
      <c r="AQ603" s="200"/>
      <c r="AR603" s="200"/>
      <c r="AS603" s="200"/>
      <c r="AT603" s="200"/>
      <c r="AU603" s="200"/>
      <c r="AV603" s="200"/>
      <c r="AW603" s="200"/>
      <c r="AX603" s="200"/>
      <c r="AY603" s="200"/>
      <c r="AZ603" s="200"/>
      <c r="BA603" s="200"/>
      <c r="BB603" s="200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</row>
    <row r="604" spans="1:71" ht="13.8">
      <c r="A604" s="1"/>
      <c r="B604" s="1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  <c r="AB604" s="200"/>
      <c r="AC604" s="200"/>
      <c r="AD604" s="200"/>
      <c r="AE604" s="200"/>
      <c r="AF604" s="200"/>
      <c r="AG604" s="200"/>
      <c r="AH604" s="200"/>
      <c r="AI604" s="200"/>
      <c r="AJ604" s="200"/>
      <c r="AK604" s="200"/>
      <c r="AL604" s="200"/>
      <c r="AM604" s="200"/>
      <c r="AN604" s="200"/>
      <c r="AO604" s="200"/>
      <c r="AP604" s="200"/>
      <c r="AQ604" s="200"/>
      <c r="AR604" s="200"/>
      <c r="AS604" s="200"/>
      <c r="AT604" s="200"/>
      <c r="AU604" s="200"/>
      <c r="AV604" s="200"/>
      <c r="AW604" s="200"/>
      <c r="AX604" s="200"/>
      <c r="AY604" s="200"/>
      <c r="AZ604" s="200"/>
      <c r="BA604" s="200"/>
      <c r="BB604" s="200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</row>
    <row r="605" spans="1:71" ht="13.8">
      <c r="A605" s="1"/>
      <c r="B605" s="1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  <c r="AB605" s="200"/>
      <c r="AC605" s="200"/>
      <c r="AD605" s="200"/>
      <c r="AE605" s="200"/>
      <c r="AF605" s="200"/>
      <c r="AG605" s="200"/>
      <c r="AH605" s="200"/>
      <c r="AI605" s="200"/>
      <c r="AJ605" s="200"/>
      <c r="AK605" s="200"/>
      <c r="AL605" s="200"/>
      <c r="AM605" s="200"/>
      <c r="AN605" s="200"/>
      <c r="AO605" s="200"/>
      <c r="AP605" s="200"/>
      <c r="AQ605" s="200"/>
      <c r="AR605" s="200"/>
      <c r="AS605" s="200"/>
      <c r="AT605" s="200"/>
      <c r="AU605" s="200"/>
      <c r="AV605" s="200"/>
      <c r="AW605" s="200"/>
      <c r="AX605" s="200"/>
      <c r="AY605" s="200"/>
      <c r="AZ605" s="200"/>
      <c r="BA605" s="200"/>
      <c r="BB605" s="200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</row>
    <row r="606" spans="1:71" ht="13.8">
      <c r="A606" s="1"/>
      <c r="B606" s="1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  <c r="AB606" s="200"/>
      <c r="AC606" s="200"/>
      <c r="AD606" s="200"/>
      <c r="AE606" s="200"/>
      <c r="AF606" s="200"/>
      <c r="AG606" s="200"/>
      <c r="AH606" s="200"/>
      <c r="AI606" s="200"/>
      <c r="AJ606" s="200"/>
      <c r="AK606" s="200"/>
      <c r="AL606" s="200"/>
      <c r="AM606" s="200"/>
      <c r="AN606" s="200"/>
      <c r="AO606" s="200"/>
      <c r="AP606" s="200"/>
      <c r="AQ606" s="200"/>
      <c r="AR606" s="200"/>
      <c r="AS606" s="200"/>
      <c r="AT606" s="200"/>
      <c r="AU606" s="200"/>
      <c r="AV606" s="200"/>
      <c r="AW606" s="200"/>
      <c r="AX606" s="200"/>
      <c r="AY606" s="200"/>
      <c r="AZ606" s="200"/>
      <c r="BA606" s="200"/>
      <c r="BB606" s="200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</row>
    <row r="607" spans="1:71" ht="13.8">
      <c r="A607" s="1"/>
      <c r="B607" s="1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  <c r="AB607" s="200"/>
      <c r="AC607" s="200"/>
      <c r="AD607" s="200"/>
      <c r="AE607" s="200"/>
      <c r="AF607" s="200"/>
      <c r="AG607" s="200"/>
      <c r="AH607" s="200"/>
      <c r="AI607" s="200"/>
      <c r="AJ607" s="200"/>
      <c r="AK607" s="200"/>
      <c r="AL607" s="200"/>
      <c r="AM607" s="200"/>
      <c r="AN607" s="200"/>
      <c r="AO607" s="200"/>
      <c r="AP607" s="200"/>
      <c r="AQ607" s="200"/>
      <c r="AR607" s="200"/>
      <c r="AS607" s="200"/>
      <c r="AT607" s="200"/>
      <c r="AU607" s="200"/>
      <c r="AV607" s="200"/>
      <c r="AW607" s="200"/>
      <c r="AX607" s="200"/>
      <c r="AY607" s="200"/>
      <c r="AZ607" s="200"/>
      <c r="BA607" s="200"/>
      <c r="BB607" s="200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</row>
    <row r="608" spans="1:71" ht="13.8">
      <c r="A608" s="1"/>
      <c r="B608" s="1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  <c r="AB608" s="200"/>
      <c r="AC608" s="200"/>
      <c r="AD608" s="200"/>
      <c r="AE608" s="200"/>
      <c r="AF608" s="200"/>
      <c r="AG608" s="200"/>
      <c r="AH608" s="200"/>
      <c r="AI608" s="200"/>
      <c r="AJ608" s="200"/>
      <c r="AK608" s="200"/>
      <c r="AL608" s="200"/>
      <c r="AM608" s="200"/>
      <c r="AN608" s="200"/>
      <c r="AO608" s="200"/>
      <c r="AP608" s="200"/>
      <c r="AQ608" s="200"/>
      <c r="AR608" s="200"/>
      <c r="AS608" s="200"/>
      <c r="AT608" s="200"/>
      <c r="AU608" s="200"/>
      <c r="AV608" s="200"/>
      <c r="AW608" s="200"/>
      <c r="AX608" s="200"/>
      <c r="AY608" s="200"/>
      <c r="AZ608" s="200"/>
      <c r="BA608" s="200"/>
      <c r="BB608" s="200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</row>
    <row r="609" spans="1:71" ht="13.8">
      <c r="A609" s="1"/>
      <c r="B609" s="1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  <c r="AB609" s="200"/>
      <c r="AC609" s="200"/>
      <c r="AD609" s="200"/>
      <c r="AE609" s="200"/>
      <c r="AF609" s="200"/>
      <c r="AG609" s="200"/>
      <c r="AH609" s="200"/>
      <c r="AI609" s="200"/>
      <c r="AJ609" s="200"/>
      <c r="AK609" s="200"/>
      <c r="AL609" s="200"/>
      <c r="AM609" s="200"/>
      <c r="AN609" s="200"/>
      <c r="AO609" s="200"/>
      <c r="AP609" s="200"/>
      <c r="AQ609" s="200"/>
      <c r="AR609" s="200"/>
      <c r="AS609" s="200"/>
      <c r="AT609" s="200"/>
      <c r="AU609" s="200"/>
      <c r="AV609" s="200"/>
      <c r="AW609" s="200"/>
      <c r="AX609" s="200"/>
      <c r="AY609" s="200"/>
      <c r="AZ609" s="200"/>
      <c r="BA609" s="200"/>
      <c r="BB609" s="200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</row>
    <row r="610" spans="1:71" ht="13.8">
      <c r="A610" s="1"/>
      <c r="B610" s="1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  <c r="AB610" s="200"/>
      <c r="AC610" s="200"/>
      <c r="AD610" s="200"/>
      <c r="AE610" s="200"/>
      <c r="AF610" s="200"/>
      <c r="AG610" s="200"/>
      <c r="AH610" s="200"/>
      <c r="AI610" s="200"/>
      <c r="AJ610" s="200"/>
      <c r="AK610" s="200"/>
      <c r="AL610" s="200"/>
      <c r="AM610" s="200"/>
      <c r="AN610" s="200"/>
      <c r="AO610" s="200"/>
      <c r="AP610" s="200"/>
      <c r="AQ610" s="200"/>
      <c r="AR610" s="200"/>
      <c r="AS610" s="200"/>
      <c r="AT610" s="200"/>
      <c r="AU610" s="200"/>
      <c r="AV610" s="200"/>
      <c r="AW610" s="200"/>
      <c r="AX610" s="200"/>
      <c r="AY610" s="200"/>
      <c r="AZ610" s="200"/>
      <c r="BA610" s="200"/>
      <c r="BB610" s="200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</row>
    <row r="611" spans="1:71" ht="13.8">
      <c r="A611" s="1"/>
      <c r="B611" s="1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  <c r="AB611" s="200"/>
      <c r="AC611" s="200"/>
      <c r="AD611" s="200"/>
      <c r="AE611" s="200"/>
      <c r="AF611" s="200"/>
      <c r="AG611" s="200"/>
      <c r="AH611" s="200"/>
      <c r="AI611" s="200"/>
      <c r="AJ611" s="200"/>
      <c r="AK611" s="200"/>
      <c r="AL611" s="200"/>
      <c r="AM611" s="200"/>
      <c r="AN611" s="200"/>
      <c r="AO611" s="200"/>
      <c r="AP611" s="200"/>
      <c r="AQ611" s="200"/>
      <c r="AR611" s="200"/>
      <c r="AS611" s="200"/>
      <c r="AT611" s="200"/>
      <c r="AU611" s="200"/>
      <c r="AV611" s="200"/>
      <c r="AW611" s="200"/>
      <c r="AX611" s="200"/>
      <c r="AY611" s="200"/>
      <c r="AZ611" s="200"/>
      <c r="BA611" s="200"/>
      <c r="BB611" s="200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</row>
    <row r="612" spans="1:71" ht="13.8">
      <c r="A612" s="1"/>
      <c r="B612" s="1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  <c r="AB612" s="200"/>
      <c r="AC612" s="200"/>
      <c r="AD612" s="200"/>
      <c r="AE612" s="200"/>
      <c r="AF612" s="200"/>
      <c r="AG612" s="200"/>
      <c r="AH612" s="200"/>
      <c r="AI612" s="200"/>
      <c r="AJ612" s="200"/>
      <c r="AK612" s="200"/>
      <c r="AL612" s="200"/>
      <c r="AM612" s="200"/>
      <c r="AN612" s="200"/>
      <c r="AO612" s="200"/>
      <c r="AP612" s="200"/>
      <c r="AQ612" s="200"/>
      <c r="AR612" s="200"/>
      <c r="AS612" s="200"/>
      <c r="AT612" s="200"/>
      <c r="AU612" s="200"/>
      <c r="AV612" s="200"/>
      <c r="AW612" s="200"/>
      <c r="AX612" s="200"/>
      <c r="AY612" s="200"/>
      <c r="AZ612" s="200"/>
      <c r="BA612" s="200"/>
      <c r="BB612" s="200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</row>
    <row r="613" spans="1:71" ht="13.8">
      <c r="A613" s="1"/>
      <c r="B613" s="1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  <c r="AB613" s="200"/>
      <c r="AC613" s="200"/>
      <c r="AD613" s="200"/>
      <c r="AE613" s="200"/>
      <c r="AF613" s="200"/>
      <c r="AG613" s="200"/>
      <c r="AH613" s="200"/>
      <c r="AI613" s="200"/>
      <c r="AJ613" s="200"/>
      <c r="AK613" s="200"/>
      <c r="AL613" s="200"/>
      <c r="AM613" s="200"/>
      <c r="AN613" s="200"/>
      <c r="AO613" s="200"/>
      <c r="AP613" s="200"/>
      <c r="AQ613" s="200"/>
      <c r="AR613" s="200"/>
      <c r="AS613" s="200"/>
      <c r="AT613" s="200"/>
      <c r="AU613" s="200"/>
      <c r="AV613" s="200"/>
      <c r="AW613" s="200"/>
      <c r="AX613" s="200"/>
      <c r="AY613" s="200"/>
      <c r="AZ613" s="200"/>
      <c r="BA613" s="200"/>
      <c r="BB613" s="200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</row>
    <row r="614" spans="1:71" ht="13.8">
      <c r="A614" s="1"/>
      <c r="B614" s="1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  <c r="AB614" s="200"/>
      <c r="AC614" s="200"/>
      <c r="AD614" s="200"/>
      <c r="AE614" s="200"/>
      <c r="AF614" s="200"/>
      <c r="AG614" s="200"/>
      <c r="AH614" s="200"/>
      <c r="AI614" s="200"/>
      <c r="AJ614" s="200"/>
      <c r="AK614" s="200"/>
      <c r="AL614" s="200"/>
      <c r="AM614" s="200"/>
      <c r="AN614" s="200"/>
      <c r="AO614" s="200"/>
      <c r="AP614" s="200"/>
      <c r="AQ614" s="200"/>
      <c r="AR614" s="200"/>
      <c r="AS614" s="200"/>
      <c r="AT614" s="200"/>
      <c r="AU614" s="200"/>
      <c r="AV614" s="200"/>
      <c r="AW614" s="200"/>
      <c r="AX614" s="200"/>
      <c r="AY614" s="200"/>
      <c r="AZ614" s="200"/>
      <c r="BA614" s="200"/>
      <c r="BB614" s="200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</row>
    <row r="615" spans="1:71" ht="13.8">
      <c r="A615" s="1"/>
      <c r="B615" s="1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  <c r="AB615" s="200"/>
      <c r="AC615" s="200"/>
      <c r="AD615" s="200"/>
      <c r="AE615" s="200"/>
      <c r="AF615" s="200"/>
      <c r="AG615" s="200"/>
      <c r="AH615" s="200"/>
      <c r="AI615" s="200"/>
      <c r="AJ615" s="200"/>
      <c r="AK615" s="200"/>
      <c r="AL615" s="200"/>
      <c r="AM615" s="200"/>
      <c r="AN615" s="200"/>
      <c r="AO615" s="200"/>
      <c r="AP615" s="200"/>
      <c r="AQ615" s="200"/>
      <c r="AR615" s="200"/>
      <c r="AS615" s="200"/>
      <c r="AT615" s="200"/>
      <c r="AU615" s="200"/>
      <c r="AV615" s="200"/>
      <c r="AW615" s="200"/>
      <c r="AX615" s="200"/>
      <c r="AY615" s="200"/>
      <c r="AZ615" s="200"/>
      <c r="BA615" s="200"/>
      <c r="BB615" s="200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</row>
    <row r="616" spans="1:71" ht="13.8">
      <c r="A616" s="1"/>
      <c r="B616" s="1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  <c r="AB616" s="200"/>
      <c r="AC616" s="200"/>
      <c r="AD616" s="200"/>
      <c r="AE616" s="200"/>
      <c r="AF616" s="200"/>
      <c r="AG616" s="200"/>
      <c r="AH616" s="200"/>
      <c r="AI616" s="200"/>
      <c r="AJ616" s="200"/>
      <c r="AK616" s="200"/>
      <c r="AL616" s="200"/>
      <c r="AM616" s="200"/>
      <c r="AN616" s="200"/>
      <c r="AO616" s="200"/>
      <c r="AP616" s="200"/>
      <c r="AQ616" s="200"/>
      <c r="AR616" s="200"/>
      <c r="AS616" s="200"/>
      <c r="AT616" s="200"/>
      <c r="AU616" s="200"/>
      <c r="AV616" s="200"/>
      <c r="AW616" s="200"/>
      <c r="AX616" s="200"/>
      <c r="AY616" s="200"/>
      <c r="AZ616" s="200"/>
      <c r="BA616" s="200"/>
      <c r="BB616" s="200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</row>
    <row r="617" spans="1:71" ht="13.8">
      <c r="A617" s="1"/>
      <c r="B617" s="1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  <c r="AB617" s="200"/>
      <c r="AC617" s="200"/>
      <c r="AD617" s="200"/>
      <c r="AE617" s="200"/>
      <c r="AF617" s="200"/>
      <c r="AG617" s="200"/>
      <c r="AH617" s="200"/>
      <c r="AI617" s="200"/>
      <c r="AJ617" s="200"/>
      <c r="AK617" s="200"/>
      <c r="AL617" s="200"/>
      <c r="AM617" s="200"/>
      <c r="AN617" s="200"/>
      <c r="AO617" s="200"/>
      <c r="AP617" s="200"/>
      <c r="AQ617" s="200"/>
      <c r="AR617" s="200"/>
      <c r="AS617" s="200"/>
      <c r="AT617" s="200"/>
      <c r="AU617" s="200"/>
      <c r="AV617" s="200"/>
      <c r="AW617" s="200"/>
      <c r="AX617" s="200"/>
      <c r="AY617" s="200"/>
      <c r="AZ617" s="200"/>
      <c r="BA617" s="200"/>
      <c r="BB617" s="200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</row>
    <row r="618" spans="1:71" ht="13.8">
      <c r="A618" s="1"/>
      <c r="B618" s="1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  <c r="AB618" s="200"/>
      <c r="AC618" s="200"/>
      <c r="AD618" s="200"/>
      <c r="AE618" s="200"/>
      <c r="AF618" s="200"/>
      <c r="AG618" s="200"/>
      <c r="AH618" s="200"/>
      <c r="AI618" s="200"/>
      <c r="AJ618" s="200"/>
      <c r="AK618" s="200"/>
      <c r="AL618" s="200"/>
      <c r="AM618" s="200"/>
      <c r="AN618" s="200"/>
      <c r="AO618" s="200"/>
      <c r="AP618" s="200"/>
      <c r="AQ618" s="200"/>
      <c r="AR618" s="200"/>
      <c r="AS618" s="200"/>
      <c r="AT618" s="200"/>
      <c r="AU618" s="200"/>
      <c r="AV618" s="200"/>
      <c r="AW618" s="200"/>
      <c r="AX618" s="200"/>
      <c r="AY618" s="200"/>
      <c r="AZ618" s="200"/>
      <c r="BA618" s="200"/>
      <c r="BB618" s="200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</row>
    <row r="619" spans="1:71" ht="13.8">
      <c r="A619" s="1"/>
      <c r="B619" s="1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  <c r="AB619" s="200"/>
      <c r="AC619" s="200"/>
      <c r="AD619" s="200"/>
      <c r="AE619" s="200"/>
      <c r="AF619" s="200"/>
      <c r="AG619" s="200"/>
      <c r="AH619" s="200"/>
      <c r="AI619" s="200"/>
      <c r="AJ619" s="200"/>
      <c r="AK619" s="200"/>
      <c r="AL619" s="200"/>
      <c r="AM619" s="200"/>
      <c r="AN619" s="200"/>
      <c r="AO619" s="200"/>
      <c r="AP619" s="200"/>
      <c r="AQ619" s="200"/>
      <c r="AR619" s="200"/>
      <c r="AS619" s="200"/>
      <c r="AT619" s="200"/>
      <c r="AU619" s="200"/>
      <c r="AV619" s="200"/>
      <c r="AW619" s="200"/>
      <c r="AX619" s="200"/>
      <c r="AY619" s="200"/>
      <c r="AZ619" s="200"/>
      <c r="BA619" s="200"/>
      <c r="BB619" s="200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</row>
    <row r="620" spans="1:71" ht="13.8">
      <c r="A620" s="1"/>
      <c r="B620" s="1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  <c r="AB620" s="200"/>
      <c r="AC620" s="200"/>
      <c r="AD620" s="200"/>
      <c r="AE620" s="200"/>
      <c r="AF620" s="200"/>
      <c r="AG620" s="200"/>
      <c r="AH620" s="200"/>
      <c r="AI620" s="200"/>
      <c r="AJ620" s="200"/>
      <c r="AK620" s="200"/>
      <c r="AL620" s="200"/>
      <c r="AM620" s="200"/>
      <c r="AN620" s="200"/>
      <c r="AO620" s="200"/>
      <c r="AP620" s="200"/>
      <c r="AQ620" s="200"/>
      <c r="AR620" s="200"/>
      <c r="AS620" s="200"/>
      <c r="AT620" s="200"/>
      <c r="AU620" s="200"/>
      <c r="AV620" s="200"/>
      <c r="AW620" s="200"/>
      <c r="AX620" s="200"/>
      <c r="AY620" s="200"/>
      <c r="AZ620" s="200"/>
      <c r="BA620" s="200"/>
      <c r="BB620" s="200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</row>
    <row r="621" spans="1:71" ht="13.8">
      <c r="A621" s="1"/>
      <c r="B621" s="1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  <c r="AB621" s="200"/>
      <c r="AC621" s="200"/>
      <c r="AD621" s="200"/>
      <c r="AE621" s="200"/>
      <c r="AF621" s="200"/>
      <c r="AG621" s="200"/>
      <c r="AH621" s="200"/>
      <c r="AI621" s="200"/>
      <c r="AJ621" s="200"/>
      <c r="AK621" s="200"/>
      <c r="AL621" s="200"/>
      <c r="AM621" s="200"/>
      <c r="AN621" s="200"/>
      <c r="AO621" s="200"/>
      <c r="AP621" s="200"/>
      <c r="AQ621" s="200"/>
      <c r="AR621" s="200"/>
      <c r="AS621" s="200"/>
      <c r="AT621" s="200"/>
      <c r="AU621" s="200"/>
      <c r="AV621" s="200"/>
      <c r="AW621" s="200"/>
      <c r="AX621" s="200"/>
      <c r="AY621" s="200"/>
      <c r="AZ621" s="200"/>
      <c r="BA621" s="200"/>
      <c r="BB621" s="200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</row>
    <row r="622" spans="1:71" ht="13.8">
      <c r="A622" s="1"/>
      <c r="B622" s="1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  <c r="AB622" s="200"/>
      <c r="AC622" s="200"/>
      <c r="AD622" s="200"/>
      <c r="AE622" s="200"/>
      <c r="AF622" s="200"/>
      <c r="AG622" s="200"/>
      <c r="AH622" s="200"/>
      <c r="AI622" s="200"/>
      <c r="AJ622" s="200"/>
      <c r="AK622" s="200"/>
      <c r="AL622" s="200"/>
      <c r="AM622" s="200"/>
      <c r="AN622" s="200"/>
      <c r="AO622" s="200"/>
      <c r="AP622" s="200"/>
      <c r="AQ622" s="200"/>
      <c r="AR622" s="200"/>
      <c r="AS622" s="200"/>
      <c r="AT622" s="200"/>
      <c r="AU622" s="200"/>
      <c r="AV622" s="200"/>
      <c r="AW622" s="200"/>
      <c r="AX622" s="200"/>
      <c r="AY622" s="200"/>
      <c r="AZ622" s="200"/>
      <c r="BA622" s="200"/>
      <c r="BB622" s="200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</row>
    <row r="623" spans="1:71" ht="13.8">
      <c r="A623" s="1"/>
      <c r="B623" s="1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  <c r="AB623" s="200"/>
      <c r="AC623" s="200"/>
      <c r="AD623" s="200"/>
      <c r="AE623" s="200"/>
      <c r="AF623" s="200"/>
      <c r="AG623" s="200"/>
      <c r="AH623" s="200"/>
      <c r="AI623" s="200"/>
      <c r="AJ623" s="200"/>
      <c r="AK623" s="200"/>
      <c r="AL623" s="200"/>
      <c r="AM623" s="200"/>
      <c r="AN623" s="200"/>
      <c r="AO623" s="200"/>
      <c r="AP623" s="200"/>
      <c r="AQ623" s="200"/>
      <c r="AR623" s="200"/>
      <c r="AS623" s="200"/>
      <c r="AT623" s="200"/>
      <c r="AU623" s="200"/>
      <c r="AV623" s="200"/>
      <c r="AW623" s="200"/>
      <c r="AX623" s="200"/>
      <c r="AY623" s="200"/>
      <c r="AZ623" s="200"/>
      <c r="BA623" s="200"/>
      <c r="BB623" s="200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</row>
    <row r="624" spans="1:71" ht="13.8">
      <c r="A624" s="1"/>
      <c r="B624" s="1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  <c r="AB624" s="200"/>
      <c r="AC624" s="200"/>
      <c r="AD624" s="200"/>
      <c r="AE624" s="200"/>
      <c r="AF624" s="200"/>
      <c r="AG624" s="200"/>
      <c r="AH624" s="200"/>
      <c r="AI624" s="200"/>
      <c r="AJ624" s="200"/>
      <c r="AK624" s="200"/>
      <c r="AL624" s="200"/>
      <c r="AM624" s="200"/>
      <c r="AN624" s="200"/>
      <c r="AO624" s="200"/>
      <c r="AP624" s="200"/>
      <c r="AQ624" s="200"/>
      <c r="AR624" s="200"/>
      <c r="AS624" s="200"/>
      <c r="AT624" s="200"/>
      <c r="AU624" s="200"/>
      <c r="AV624" s="200"/>
      <c r="AW624" s="200"/>
      <c r="AX624" s="200"/>
      <c r="AY624" s="200"/>
      <c r="AZ624" s="200"/>
      <c r="BA624" s="200"/>
      <c r="BB624" s="200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</row>
    <row r="625" spans="1:71" ht="13.8">
      <c r="A625" s="1"/>
      <c r="B625" s="1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  <c r="AB625" s="200"/>
      <c r="AC625" s="200"/>
      <c r="AD625" s="200"/>
      <c r="AE625" s="200"/>
      <c r="AF625" s="200"/>
      <c r="AG625" s="200"/>
      <c r="AH625" s="200"/>
      <c r="AI625" s="200"/>
      <c r="AJ625" s="200"/>
      <c r="AK625" s="200"/>
      <c r="AL625" s="200"/>
      <c r="AM625" s="200"/>
      <c r="AN625" s="200"/>
      <c r="AO625" s="200"/>
      <c r="AP625" s="200"/>
      <c r="AQ625" s="200"/>
      <c r="AR625" s="200"/>
      <c r="AS625" s="200"/>
      <c r="AT625" s="200"/>
      <c r="AU625" s="200"/>
      <c r="AV625" s="200"/>
      <c r="AW625" s="200"/>
      <c r="AX625" s="200"/>
      <c r="AY625" s="200"/>
      <c r="AZ625" s="200"/>
      <c r="BA625" s="200"/>
      <c r="BB625" s="200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</row>
    <row r="626" spans="1:71" ht="13.8">
      <c r="A626" s="1"/>
      <c r="B626" s="1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  <c r="AB626" s="200"/>
      <c r="AC626" s="200"/>
      <c r="AD626" s="200"/>
      <c r="AE626" s="200"/>
      <c r="AF626" s="200"/>
      <c r="AG626" s="200"/>
      <c r="AH626" s="200"/>
      <c r="AI626" s="200"/>
      <c r="AJ626" s="200"/>
      <c r="AK626" s="200"/>
      <c r="AL626" s="200"/>
      <c r="AM626" s="200"/>
      <c r="AN626" s="200"/>
      <c r="AO626" s="200"/>
      <c r="AP626" s="200"/>
      <c r="AQ626" s="200"/>
      <c r="AR626" s="200"/>
      <c r="AS626" s="200"/>
      <c r="AT626" s="200"/>
      <c r="AU626" s="200"/>
      <c r="AV626" s="200"/>
      <c r="AW626" s="200"/>
      <c r="AX626" s="200"/>
      <c r="AY626" s="200"/>
      <c r="AZ626" s="200"/>
      <c r="BA626" s="200"/>
      <c r="BB626" s="200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</row>
    <row r="627" spans="1:71" ht="13.8">
      <c r="A627" s="1"/>
      <c r="B627" s="1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  <c r="AB627" s="200"/>
      <c r="AC627" s="200"/>
      <c r="AD627" s="200"/>
      <c r="AE627" s="200"/>
      <c r="AF627" s="200"/>
      <c r="AG627" s="200"/>
      <c r="AH627" s="200"/>
      <c r="AI627" s="200"/>
      <c r="AJ627" s="200"/>
      <c r="AK627" s="200"/>
      <c r="AL627" s="200"/>
      <c r="AM627" s="200"/>
      <c r="AN627" s="200"/>
      <c r="AO627" s="200"/>
      <c r="AP627" s="200"/>
      <c r="AQ627" s="200"/>
      <c r="AR627" s="200"/>
      <c r="AS627" s="200"/>
      <c r="AT627" s="200"/>
      <c r="AU627" s="200"/>
      <c r="AV627" s="200"/>
      <c r="AW627" s="200"/>
      <c r="AX627" s="200"/>
      <c r="AY627" s="200"/>
      <c r="AZ627" s="200"/>
      <c r="BA627" s="200"/>
      <c r="BB627" s="200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</row>
    <row r="628" spans="1:71" ht="13.8">
      <c r="A628" s="1"/>
      <c r="B628" s="1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  <c r="AB628" s="200"/>
      <c r="AC628" s="200"/>
      <c r="AD628" s="200"/>
      <c r="AE628" s="200"/>
      <c r="AF628" s="200"/>
      <c r="AG628" s="200"/>
      <c r="AH628" s="200"/>
      <c r="AI628" s="200"/>
      <c r="AJ628" s="200"/>
      <c r="AK628" s="200"/>
      <c r="AL628" s="200"/>
      <c r="AM628" s="200"/>
      <c r="AN628" s="200"/>
      <c r="AO628" s="200"/>
      <c r="AP628" s="200"/>
      <c r="AQ628" s="200"/>
      <c r="AR628" s="200"/>
      <c r="AS628" s="200"/>
      <c r="AT628" s="200"/>
      <c r="AU628" s="200"/>
      <c r="AV628" s="200"/>
      <c r="AW628" s="200"/>
      <c r="AX628" s="200"/>
      <c r="AY628" s="200"/>
      <c r="AZ628" s="200"/>
      <c r="BA628" s="200"/>
      <c r="BB628" s="200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</row>
    <row r="629" spans="1:71" ht="13.8">
      <c r="A629" s="1"/>
      <c r="B629" s="1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  <c r="AB629" s="200"/>
      <c r="AC629" s="200"/>
      <c r="AD629" s="200"/>
      <c r="AE629" s="200"/>
      <c r="AF629" s="200"/>
      <c r="AG629" s="200"/>
      <c r="AH629" s="200"/>
      <c r="AI629" s="200"/>
      <c r="AJ629" s="200"/>
      <c r="AK629" s="200"/>
      <c r="AL629" s="200"/>
      <c r="AM629" s="200"/>
      <c r="AN629" s="200"/>
      <c r="AO629" s="200"/>
      <c r="AP629" s="200"/>
      <c r="AQ629" s="200"/>
      <c r="AR629" s="200"/>
      <c r="AS629" s="200"/>
      <c r="AT629" s="200"/>
      <c r="AU629" s="200"/>
      <c r="AV629" s="200"/>
      <c r="AW629" s="200"/>
      <c r="AX629" s="200"/>
      <c r="AY629" s="200"/>
      <c r="AZ629" s="200"/>
      <c r="BA629" s="200"/>
      <c r="BB629" s="200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</row>
    <row r="630" spans="1:71" ht="13.8">
      <c r="A630" s="1"/>
      <c r="B630" s="1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  <c r="AB630" s="200"/>
      <c r="AC630" s="200"/>
      <c r="AD630" s="200"/>
      <c r="AE630" s="200"/>
      <c r="AF630" s="200"/>
      <c r="AG630" s="200"/>
      <c r="AH630" s="200"/>
      <c r="AI630" s="200"/>
      <c r="AJ630" s="200"/>
      <c r="AK630" s="200"/>
      <c r="AL630" s="200"/>
      <c r="AM630" s="200"/>
      <c r="AN630" s="200"/>
      <c r="AO630" s="200"/>
      <c r="AP630" s="200"/>
      <c r="AQ630" s="200"/>
      <c r="AR630" s="200"/>
      <c r="AS630" s="200"/>
      <c r="AT630" s="200"/>
      <c r="AU630" s="200"/>
      <c r="AV630" s="200"/>
      <c r="AW630" s="200"/>
      <c r="AX630" s="200"/>
      <c r="AY630" s="200"/>
      <c r="AZ630" s="200"/>
      <c r="BA630" s="200"/>
      <c r="BB630" s="200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</row>
    <row r="631" spans="1:71" ht="13.8">
      <c r="A631" s="1"/>
      <c r="B631" s="1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  <c r="AB631" s="200"/>
      <c r="AC631" s="200"/>
      <c r="AD631" s="200"/>
      <c r="AE631" s="200"/>
      <c r="AF631" s="200"/>
      <c r="AG631" s="200"/>
      <c r="AH631" s="200"/>
      <c r="AI631" s="200"/>
      <c r="AJ631" s="200"/>
      <c r="AK631" s="200"/>
      <c r="AL631" s="200"/>
      <c r="AM631" s="200"/>
      <c r="AN631" s="200"/>
      <c r="AO631" s="200"/>
      <c r="AP631" s="200"/>
      <c r="AQ631" s="200"/>
      <c r="AR631" s="200"/>
      <c r="AS631" s="200"/>
      <c r="AT631" s="200"/>
      <c r="AU631" s="200"/>
      <c r="AV631" s="200"/>
      <c r="AW631" s="200"/>
      <c r="AX631" s="200"/>
      <c r="AY631" s="200"/>
      <c r="AZ631" s="200"/>
      <c r="BA631" s="200"/>
      <c r="BB631" s="200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</row>
    <row r="632" spans="1:71" ht="13.8">
      <c r="A632" s="1"/>
      <c r="B632" s="1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  <c r="AB632" s="200"/>
      <c r="AC632" s="200"/>
      <c r="AD632" s="200"/>
      <c r="AE632" s="200"/>
      <c r="AF632" s="200"/>
      <c r="AG632" s="200"/>
      <c r="AH632" s="200"/>
      <c r="AI632" s="200"/>
      <c r="AJ632" s="200"/>
      <c r="AK632" s="200"/>
      <c r="AL632" s="200"/>
      <c r="AM632" s="200"/>
      <c r="AN632" s="200"/>
      <c r="AO632" s="200"/>
      <c r="AP632" s="200"/>
      <c r="AQ632" s="200"/>
      <c r="AR632" s="200"/>
      <c r="AS632" s="200"/>
      <c r="AT632" s="200"/>
      <c r="AU632" s="200"/>
      <c r="AV632" s="200"/>
      <c r="AW632" s="200"/>
      <c r="AX632" s="200"/>
      <c r="AY632" s="200"/>
      <c r="AZ632" s="200"/>
      <c r="BA632" s="200"/>
      <c r="BB632" s="200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</row>
    <row r="633" spans="1:71" ht="13.8">
      <c r="A633" s="1"/>
      <c r="B633" s="1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  <c r="AB633" s="200"/>
      <c r="AC633" s="200"/>
      <c r="AD633" s="200"/>
      <c r="AE633" s="200"/>
      <c r="AF633" s="200"/>
      <c r="AG633" s="200"/>
      <c r="AH633" s="200"/>
      <c r="AI633" s="200"/>
      <c r="AJ633" s="200"/>
      <c r="AK633" s="200"/>
      <c r="AL633" s="200"/>
      <c r="AM633" s="200"/>
      <c r="AN633" s="200"/>
      <c r="AO633" s="200"/>
      <c r="AP633" s="200"/>
      <c r="AQ633" s="200"/>
      <c r="AR633" s="200"/>
      <c r="AS633" s="200"/>
      <c r="AT633" s="200"/>
      <c r="AU633" s="200"/>
      <c r="AV633" s="200"/>
      <c r="AW633" s="200"/>
      <c r="AX633" s="200"/>
      <c r="AY633" s="200"/>
      <c r="AZ633" s="200"/>
      <c r="BA633" s="200"/>
      <c r="BB633" s="200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</row>
    <row r="634" spans="1:71" ht="13.8">
      <c r="A634" s="1"/>
      <c r="B634" s="1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  <c r="AB634" s="200"/>
      <c r="AC634" s="200"/>
      <c r="AD634" s="200"/>
      <c r="AE634" s="200"/>
      <c r="AF634" s="200"/>
      <c r="AG634" s="200"/>
      <c r="AH634" s="200"/>
      <c r="AI634" s="200"/>
      <c r="AJ634" s="200"/>
      <c r="AK634" s="200"/>
      <c r="AL634" s="200"/>
      <c r="AM634" s="200"/>
      <c r="AN634" s="200"/>
      <c r="AO634" s="200"/>
      <c r="AP634" s="200"/>
      <c r="AQ634" s="200"/>
      <c r="AR634" s="200"/>
      <c r="AS634" s="200"/>
      <c r="AT634" s="200"/>
      <c r="AU634" s="200"/>
      <c r="AV634" s="200"/>
      <c r="AW634" s="200"/>
      <c r="AX634" s="200"/>
      <c r="AY634" s="200"/>
      <c r="AZ634" s="200"/>
      <c r="BA634" s="200"/>
      <c r="BB634" s="200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</row>
    <row r="635" spans="1:71" ht="13.8">
      <c r="A635" s="1"/>
      <c r="B635" s="1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  <c r="AB635" s="200"/>
      <c r="AC635" s="200"/>
      <c r="AD635" s="200"/>
      <c r="AE635" s="200"/>
      <c r="AF635" s="200"/>
      <c r="AG635" s="200"/>
      <c r="AH635" s="200"/>
      <c r="AI635" s="200"/>
      <c r="AJ635" s="200"/>
      <c r="AK635" s="200"/>
      <c r="AL635" s="200"/>
      <c r="AM635" s="200"/>
      <c r="AN635" s="200"/>
      <c r="AO635" s="200"/>
      <c r="AP635" s="200"/>
      <c r="AQ635" s="200"/>
      <c r="AR635" s="200"/>
      <c r="AS635" s="200"/>
      <c r="AT635" s="200"/>
      <c r="AU635" s="200"/>
      <c r="AV635" s="200"/>
      <c r="AW635" s="200"/>
      <c r="AX635" s="200"/>
      <c r="AY635" s="200"/>
      <c r="AZ635" s="200"/>
      <c r="BA635" s="200"/>
      <c r="BB635" s="200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</row>
    <row r="636" spans="1:71" ht="13.8">
      <c r="A636" s="1"/>
      <c r="B636" s="1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  <c r="AB636" s="200"/>
      <c r="AC636" s="200"/>
      <c r="AD636" s="200"/>
      <c r="AE636" s="200"/>
      <c r="AF636" s="200"/>
      <c r="AG636" s="200"/>
      <c r="AH636" s="200"/>
      <c r="AI636" s="200"/>
      <c r="AJ636" s="200"/>
      <c r="AK636" s="200"/>
      <c r="AL636" s="200"/>
      <c r="AM636" s="200"/>
      <c r="AN636" s="200"/>
      <c r="AO636" s="200"/>
      <c r="AP636" s="200"/>
      <c r="AQ636" s="200"/>
      <c r="AR636" s="200"/>
      <c r="AS636" s="200"/>
      <c r="AT636" s="200"/>
      <c r="AU636" s="200"/>
      <c r="AV636" s="200"/>
      <c r="AW636" s="200"/>
      <c r="AX636" s="200"/>
      <c r="AY636" s="200"/>
      <c r="AZ636" s="200"/>
      <c r="BA636" s="200"/>
      <c r="BB636" s="200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</row>
    <row r="637" spans="1:71" ht="13.8">
      <c r="A637" s="1"/>
      <c r="B637" s="1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  <c r="AB637" s="200"/>
      <c r="AC637" s="200"/>
      <c r="AD637" s="200"/>
      <c r="AE637" s="200"/>
      <c r="AF637" s="200"/>
      <c r="AG637" s="200"/>
      <c r="AH637" s="200"/>
      <c r="AI637" s="200"/>
      <c r="AJ637" s="200"/>
      <c r="AK637" s="200"/>
      <c r="AL637" s="200"/>
      <c r="AM637" s="200"/>
      <c r="AN637" s="200"/>
      <c r="AO637" s="200"/>
      <c r="AP637" s="200"/>
      <c r="AQ637" s="200"/>
      <c r="AR637" s="200"/>
      <c r="AS637" s="200"/>
      <c r="AT637" s="200"/>
      <c r="AU637" s="200"/>
      <c r="AV637" s="200"/>
      <c r="AW637" s="200"/>
      <c r="AX637" s="200"/>
      <c r="AY637" s="200"/>
      <c r="AZ637" s="200"/>
      <c r="BA637" s="200"/>
      <c r="BB637" s="200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</row>
    <row r="638" spans="1:71" ht="13.8">
      <c r="A638" s="1"/>
      <c r="B638" s="1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  <c r="AB638" s="200"/>
      <c r="AC638" s="200"/>
      <c r="AD638" s="200"/>
      <c r="AE638" s="200"/>
      <c r="AF638" s="200"/>
      <c r="AG638" s="200"/>
      <c r="AH638" s="200"/>
      <c r="AI638" s="200"/>
      <c r="AJ638" s="200"/>
      <c r="AK638" s="200"/>
      <c r="AL638" s="200"/>
      <c r="AM638" s="200"/>
      <c r="AN638" s="200"/>
      <c r="AO638" s="200"/>
      <c r="AP638" s="200"/>
      <c r="AQ638" s="200"/>
      <c r="AR638" s="200"/>
      <c r="AS638" s="200"/>
      <c r="AT638" s="200"/>
      <c r="AU638" s="200"/>
      <c r="AV638" s="200"/>
      <c r="AW638" s="200"/>
      <c r="AX638" s="200"/>
      <c r="AY638" s="200"/>
      <c r="AZ638" s="200"/>
      <c r="BA638" s="200"/>
      <c r="BB638" s="200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</row>
    <row r="639" spans="1:71" ht="13.8">
      <c r="A639" s="1"/>
      <c r="B639" s="1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  <c r="AB639" s="200"/>
      <c r="AC639" s="200"/>
      <c r="AD639" s="200"/>
      <c r="AE639" s="200"/>
      <c r="AF639" s="200"/>
      <c r="AG639" s="200"/>
      <c r="AH639" s="200"/>
      <c r="AI639" s="200"/>
      <c r="AJ639" s="200"/>
      <c r="AK639" s="200"/>
      <c r="AL639" s="200"/>
      <c r="AM639" s="200"/>
      <c r="AN639" s="200"/>
      <c r="AO639" s="200"/>
      <c r="AP639" s="200"/>
      <c r="AQ639" s="200"/>
      <c r="AR639" s="200"/>
      <c r="AS639" s="200"/>
      <c r="AT639" s="200"/>
      <c r="AU639" s="200"/>
      <c r="AV639" s="200"/>
      <c r="AW639" s="200"/>
      <c r="AX639" s="200"/>
      <c r="AY639" s="200"/>
      <c r="AZ639" s="200"/>
      <c r="BA639" s="200"/>
      <c r="BB639" s="200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</row>
    <row r="640" spans="1:71" ht="13.8">
      <c r="A640" s="1"/>
      <c r="B640" s="1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  <c r="AB640" s="200"/>
      <c r="AC640" s="200"/>
      <c r="AD640" s="200"/>
      <c r="AE640" s="200"/>
      <c r="AF640" s="200"/>
      <c r="AG640" s="200"/>
      <c r="AH640" s="200"/>
      <c r="AI640" s="200"/>
      <c r="AJ640" s="200"/>
      <c r="AK640" s="200"/>
      <c r="AL640" s="200"/>
      <c r="AM640" s="200"/>
      <c r="AN640" s="200"/>
      <c r="AO640" s="200"/>
      <c r="AP640" s="200"/>
      <c r="AQ640" s="200"/>
      <c r="AR640" s="200"/>
      <c r="AS640" s="200"/>
      <c r="AT640" s="200"/>
      <c r="AU640" s="200"/>
      <c r="AV640" s="200"/>
      <c r="AW640" s="200"/>
      <c r="AX640" s="200"/>
      <c r="AY640" s="200"/>
      <c r="AZ640" s="200"/>
      <c r="BA640" s="200"/>
      <c r="BB640" s="200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</row>
    <row r="641" spans="1:71" ht="13.8">
      <c r="A641" s="1"/>
      <c r="B641" s="1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  <c r="AB641" s="200"/>
      <c r="AC641" s="200"/>
      <c r="AD641" s="200"/>
      <c r="AE641" s="200"/>
      <c r="AF641" s="200"/>
      <c r="AG641" s="200"/>
      <c r="AH641" s="200"/>
      <c r="AI641" s="200"/>
      <c r="AJ641" s="200"/>
      <c r="AK641" s="200"/>
      <c r="AL641" s="200"/>
      <c r="AM641" s="200"/>
      <c r="AN641" s="200"/>
      <c r="AO641" s="200"/>
      <c r="AP641" s="200"/>
      <c r="AQ641" s="200"/>
      <c r="AR641" s="200"/>
      <c r="AS641" s="200"/>
      <c r="AT641" s="200"/>
      <c r="AU641" s="200"/>
      <c r="AV641" s="200"/>
      <c r="AW641" s="200"/>
      <c r="AX641" s="200"/>
      <c r="AY641" s="200"/>
      <c r="AZ641" s="200"/>
      <c r="BA641" s="200"/>
      <c r="BB641" s="200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</row>
    <row r="642" spans="1:71" ht="13.8">
      <c r="A642" s="1"/>
      <c r="B642" s="1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  <c r="AB642" s="200"/>
      <c r="AC642" s="200"/>
      <c r="AD642" s="200"/>
      <c r="AE642" s="200"/>
      <c r="AF642" s="200"/>
      <c r="AG642" s="200"/>
      <c r="AH642" s="200"/>
      <c r="AI642" s="200"/>
      <c r="AJ642" s="200"/>
      <c r="AK642" s="200"/>
      <c r="AL642" s="200"/>
      <c r="AM642" s="200"/>
      <c r="AN642" s="200"/>
      <c r="AO642" s="200"/>
      <c r="AP642" s="200"/>
      <c r="AQ642" s="200"/>
      <c r="AR642" s="200"/>
      <c r="AS642" s="200"/>
      <c r="AT642" s="200"/>
      <c r="AU642" s="200"/>
      <c r="AV642" s="200"/>
      <c r="AW642" s="200"/>
      <c r="AX642" s="200"/>
      <c r="AY642" s="200"/>
      <c r="AZ642" s="200"/>
      <c r="BA642" s="200"/>
      <c r="BB642" s="200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</row>
    <row r="643" spans="1:71" ht="13.8">
      <c r="A643" s="1"/>
      <c r="B643" s="1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  <c r="AB643" s="200"/>
      <c r="AC643" s="200"/>
      <c r="AD643" s="200"/>
      <c r="AE643" s="200"/>
      <c r="AF643" s="200"/>
      <c r="AG643" s="200"/>
      <c r="AH643" s="200"/>
      <c r="AI643" s="200"/>
      <c r="AJ643" s="200"/>
      <c r="AK643" s="200"/>
      <c r="AL643" s="200"/>
      <c r="AM643" s="200"/>
      <c r="AN643" s="200"/>
      <c r="AO643" s="200"/>
      <c r="AP643" s="200"/>
      <c r="AQ643" s="200"/>
      <c r="AR643" s="200"/>
      <c r="AS643" s="200"/>
      <c r="AT643" s="200"/>
      <c r="AU643" s="200"/>
      <c r="AV643" s="200"/>
      <c r="AW643" s="200"/>
      <c r="AX643" s="200"/>
      <c r="AY643" s="200"/>
      <c r="AZ643" s="200"/>
      <c r="BA643" s="200"/>
      <c r="BB643" s="200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</row>
    <row r="644" spans="1:71" ht="13.8">
      <c r="A644" s="1"/>
      <c r="B644" s="1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  <c r="AH644" s="200"/>
      <c r="AI644" s="200"/>
      <c r="AJ644" s="200"/>
      <c r="AK644" s="200"/>
      <c r="AL644" s="200"/>
      <c r="AM644" s="200"/>
      <c r="AN644" s="200"/>
      <c r="AO644" s="200"/>
      <c r="AP644" s="200"/>
      <c r="AQ644" s="200"/>
      <c r="AR644" s="200"/>
      <c r="AS644" s="200"/>
      <c r="AT644" s="200"/>
      <c r="AU644" s="200"/>
      <c r="AV644" s="200"/>
      <c r="AW644" s="200"/>
      <c r="AX644" s="200"/>
      <c r="AY644" s="200"/>
      <c r="AZ644" s="200"/>
      <c r="BA644" s="200"/>
      <c r="BB644" s="200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</row>
    <row r="645" spans="1:71" ht="13.8">
      <c r="A645" s="1"/>
      <c r="B645" s="1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  <c r="AB645" s="200"/>
      <c r="AC645" s="200"/>
      <c r="AD645" s="200"/>
      <c r="AE645" s="200"/>
      <c r="AF645" s="200"/>
      <c r="AG645" s="200"/>
      <c r="AH645" s="200"/>
      <c r="AI645" s="200"/>
      <c r="AJ645" s="200"/>
      <c r="AK645" s="200"/>
      <c r="AL645" s="200"/>
      <c r="AM645" s="200"/>
      <c r="AN645" s="200"/>
      <c r="AO645" s="200"/>
      <c r="AP645" s="200"/>
      <c r="AQ645" s="200"/>
      <c r="AR645" s="200"/>
      <c r="AS645" s="200"/>
      <c r="AT645" s="200"/>
      <c r="AU645" s="200"/>
      <c r="AV645" s="200"/>
      <c r="AW645" s="200"/>
      <c r="AX645" s="200"/>
      <c r="AY645" s="200"/>
      <c r="AZ645" s="200"/>
      <c r="BA645" s="200"/>
      <c r="BB645" s="200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</row>
    <row r="646" spans="1:71" ht="13.8">
      <c r="A646" s="1"/>
      <c r="B646" s="1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  <c r="AB646" s="200"/>
      <c r="AC646" s="200"/>
      <c r="AD646" s="200"/>
      <c r="AE646" s="200"/>
      <c r="AF646" s="200"/>
      <c r="AG646" s="200"/>
      <c r="AH646" s="200"/>
      <c r="AI646" s="200"/>
      <c r="AJ646" s="200"/>
      <c r="AK646" s="200"/>
      <c r="AL646" s="200"/>
      <c r="AM646" s="200"/>
      <c r="AN646" s="200"/>
      <c r="AO646" s="200"/>
      <c r="AP646" s="200"/>
      <c r="AQ646" s="200"/>
      <c r="AR646" s="200"/>
      <c r="AS646" s="200"/>
      <c r="AT646" s="200"/>
      <c r="AU646" s="200"/>
      <c r="AV646" s="200"/>
      <c r="AW646" s="200"/>
      <c r="AX646" s="200"/>
      <c r="AY646" s="200"/>
      <c r="AZ646" s="200"/>
      <c r="BA646" s="200"/>
      <c r="BB646" s="200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</row>
    <row r="647" spans="1:71" ht="13.8">
      <c r="A647" s="1"/>
      <c r="B647" s="1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  <c r="AB647" s="200"/>
      <c r="AC647" s="200"/>
      <c r="AD647" s="200"/>
      <c r="AE647" s="200"/>
      <c r="AF647" s="200"/>
      <c r="AG647" s="200"/>
      <c r="AH647" s="200"/>
      <c r="AI647" s="200"/>
      <c r="AJ647" s="200"/>
      <c r="AK647" s="200"/>
      <c r="AL647" s="200"/>
      <c r="AM647" s="200"/>
      <c r="AN647" s="200"/>
      <c r="AO647" s="200"/>
      <c r="AP647" s="200"/>
      <c r="AQ647" s="200"/>
      <c r="AR647" s="200"/>
      <c r="AS647" s="200"/>
      <c r="AT647" s="200"/>
      <c r="AU647" s="200"/>
      <c r="AV647" s="200"/>
      <c r="AW647" s="200"/>
      <c r="AX647" s="200"/>
      <c r="AY647" s="200"/>
      <c r="AZ647" s="200"/>
      <c r="BA647" s="200"/>
      <c r="BB647" s="200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</row>
    <row r="648" spans="1:71" ht="13.8">
      <c r="A648" s="1"/>
      <c r="B648" s="1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  <c r="AB648" s="200"/>
      <c r="AC648" s="200"/>
      <c r="AD648" s="200"/>
      <c r="AE648" s="200"/>
      <c r="AF648" s="200"/>
      <c r="AG648" s="200"/>
      <c r="AH648" s="200"/>
      <c r="AI648" s="200"/>
      <c r="AJ648" s="200"/>
      <c r="AK648" s="200"/>
      <c r="AL648" s="200"/>
      <c r="AM648" s="200"/>
      <c r="AN648" s="200"/>
      <c r="AO648" s="200"/>
      <c r="AP648" s="200"/>
      <c r="AQ648" s="200"/>
      <c r="AR648" s="200"/>
      <c r="AS648" s="200"/>
      <c r="AT648" s="200"/>
      <c r="AU648" s="200"/>
      <c r="AV648" s="200"/>
      <c r="AW648" s="200"/>
      <c r="AX648" s="200"/>
      <c r="AY648" s="200"/>
      <c r="AZ648" s="200"/>
      <c r="BA648" s="200"/>
      <c r="BB648" s="200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</row>
    <row r="649" spans="1:71" ht="13.8">
      <c r="A649" s="1"/>
      <c r="B649" s="1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  <c r="AB649" s="200"/>
      <c r="AC649" s="200"/>
      <c r="AD649" s="200"/>
      <c r="AE649" s="200"/>
      <c r="AF649" s="200"/>
      <c r="AG649" s="200"/>
      <c r="AH649" s="200"/>
      <c r="AI649" s="200"/>
      <c r="AJ649" s="200"/>
      <c r="AK649" s="200"/>
      <c r="AL649" s="200"/>
      <c r="AM649" s="200"/>
      <c r="AN649" s="200"/>
      <c r="AO649" s="200"/>
      <c r="AP649" s="200"/>
      <c r="AQ649" s="200"/>
      <c r="AR649" s="200"/>
      <c r="AS649" s="200"/>
      <c r="AT649" s="200"/>
      <c r="AU649" s="200"/>
      <c r="AV649" s="200"/>
      <c r="AW649" s="200"/>
      <c r="AX649" s="200"/>
      <c r="AY649" s="200"/>
      <c r="AZ649" s="200"/>
      <c r="BA649" s="200"/>
      <c r="BB649" s="200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</row>
    <row r="650" spans="1:71" ht="13.8">
      <c r="A650" s="1"/>
      <c r="B650" s="1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  <c r="AB650" s="200"/>
      <c r="AC650" s="200"/>
      <c r="AD650" s="200"/>
      <c r="AE650" s="200"/>
      <c r="AF650" s="200"/>
      <c r="AG650" s="200"/>
      <c r="AH650" s="200"/>
      <c r="AI650" s="200"/>
      <c r="AJ650" s="200"/>
      <c r="AK650" s="200"/>
      <c r="AL650" s="200"/>
      <c r="AM650" s="200"/>
      <c r="AN650" s="200"/>
      <c r="AO650" s="200"/>
      <c r="AP650" s="200"/>
      <c r="AQ650" s="200"/>
      <c r="AR650" s="200"/>
      <c r="AS650" s="200"/>
      <c r="AT650" s="200"/>
      <c r="AU650" s="200"/>
      <c r="AV650" s="200"/>
      <c r="AW650" s="200"/>
      <c r="AX650" s="200"/>
      <c r="AY650" s="200"/>
      <c r="AZ650" s="200"/>
      <c r="BA650" s="200"/>
      <c r="BB650" s="200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</row>
    <row r="651" spans="1:71" ht="13.8">
      <c r="A651" s="1"/>
      <c r="B651" s="1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  <c r="AH651" s="200"/>
      <c r="AI651" s="200"/>
      <c r="AJ651" s="200"/>
      <c r="AK651" s="200"/>
      <c r="AL651" s="200"/>
      <c r="AM651" s="200"/>
      <c r="AN651" s="200"/>
      <c r="AO651" s="200"/>
      <c r="AP651" s="200"/>
      <c r="AQ651" s="200"/>
      <c r="AR651" s="200"/>
      <c r="AS651" s="200"/>
      <c r="AT651" s="200"/>
      <c r="AU651" s="200"/>
      <c r="AV651" s="200"/>
      <c r="AW651" s="200"/>
      <c r="AX651" s="200"/>
      <c r="AY651" s="200"/>
      <c r="AZ651" s="200"/>
      <c r="BA651" s="200"/>
      <c r="BB651" s="200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</row>
    <row r="652" spans="1:71" ht="13.8">
      <c r="A652" s="1"/>
      <c r="B652" s="1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  <c r="AB652" s="200"/>
      <c r="AC652" s="200"/>
      <c r="AD652" s="200"/>
      <c r="AE652" s="200"/>
      <c r="AF652" s="200"/>
      <c r="AG652" s="200"/>
      <c r="AH652" s="200"/>
      <c r="AI652" s="200"/>
      <c r="AJ652" s="200"/>
      <c r="AK652" s="200"/>
      <c r="AL652" s="200"/>
      <c r="AM652" s="200"/>
      <c r="AN652" s="200"/>
      <c r="AO652" s="200"/>
      <c r="AP652" s="200"/>
      <c r="AQ652" s="200"/>
      <c r="AR652" s="200"/>
      <c r="AS652" s="200"/>
      <c r="AT652" s="200"/>
      <c r="AU652" s="200"/>
      <c r="AV652" s="200"/>
      <c r="AW652" s="200"/>
      <c r="AX652" s="200"/>
      <c r="AY652" s="200"/>
      <c r="AZ652" s="200"/>
      <c r="BA652" s="200"/>
      <c r="BB652" s="200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</row>
    <row r="653" spans="1:71" ht="13.8">
      <c r="A653" s="1"/>
      <c r="B653" s="1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  <c r="AB653" s="200"/>
      <c r="AC653" s="200"/>
      <c r="AD653" s="200"/>
      <c r="AE653" s="200"/>
      <c r="AF653" s="200"/>
      <c r="AG653" s="200"/>
      <c r="AH653" s="200"/>
      <c r="AI653" s="200"/>
      <c r="AJ653" s="200"/>
      <c r="AK653" s="200"/>
      <c r="AL653" s="200"/>
      <c r="AM653" s="200"/>
      <c r="AN653" s="200"/>
      <c r="AO653" s="200"/>
      <c r="AP653" s="200"/>
      <c r="AQ653" s="200"/>
      <c r="AR653" s="200"/>
      <c r="AS653" s="200"/>
      <c r="AT653" s="200"/>
      <c r="AU653" s="200"/>
      <c r="AV653" s="200"/>
      <c r="AW653" s="200"/>
      <c r="AX653" s="200"/>
      <c r="AY653" s="200"/>
      <c r="AZ653" s="200"/>
      <c r="BA653" s="200"/>
      <c r="BB653" s="200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</row>
    <row r="654" spans="1:71" ht="13.8">
      <c r="A654" s="1"/>
      <c r="B654" s="1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  <c r="AB654" s="200"/>
      <c r="AC654" s="200"/>
      <c r="AD654" s="200"/>
      <c r="AE654" s="200"/>
      <c r="AF654" s="200"/>
      <c r="AG654" s="200"/>
      <c r="AH654" s="200"/>
      <c r="AI654" s="200"/>
      <c r="AJ654" s="200"/>
      <c r="AK654" s="200"/>
      <c r="AL654" s="200"/>
      <c r="AM654" s="200"/>
      <c r="AN654" s="200"/>
      <c r="AO654" s="200"/>
      <c r="AP654" s="200"/>
      <c r="AQ654" s="200"/>
      <c r="AR654" s="200"/>
      <c r="AS654" s="200"/>
      <c r="AT654" s="200"/>
      <c r="AU654" s="200"/>
      <c r="AV654" s="200"/>
      <c r="AW654" s="200"/>
      <c r="AX654" s="200"/>
      <c r="AY654" s="200"/>
      <c r="AZ654" s="200"/>
      <c r="BA654" s="200"/>
      <c r="BB654" s="200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</row>
    <row r="655" spans="1:71" ht="13.8">
      <c r="A655" s="1"/>
      <c r="B655" s="1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  <c r="AB655" s="200"/>
      <c r="AC655" s="200"/>
      <c r="AD655" s="200"/>
      <c r="AE655" s="200"/>
      <c r="AF655" s="200"/>
      <c r="AG655" s="200"/>
      <c r="AH655" s="200"/>
      <c r="AI655" s="200"/>
      <c r="AJ655" s="200"/>
      <c r="AK655" s="200"/>
      <c r="AL655" s="200"/>
      <c r="AM655" s="200"/>
      <c r="AN655" s="200"/>
      <c r="AO655" s="200"/>
      <c r="AP655" s="200"/>
      <c r="AQ655" s="200"/>
      <c r="AR655" s="200"/>
      <c r="AS655" s="200"/>
      <c r="AT655" s="200"/>
      <c r="AU655" s="200"/>
      <c r="AV655" s="200"/>
      <c r="AW655" s="200"/>
      <c r="AX655" s="200"/>
      <c r="AY655" s="200"/>
      <c r="AZ655" s="200"/>
      <c r="BA655" s="200"/>
      <c r="BB655" s="200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</row>
    <row r="656" spans="1:71" ht="13.8">
      <c r="A656" s="1"/>
      <c r="B656" s="1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  <c r="AB656" s="200"/>
      <c r="AC656" s="200"/>
      <c r="AD656" s="200"/>
      <c r="AE656" s="200"/>
      <c r="AF656" s="200"/>
      <c r="AG656" s="200"/>
      <c r="AH656" s="200"/>
      <c r="AI656" s="200"/>
      <c r="AJ656" s="200"/>
      <c r="AK656" s="200"/>
      <c r="AL656" s="200"/>
      <c r="AM656" s="200"/>
      <c r="AN656" s="200"/>
      <c r="AO656" s="200"/>
      <c r="AP656" s="200"/>
      <c r="AQ656" s="200"/>
      <c r="AR656" s="200"/>
      <c r="AS656" s="200"/>
      <c r="AT656" s="200"/>
      <c r="AU656" s="200"/>
      <c r="AV656" s="200"/>
      <c r="AW656" s="200"/>
      <c r="AX656" s="200"/>
      <c r="AY656" s="200"/>
      <c r="AZ656" s="200"/>
      <c r="BA656" s="200"/>
      <c r="BB656" s="200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</row>
    <row r="657" spans="1:71" ht="13.8">
      <c r="A657" s="1"/>
      <c r="B657" s="1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  <c r="AB657" s="200"/>
      <c r="AC657" s="200"/>
      <c r="AD657" s="200"/>
      <c r="AE657" s="200"/>
      <c r="AF657" s="200"/>
      <c r="AG657" s="200"/>
      <c r="AH657" s="200"/>
      <c r="AI657" s="200"/>
      <c r="AJ657" s="200"/>
      <c r="AK657" s="200"/>
      <c r="AL657" s="200"/>
      <c r="AM657" s="200"/>
      <c r="AN657" s="200"/>
      <c r="AO657" s="200"/>
      <c r="AP657" s="200"/>
      <c r="AQ657" s="200"/>
      <c r="AR657" s="200"/>
      <c r="AS657" s="200"/>
      <c r="AT657" s="200"/>
      <c r="AU657" s="200"/>
      <c r="AV657" s="200"/>
      <c r="AW657" s="200"/>
      <c r="AX657" s="200"/>
      <c r="AY657" s="200"/>
      <c r="AZ657" s="200"/>
      <c r="BA657" s="200"/>
      <c r="BB657" s="200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</row>
    <row r="658" spans="1:71" ht="13.8">
      <c r="A658" s="1"/>
      <c r="B658" s="1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  <c r="AB658" s="200"/>
      <c r="AC658" s="200"/>
      <c r="AD658" s="200"/>
      <c r="AE658" s="200"/>
      <c r="AF658" s="200"/>
      <c r="AG658" s="200"/>
      <c r="AH658" s="200"/>
      <c r="AI658" s="200"/>
      <c r="AJ658" s="200"/>
      <c r="AK658" s="200"/>
      <c r="AL658" s="200"/>
      <c r="AM658" s="200"/>
      <c r="AN658" s="200"/>
      <c r="AO658" s="200"/>
      <c r="AP658" s="200"/>
      <c r="AQ658" s="200"/>
      <c r="AR658" s="200"/>
      <c r="AS658" s="200"/>
      <c r="AT658" s="200"/>
      <c r="AU658" s="200"/>
      <c r="AV658" s="200"/>
      <c r="AW658" s="200"/>
      <c r="AX658" s="200"/>
      <c r="AY658" s="200"/>
      <c r="AZ658" s="200"/>
      <c r="BA658" s="200"/>
      <c r="BB658" s="200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</row>
    <row r="659" spans="1:71" ht="13.8">
      <c r="A659" s="1"/>
      <c r="B659" s="1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  <c r="AH659" s="200"/>
      <c r="AI659" s="200"/>
      <c r="AJ659" s="200"/>
      <c r="AK659" s="200"/>
      <c r="AL659" s="200"/>
      <c r="AM659" s="200"/>
      <c r="AN659" s="200"/>
      <c r="AO659" s="200"/>
      <c r="AP659" s="200"/>
      <c r="AQ659" s="200"/>
      <c r="AR659" s="200"/>
      <c r="AS659" s="200"/>
      <c r="AT659" s="200"/>
      <c r="AU659" s="200"/>
      <c r="AV659" s="200"/>
      <c r="AW659" s="200"/>
      <c r="AX659" s="200"/>
      <c r="AY659" s="200"/>
      <c r="AZ659" s="200"/>
      <c r="BA659" s="200"/>
      <c r="BB659" s="200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</row>
    <row r="660" spans="1:71" ht="13.8">
      <c r="A660" s="1"/>
      <c r="B660" s="1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  <c r="AB660" s="200"/>
      <c r="AC660" s="200"/>
      <c r="AD660" s="200"/>
      <c r="AE660" s="200"/>
      <c r="AF660" s="200"/>
      <c r="AG660" s="200"/>
      <c r="AH660" s="200"/>
      <c r="AI660" s="200"/>
      <c r="AJ660" s="200"/>
      <c r="AK660" s="200"/>
      <c r="AL660" s="200"/>
      <c r="AM660" s="200"/>
      <c r="AN660" s="200"/>
      <c r="AO660" s="200"/>
      <c r="AP660" s="200"/>
      <c r="AQ660" s="200"/>
      <c r="AR660" s="200"/>
      <c r="AS660" s="200"/>
      <c r="AT660" s="200"/>
      <c r="AU660" s="200"/>
      <c r="AV660" s="200"/>
      <c r="AW660" s="200"/>
      <c r="AX660" s="200"/>
      <c r="AY660" s="200"/>
      <c r="AZ660" s="200"/>
      <c r="BA660" s="200"/>
      <c r="BB660" s="200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</row>
    <row r="661" spans="1:71" ht="13.8">
      <c r="A661" s="1"/>
      <c r="B661" s="1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  <c r="AB661" s="200"/>
      <c r="AC661" s="200"/>
      <c r="AD661" s="200"/>
      <c r="AE661" s="200"/>
      <c r="AF661" s="200"/>
      <c r="AG661" s="200"/>
      <c r="AH661" s="200"/>
      <c r="AI661" s="200"/>
      <c r="AJ661" s="200"/>
      <c r="AK661" s="200"/>
      <c r="AL661" s="200"/>
      <c r="AM661" s="200"/>
      <c r="AN661" s="200"/>
      <c r="AO661" s="200"/>
      <c r="AP661" s="200"/>
      <c r="AQ661" s="200"/>
      <c r="AR661" s="200"/>
      <c r="AS661" s="200"/>
      <c r="AT661" s="200"/>
      <c r="AU661" s="200"/>
      <c r="AV661" s="200"/>
      <c r="AW661" s="200"/>
      <c r="AX661" s="200"/>
      <c r="AY661" s="200"/>
      <c r="AZ661" s="200"/>
      <c r="BA661" s="200"/>
      <c r="BB661" s="200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</row>
    <row r="662" spans="1:71" ht="13.8">
      <c r="A662" s="1"/>
      <c r="B662" s="1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  <c r="AH662" s="200"/>
      <c r="AI662" s="200"/>
      <c r="AJ662" s="200"/>
      <c r="AK662" s="200"/>
      <c r="AL662" s="200"/>
      <c r="AM662" s="200"/>
      <c r="AN662" s="200"/>
      <c r="AO662" s="200"/>
      <c r="AP662" s="200"/>
      <c r="AQ662" s="200"/>
      <c r="AR662" s="200"/>
      <c r="AS662" s="200"/>
      <c r="AT662" s="200"/>
      <c r="AU662" s="200"/>
      <c r="AV662" s="200"/>
      <c r="AW662" s="200"/>
      <c r="AX662" s="200"/>
      <c r="AY662" s="200"/>
      <c r="AZ662" s="200"/>
      <c r="BA662" s="200"/>
      <c r="BB662" s="200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</row>
    <row r="663" spans="1:71" ht="13.8">
      <c r="A663" s="1"/>
      <c r="B663" s="1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  <c r="AB663" s="200"/>
      <c r="AC663" s="200"/>
      <c r="AD663" s="200"/>
      <c r="AE663" s="200"/>
      <c r="AF663" s="200"/>
      <c r="AG663" s="200"/>
      <c r="AH663" s="200"/>
      <c r="AI663" s="200"/>
      <c r="AJ663" s="200"/>
      <c r="AK663" s="200"/>
      <c r="AL663" s="200"/>
      <c r="AM663" s="200"/>
      <c r="AN663" s="200"/>
      <c r="AO663" s="200"/>
      <c r="AP663" s="200"/>
      <c r="AQ663" s="200"/>
      <c r="AR663" s="200"/>
      <c r="AS663" s="200"/>
      <c r="AT663" s="200"/>
      <c r="AU663" s="200"/>
      <c r="AV663" s="200"/>
      <c r="AW663" s="200"/>
      <c r="AX663" s="200"/>
      <c r="AY663" s="200"/>
      <c r="AZ663" s="200"/>
      <c r="BA663" s="200"/>
      <c r="BB663" s="200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</row>
    <row r="664" spans="1:71" ht="13.8">
      <c r="A664" s="1"/>
      <c r="B664" s="1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  <c r="AB664" s="200"/>
      <c r="AC664" s="200"/>
      <c r="AD664" s="200"/>
      <c r="AE664" s="200"/>
      <c r="AF664" s="200"/>
      <c r="AG664" s="200"/>
      <c r="AH664" s="200"/>
      <c r="AI664" s="200"/>
      <c r="AJ664" s="200"/>
      <c r="AK664" s="200"/>
      <c r="AL664" s="200"/>
      <c r="AM664" s="200"/>
      <c r="AN664" s="200"/>
      <c r="AO664" s="200"/>
      <c r="AP664" s="200"/>
      <c r="AQ664" s="200"/>
      <c r="AR664" s="200"/>
      <c r="AS664" s="200"/>
      <c r="AT664" s="200"/>
      <c r="AU664" s="200"/>
      <c r="AV664" s="200"/>
      <c r="AW664" s="200"/>
      <c r="AX664" s="200"/>
      <c r="AY664" s="200"/>
      <c r="AZ664" s="200"/>
      <c r="BA664" s="200"/>
      <c r="BB664" s="200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</row>
    <row r="665" spans="1:71" ht="13.8">
      <c r="A665" s="1"/>
      <c r="B665" s="1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  <c r="AH665" s="200"/>
      <c r="AI665" s="200"/>
      <c r="AJ665" s="200"/>
      <c r="AK665" s="200"/>
      <c r="AL665" s="200"/>
      <c r="AM665" s="200"/>
      <c r="AN665" s="200"/>
      <c r="AO665" s="200"/>
      <c r="AP665" s="200"/>
      <c r="AQ665" s="200"/>
      <c r="AR665" s="200"/>
      <c r="AS665" s="200"/>
      <c r="AT665" s="200"/>
      <c r="AU665" s="200"/>
      <c r="AV665" s="200"/>
      <c r="AW665" s="200"/>
      <c r="AX665" s="200"/>
      <c r="AY665" s="200"/>
      <c r="AZ665" s="200"/>
      <c r="BA665" s="200"/>
      <c r="BB665" s="200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</row>
    <row r="666" spans="1:71" ht="13.8">
      <c r="A666" s="1"/>
      <c r="B666" s="1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  <c r="AB666" s="200"/>
      <c r="AC666" s="200"/>
      <c r="AD666" s="200"/>
      <c r="AE666" s="200"/>
      <c r="AF666" s="200"/>
      <c r="AG666" s="200"/>
      <c r="AH666" s="200"/>
      <c r="AI666" s="200"/>
      <c r="AJ666" s="200"/>
      <c r="AK666" s="200"/>
      <c r="AL666" s="200"/>
      <c r="AM666" s="200"/>
      <c r="AN666" s="200"/>
      <c r="AO666" s="200"/>
      <c r="AP666" s="200"/>
      <c r="AQ666" s="200"/>
      <c r="AR666" s="200"/>
      <c r="AS666" s="200"/>
      <c r="AT666" s="200"/>
      <c r="AU666" s="200"/>
      <c r="AV666" s="200"/>
      <c r="AW666" s="200"/>
      <c r="AX666" s="200"/>
      <c r="AY666" s="200"/>
      <c r="AZ666" s="200"/>
      <c r="BA666" s="200"/>
      <c r="BB666" s="200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</row>
    <row r="667" spans="1:71" ht="13.8">
      <c r="A667" s="1"/>
      <c r="B667" s="1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  <c r="AB667" s="200"/>
      <c r="AC667" s="200"/>
      <c r="AD667" s="200"/>
      <c r="AE667" s="200"/>
      <c r="AF667" s="200"/>
      <c r="AG667" s="200"/>
      <c r="AH667" s="200"/>
      <c r="AI667" s="200"/>
      <c r="AJ667" s="200"/>
      <c r="AK667" s="200"/>
      <c r="AL667" s="200"/>
      <c r="AM667" s="200"/>
      <c r="AN667" s="200"/>
      <c r="AO667" s="200"/>
      <c r="AP667" s="200"/>
      <c r="AQ667" s="200"/>
      <c r="AR667" s="200"/>
      <c r="AS667" s="200"/>
      <c r="AT667" s="200"/>
      <c r="AU667" s="200"/>
      <c r="AV667" s="200"/>
      <c r="AW667" s="200"/>
      <c r="AX667" s="200"/>
      <c r="AY667" s="200"/>
      <c r="AZ667" s="200"/>
      <c r="BA667" s="200"/>
      <c r="BB667" s="200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</row>
    <row r="668" spans="1:71" ht="13.8">
      <c r="A668" s="1"/>
      <c r="B668" s="1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  <c r="AB668" s="200"/>
      <c r="AC668" s="200"/>
      <c r="AD668" s="200"/>
      <c r="AE668" s="200"/>
      <c r="AF668" s="200"/>
      <c r="AG668" s="200"/>
      <c r="AH668" s="200"/>
      <c r="AI668" s="200"/>
      <c r="AJ668" s="200"/>
      <c r="AK668" s="200"/>
      <c r="AL668" s="200"/>
      <c r="AM668" s="200"/>
      <c r="AN668" s="200"/>
      <c r="AO668" s="200"/>
      <c r="AP668" s="200"/>
      <c r="AQ668" s="200"/>
      <c r="AR668" s="200"/>
      <c r="AS668" s="200"/>
      <c r="AT668" s="200"/>
      <c r="AU668" s="200"/>
      <c r="AV668" s="200"/>
      <c r="AW668" s="200"/>
      <c r="AX668" s="200"/>
      <c r="AY668" s="200"/>
      <c r="AZ668" s="200"/>
      <c r="BA668" s="200"/>
      <c r="BB668" s="200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</row>
    <row r="669" spans="1:71" ht="13.8">
      <c r="A669" s="1"/>
      <c r="B669" s="1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  <c r="AB669" s="200"/>
      <c r="AC669" s="200"/>
      <c r="AD669" s="200"/>
      <c r="AE669" s="200"/>
      <c r="AF669" s="200"/>
      <c r="AG669" s="200"/>
      <c r="AH669" s="200"/>
      <c r="AI669" s="200"/>
      <c r="AJ669" s="200"/>
      <c r="AK669" s="200"/>
      <c r="AL669" s="200"/>
      <c r="AM669" s="200"/>
      <c r="AN669" s="200"/>
      <c r="AO669" s="200"/>
      <c r="AP669" s="200"/>
      <c r="AQ669" s="200"/>
      <c r="AR669" s="200"/>
      <c r="AS669" s="200"/>
      <c r="AT669" s="200"/>
      <c r="AU669" s="200"/>
      <c r="AV669" s="200"/>
      <c r="AW669" s="200"/>
      <c r="AX669" s="200"/>
      <c r="AY669" s="200"/>
      <c r="AZ669" s="200"/>
      <c r="BA669" s="200"/>
      <c r="BB669" s="200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</row>
    <row r="670" spans="1:71" ht="13.8">
      <c r="A670" s="1"/>
      <c r="B670" s="1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  <c r="AB670" s="200"/>
      <c r="AC670" s="200"/>
      <c r="AD670" s="200"/>
      <c r="AE670" s="200"/>
      <c r="AF670" s="200"/>
      <c r="AG670" s="200"/>
      <c r="AH670" s="200"/>
      <c r="AI670" s="200"/>
      <c r="AJ670" s="200"/>
      <c r="AK670" s="200"/>
      <c r="AL670" s="200"/>
      <c r="AM670" s="200"/>
      <c r="AN670" s="200"/>
      <c r="AO670" s="200"/>
      <c r="AP670" s="200"/>
      <c r="AQ670" s="200"/>
      <c r="AR670" s="200"/>
      <c r="AS670" s="200"/>
      <c r="AT670" s="200"/>
      <c r="AU670" s="200"/>
      <c r="AV670" s="200"/>
      <c r="AW670" s="200"/>
      <c r="AX670" s="200"/>
      <c r="AY670" s="200"/>
      <c r="AZ670" s="200"/>
      <c r="BA670" s="200"/>
      <c r="BB670" s="200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</row>
    <row r="671" spans="1:71" ht="13.8">
      <c r="A671" s="1"/>
      <c r="B671" s="1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  <c r="AH671" s="200"/>
      <c r="AI671" s="200"/>
      <c r="AJ671" s="200"/>
      <c r="AK671" s="200"/>
      <c r="AL671" s="200"/>
      <c r="AM671" s="200"/>
      <c r="AN671" s="200"/>
      <c r="AO671" s="200"/>
      <c r="AP671" s="200"/>
      <c r="AQ671" s="200"/>
      <c r="AR671" s="200"/>
      <c r="AS671" s="200"/>
      <c r="AT671" s="200"/>
      <c r="AU671" s="200"/>
      <c r="AV671" s="200"/>
      <c r="AW671" s="200"/>
      <c r="AX671" s="200"/>
      <c r="AY671" s="200"/>
      <c r="AZ671" s="200"/>
      <c r="BA671" s="200"/>
      <c r="BB671" s="200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</row>
    <row r="672" spans="1:71" ht="13.8">
      <c r="A672" s="1"/>
      <c r="B672" s="1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  <c r="AB672" s="200"/>
      <c r="AC672" s="200"/>
      <c r="AD672" s="200"/>
      <c r="AE672" s="200"/>
      <c r="AF672" s="200"/>
      <c r="AG672" s="200"/>
      <c r="AH672" s="200"/>
      <c r="AI672" s="200"/>
      <c r="AJ672" s="200"/>
      <c r="AK672" s="200"/>
      <c r="AL672" s="200"/>
      <c r="AM672" s="200"/>
      <c r="AN672" s="200"/>
      <c r="AO672" s="200"/>
      <c r="AP672" s="200"/>
      <c r="AQ672" s="200"/>
      <c r="AR672" s="200"/>
      <c r="AS672" s="200"/>
      <c r="AT672" s="200"/>
      <c r="AU672" s="200"/>
      <c r="AV672" s="200"/>
      <c r="AW672" s="200"/>
      <c r="AX672" s="200"/>
      <c r="AY672" s="200"/>
      <c r="AZ672" s="200"/>
      <c r="BA672" s="200"/>
      <c r="BB672" s="200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</row>
    <row r="673" spans="1:71" ht="13.8">
      <c r="A673" s="1"/>
      <c r="B673" s="1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  <c r="AB673" s="200"/>
      <c r="AC673" s="200"/>
      <c r="AD673" s="200"/>
      <c r="AE673" s="200"/>
      <c r="AF673" s="200"/>
      <c r="AG673" s="200"/>
      <c r="AH673" s="200"/>
      <c r="AI673" s="200"/>
      <c r="AJ673" s="200"/>
      <c r="AK673" s="200"/>
      <c r="AL673" s="200"/>
      <c r="AM673" s="200"/>
      <c r="AN673" s="200"/>
      <c r="AO673" s="200"/>
      <c r="AP673" s="200"/>
      <c r="AQ673" s="200"/>
      <c r="AR673" s="200"/>
      <c r="AS673" s="200"/>
      <c r="AT673" s="200"/>
      <c r="AU673" s="200"/>
      <c r="AV673" s="200"/>
      <c r="AW673" s="200"/>
      <c r="AX673" s="200"/>
      <c r="AY673" s="200"/>
      <c r="AZ673" s="200"/>
      <c r="BA673" s="200"/>
      <c r="BB673" s="200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</row>
    <row r="674" spans="1:71" ht="13.8">
      <c r="A674" s="1"/>
      <c r="B674" s="1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  <c r="AB674" s="200"/>
      <c r="AC674" s="200"/>
      <c r="AD674" s="200"/>
      <c r="AE674" s="200"/>
      <c r="AF674" s="200"/>
      <c r="AG674" s="200"/>
      <c r="AH674" s="200"/>
      <c r="AI674" s="200"/>
      <c r="AJ674" s="200"/>
      <c r="AK674" s="200"/>
      <c r="AL674" s="200"/>
      <c r="AM674" s="200"/>
      <c r="AN674" s="200"/>
      <c r="AO674" s="200"/>
      <c r="AP674" s="200"/>
      <c r="AQ674" s="200"/>
      <c r="AR674" s="200"/>
      <c r="AS674" s="200"/>
      <c r="AT674" s="200"/>
      <c r="AU674" s="200"/>
      <c r="AV674" s="200"/>
      <c r="AW674" s="200"/>
      <c r="AX674" s="200"/>
      <c r="AY674" s="200"/>
      <c r="AZ674" s="200"/>
      <c r="BA674" s="200"/>
      <c r="BB674" s="200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</row>
    <row r="675" spans="1:71" ht="13.8">
      <c r="A675" s="1"/>
      <c r="B675" s="1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  <c r="AB675" s="200"/>
      <c r="AC675" s="200"/>
      <c r="AD675" s="200"/>
      <c r="AE675" s="200"/>
      <c r="AF675" s="200"/>
      <c r="AG675" s="200"/>
      <c r="AH675" s="200"/>
      <c r="AI675" s="200"/>
      <c r="AJ675" s="200"/>
      <c r="AK675" s="200"/>
      <c r="AL675" s="200"/>
      <c r="AM675" s="200"/>
      <c r="AN675" s="200"/>
      <c r="AO675" s="200"/>
      <c r="AP675" s="200"/>
      <c r="AQ675" s="200"/>
      <c r="AR675" s="200"/>
      <c r="AS675" s="200"/>
      <c r="AT675" s="200"/>
      <c r="AU675" s="200"/>
      <c r="AV675" s="200"/>
      <c r="AW675" s="200"/>
      <c r="AX675" s="200"/>
      <c r="AY675" s="200"/>
      <c r="AZ675" s="200"/>
      <c r="BA675" s="200"/>
      <c r="BB675" s="200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</row>
    <row r="676" spans="1:71" ht="13.8">
      <c r="A676" s="1"/>
      <c r="B676" s="1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  <c r="AB676" s="200"/>
      <c r="AC676" s="200"/>
      <c r="AD676" s="200"/>
      <c r="AE676" s="200"/>
      <c r="AF676" s="200"/>
      <c r="AG676" s="200"/>
      <c r="AH676" s="200"/>
      <c r="AI676" s="200"/>
      <c r="AJ676" s="200"/>
      <c r="AK676" s="200"/>
      <c r="AL676" s="200"/>
      <c r="AM676" s="200"/>
      <c r="AN676" s="200"/>
      <c r="AO676" s="200"/>
      <c r="AP676" s="200"/>
      <c r="AQ676" s="200"/>
      <c r="AR676" s="200"/>
      <c r="AS676" s="200"/>
      <c r="AT676" s="200"/>
      <c r="AU676" s="200"/>
      <c r="AV676" s="200"/>
      <c r="AW676" s="200"/>
      <c r="AX676" s="200"/>
      <c r="AY676" s="200"/>
      <c r="AZ676" s="200"/>
      <c r="BA676" s="200"/>
      <c r="BB676" s="200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</row>
    <row r="677" spans="1:71" ht="13.8">
      <c r="A677" s="1"/>
      <c r="B677" s="1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  <c r="AB677" s="200"/>
      <c r="AC677" s="200"/>
      <c r="AD677" s="200"/>
      <c r="AE677" s="200"/>
      <c r="AF677" s="200"/>
      <c r="AG677" s="200"/>
      <c r="AH677" s="200"/>
      <c r="AI677" s="200"/>
      <c r="AJ677" s="200"/>
      <c r="AK677" s="200"/>
      <c r="AL677" s="200"/>
      <c r="AM677" s="200"/>
      <c r="AN677" s="200"/>
      <c r="AO677" s="200"/>
      <c r="AP677" s="200"/>
      <c r="AQ677" s="200"/>
      <c r="AR677" s="200"/>
      <c r="AS677" s="200"/>
      <c r="AT677" s="200"/>
      <c r="AU677" s="200"/>
      <c r="AV677" s="200"/>
      <c r="AW677" s="200"/>
      <c r="AX677" s="200"/>
      <c r="AY677" s="200"/>
      <c r="AZ677" s="200"/>
      <c r="BA677" s="200"/>
      <c r="BB677" s="200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</row>
    <row r="678" spans="1:71" ht="13.8">
      <c r="A678" s="1"/>
      <c r="B678" s="1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  <c r="AB678" s="200"/>
      <c r="AC678" s="200"/>
      <c r="AD678" s="200"/>
      <c r="AE678" s="200"/>
      <c r="AF678" s="200"/>
      <c r="AG678" s="200"/>
      <c r="AH678" s="200"/>
      <c r="AI678" s="200"/>
      <c r="AJ678" s="200"/>
      <c r="AK678" s="200"/>
      <c r="AL678" s="200"/>
      <c r="AM678" s="200"/>
      <c r="AN678" s="200"/>
      <c r="AO678" s="200"/>
      <c r="AP678" s="200"/>
      <c r="AQ678" s="200"/>
      <c r="AR678" s="200"/>
      <c r="AS678" s="200"/>
      <c r="AT678" s="200"/>
      <c r="AU678" s="200"/>
      <c r="AV678" s="200"/>
      <c r="AW678" s="200"/>
      <c r="AX678" s="200"/>
      <c r="AY678" s="200"/>
      <c r="AZ678" s="200"/>
      <c r="BA678" s="200"/>
      <c r="BB678" s="200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</row>
    <row r="679" spans="1:71" ht="13.8">
      <c r="A679" s="1"/>
      <c r="B679" s="1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  <c r="AB679" s="200"/>
      <c r="AC679" s="200"/>
      <c r="AD679" s="200"/>
      <c r="AE679" s="200"/>
      <c r="AF679" s="200"/>
      <c r="AG679" s="200"/>
      <c r="AH679" s="200"/>
      <c r="AI679" s="200"/>
      <c r="AJ679" s="200"/>
      <c r="AK679" s="200"/>
      <c r="AL679" s="200"/>
      <c r="AM679" s="200"/>
      <c r="AN679" s="200"/>
      <c r="AO679" s="200"/>
      <c r="AP679" s="200"/>
      <c r="AQ679" s="200"/>
      <c r="AR679" s="200"/>
      <c r="AS679" s="200"/>
      <c r="AT679" s="200"/>
      <c r="AU679" s="200"/>
      <c r="AV679" s="200"/>
      <c r="AW679" s="200"/>
      <c r="AX679" s="200"/>
      <c r="AY679" s="200"/>
      <c r="AZ679" s="200"/>
      <c r="BA679" s="200"/>
      <c r="BB679" s="200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</row>
    <row r="680" spans="1:71" ht="13.8">
      <c r="A680" s="1"/>
      <c r="B680" s="1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  <c r="AB680" s="200"/>
      <c r="AC680" s="200"/>
      <c r="AD680" s="200"/>
      <c r="AE680" s="200"/>
      <c r="AF680" s="200"/>
      <c r="AG680" s="200"/>
      <c r="AH680" s="200"/>
      <c r="AI680" s="200"/>
      <c r="AJ680" s="200"/>
      <c r="AK680" s="200"/>
      <c r="AL680" s="200"/>
      <c r="AM680" s="200"/>
      <c r="AN680" s="200"/>
      <c r="AO680" s="200"/>
      <c r="AP680" s="200"/>
      <c r="AQ680" s="200"/>
      <c r="AR680" s="200"/>
      <c r="AS680" s="200"/>
      <c r="AT680" s="200"/>
      <c r="AU680" s="200"/>
      <c r="AV680" s="200"/>
      <c r="AW680" s="200"/>
      <c r="AX680" s="200"/>
      <c r="AY680" s="200"/>
      <c r="AZ680" s="200"/>
      <c r="BA680" s="200"/>
      <c r="BB680" s="200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</row>
    <row r="681" spans="1:71" ht="13.8">
      <c r="A681" s="1"/>
      <c r="B681" s="1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  <c r="AH681" s="200"/>
      <c r="AI681" s="200"/>
      <c r="AJ681" s="200"/>
      <c r="AK681" s="200"/>
      <c r="AL681" s="200"/>
      <c r="AM681" s="200"/>
      <c r="AN681" s="200"/>
      <c r="AO681" s="200"/>
      <c r="AP681" s="200"/>
      <c r="AQ681" s="200"/>
      <c r="AR681" s="200"/>
      <c r="AS681" s="200"/>
      <c r="AT681" s="200"/>
      <c r="AU681" s="200"/>
      <c r="AV681" s="200"/>
      <c r="AW681" s="200"/>
      <c r="AX681" s="200"/>
      <c r="AY681" s="200"/>
      <c r="AZ681" s="200"/>
      <c r="BA681" s="200"/>
      <c r="BB681" s="200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</row>
    <row r="682" spans="1:71" ht="13.8">
      <c r="A682" s="1"/>
      <c r="B682" s="1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  <c r="AB682" s="200"/>
      <c r="AC682" s="200"/>
      <c r="AD682" s="200"/>
      <c r="AE682" s="200"/>
      <c r="AF682" s="200"/>
      <c r="AG682" s="200"/>
      <c r="AH682" s="200"/>
      <c r="AI682" s="200"/>
      <c r="AJ682" s="200"/>
      <c r="AK682" s="200"/>
      <c r="AL682" s="200"/>
      <c r="AM682" s="200"/>
      <c r="AN682" s="200"/>
      <c r="AO682" s="200"/>
      <c r="AP682" s="200"/>
      <c r="AQ682" s="200"/>
      <c r="AR682" s="200"/>
      <c r="AS682" s="200"/>
      <c r="AT682" s="200"/>
      <c r="AU682" s="200"/>
      <c r="AV682" s="200"/>
      <c r="AW682" s="200"/>
      <c r="AX682" s="200"/>
      <c r="AY682" s="200"/>
      <c r="AZ682" s="200"/>
      <c r="BA682" s="200"/>
      <c r="BB682" s="200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</row>
    <row r="683" spans="1:71" ht="13.8">
      <c r="A683" s="1"/>
      <c r="B683" s="1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  <c r="AB683" s="200"/>
      <c r="AC683" s="200"/>
      <c r="AD683" s="200"/>
      <c r="AE683" s="200"/>
      <c r="AF683" s="200"/>
      <c r="AG683" s="200"/>
      <c r="AH683" s="200"/>
      <c r="AI683" s="200"/>
      <c r="AJ683" s="200"/>
      <c r="AK683" s="200"/>
      <c r="AL683" s="200"/>
      <c r="AM683" s="200"/>
      <c r="AN683" s="200"/>
      <c r="AO683" s="200"/>
      <c r="AP683" s="200"/>
      <c r="AQ683" s="200"/>
      <c r="AR683" s="200"/>
      <c r="AS683" s="200"/>
      <c r="AT683" s="200"/>
      <c r="AU683" s="200"/>
      <c r="AV683" s="200"/>
      <c r="AW683" s="200"/>
      <c r="AX683" s="200"/>
      <c r="AY683" s="200"/>
      <c r="AZ683" s="200"/>
      <c r="BA683" s="200"/>
      <c r="BB683" s="200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</row>
    <row r="684" spans="1:71" ht="13.8">
      <c r="A684" s="1"/>
      <c r="B684" s="1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  <c r="AB684" s="200"/>
      <c r="AC684" s="200"/>
      <c r="AD684" s="200"/>
      <c r="AE684" s="200"/>
      <c r="AF684" s="200"/>
      <c r="AG684" s="200"/>
      <c r="AH684" s="200"/>
      <c r="AI684" s="200"/>
      <c r="AJ684" s="200"/>
      <c r="AK684" s="200"/>
      <c r="AL684" s="200"/>
      <c r="AM684" s="200"/>
      <c r="AN684" s="200"/>
      <c r="AO684" s="200"/>
      <c r="AP684" s="200"/>
      <c r="AQ684" s="200"/>
      <c r="AR684" s="200"/>
      <c r="AS684" s="200"/>
      <c r="AT684" s="200"/>
      <c r="AU684" s="200"/>
      <c r="AV684" s="200"/>
      <c r="AW684" s="200"/>
      <c r="AX684" s="200"/>
      <c r="AY684" s="200"/>
      <c r="AZ684" s="200"/>
      <c r="BA684" s="200"/>
      <c r="BB684" s="200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</row>
    <row r="685" spans="1:71" ht="13.8">
      <c r="A685" s="1"/>
      <c r="B685" s="1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  <c r="AB685" s="200"/>
      <c r="AC685" s="200"/>
      <c r="AD685" s="200"/>
      <c r="AE685" s="200"/>
      <c r="AF685" s="200"/>
      <c r="AG685" s="200"/>
      <c r="AH685" s="200"/>
      <c r="AI685" s="200"/>
      <c r="AJ685" s="200"/>
      <c r="AK685" s="200"/>
      <c r="AL685" s="200"/>
      <c r="AM685" s="200"/>
      <c r="AN685" s="200"/>
      <c r="AO685" s="200"/>
      <c r="AP685" s="200"/>
      <c r="AQ685" s="200"/>
      <c r="AR685" s="200"/>
      <c r="AS685" s="200"/>
      <c r="AT685" s="200"/>
      <c r="AU685" s="200"/>
      <c r="AV685" s="200"/>
      <c r="AW685" s="200"/>
      <c r="AX685" s="200"/>
      <c r="AY685" s="200"/>
      <c r="AZ685" s="200"/>
      <c r="BA685" s="200"/>
      <c r="BB685" s="200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</row>
    <row r="686" spans="1:71" ht="13.8">
      <c r="A686" s="1"/>
      <c r="B686" s="1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  <c r="AB686" s="200"/>
      <c r="AC686" s="200"/>
      <c r="AD686" s="200"/>
      <c r="AE686" s="200"/>
      <c r="AF686" s="200"/>
      <c r="AG686" s="200"/>
      <c r="AH686" s="200"/>
      <c r="AI686" s="200"/>
      <c r="AJ686" s="200"/>
      <c r="AK686" s="200"/>
      <c r="AL686" s="200"/>
      <c r="AM686" s="200"/>
      <c r="AN686" s="200"/>
      <c r="AO686" s="200"/>
      <c r="AP686" s="200"/>
      <c r="AQ686" s="200"/>
      <c r="AR686" s="200"/>
      <c r="AS686" s="200"/>
      <c r="AT686" s="200"/>
      <c r="AU686" s="200"/>
      <c r="AV686" s="200"/>
      <c r="AW686" s="200"/>
      <c r="AX686" s="200"/>
      <c r="AY686" s="200"/>
      <c r="AZ686" s="200"/>
      <c r="BA686" s="200"/>
      <c r="BB686" s="200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</row>
    <row r="687" spans="1:71" ht="13.8">
      <c r="A687" s="1"/>
      <c r="B687" s="1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  <c r="AB687" s="200"/>
      <c r="AC687" s="200"/>
      <c r="AD687" s="200"/>
      <c r="AE687" s="200"/>
      <c r="AF687" s="200"/>
      <c r="AG687" s="200"/>
      <c r="AH687" s="200"/>
      <c r="AI687" s="200"/>
      <c r="AJ687" s="200"/>
      <c r="AK687" s="200"/>
      <c r="AL687" s="200"/>
      <c r="AM687" s="200"/>
      <c r="AN687" s="200"/>
      <c r="AO687" s="200"/>
      <c r="AP687" s="200"/>
      <c r="AQ687" s="200"/>
      <c r="AR687" s="200"/>
      <c r="AS687" s="200"/>
      <c r="AT687" s="200"/>
      <c r="AU687" s="200"/>
      <c r="AV687" s="200"/>
      <c r="AW687" s="200"/>
      <c r="AX687" s="200"/>
      <c r="AY687" s="200"/>
      <c r="AZ687" s="200"/>
      <c r="BA687" s="200"/>
      <c r="BB687" s="200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</row>
    <row r="688" spans="1:71" ht="13.8">
      <c r="A688" s="1"/>
      <c r="B688" s="1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  <c r="AB688" s="200"/>
      <c r="AC688" s="200"/>
      <c r="AD688" s="200"/>
      <c r="AE688" s="200"/>
      <c r="AF688" s="200"/>
      <c r="AG688" s="200"/>
      <c r="AH688" s="200"/>
      <c r="AI688" s="200"/>
      <c r="AJ688" s="200"/>
      <c r="AK688" s="200"/>
      <c r="AL688" s="200"/>
      <c r="AM688" s="200"/>
      <c r="AN688" s="200"/>
      <c r="AO688" s="200"/>
      <c r="AP688" s="200"/>
      <c r="AQ688" s="200"/>
      <c r="AR688" s="200"/>
      <c r="AS688" s="200"/>
      <c r="AT688" s="200"/>
      <c r="AU688" s="200"/>
      <c r="AV688" s="200"/>
      <c r="AW688" s="200"/>
      <c r="AX688" s="200"/>
      <c r="AY688" s="200"/>
      <c r="AZ688" s="200"/>
      <c r="BA688" s="200"/>
      <c r="BB688" s="200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</row>
    <row r="689" spans="1:71" ht="13.8">
      <c r="A689" s="1"/>
      <c r="B689" s="1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  <c r="AB689" s="200"/>
      <c r="AC689" s="200"/>
      <c r="AD689" s="200"/>
      <c r="AE689" s="200"/>
      <c r="AF689" s="200"/>
      <c r="AG689" s="200"/>
      <c r="AH689" s="200"/>
      <c r="AI689" s="200"/>
      <c r="AJ689" s="200"/>
      <c r="AK689" s="200"/>
      <c r="AL689" s="200"/>
      <c r="AM689" s="200"/>
      <c r="AN689" s="200"/>
      <c r="AO689" s="200"/>
      <c r="AP689" s="200"/>
      <c r="AQ689" s="200"/>
      <c r="AR689" s="200"/>
      <c r="AS689" s="200"/>
      <c r="AT689" s="200"/>
      <c r="AU689" s="200"/>
      <c r="AV689" s="200"/>
      <c r="AW689" s="200"/>
      <c r="AX689" s="200"/>
      <c r="AY689" s="200"/>
      <c r="AZ689" s="200"/>
      <c r="BA689" s="200"/>
      <c r="BB689" s="200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</row>
    <row r="690" spans="1:71" ht="13.8">
      <c r="A690" s="1"/>
      <c r="B690" s="1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  <c r="AB690" s="200"/>
      <c r="AC690" s="200"/>
      <c r="AD690" s="200"/>
      <c r="AE690" s="200"/>
      <c r="AF690" s="200"/>
      <c r="AG690" s="200"/>
      <c r="AH690" s="200"/>
      <c r="AI690" s="200"/>
      <c r="AJ690" s="200"/>
      <c r="AK690" s="200"/>
      <c r="AL690" s="200"/>
      <c r="AM690" s="200"/>
      <c r="AN690" s="200"/>
      <c r="AO690" s="200"/>
      <c r="AP690" s="200"/>
      <c r="AQ690" s="200"/>
      <c r="AR690" s="200"/>
      <c r="AS690" s="200"/>
      <c r="AT690" s="200"/>
      <c r="AU690" s="200"/>
      <c r="AV690" s="200"/>
      <c r="AW690" s="200"/>
      <c r="AX690" s="200"/>
      <c r="AY690" s="200"/>
      <c r="AZ690" s="200"/>
      <c r="BA690" s="200"/>
      <c r="BB690" s="200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</row>
    <row r="691" spans="1:71" ht="13.8">
      <c r="A691" s="1"/>
      <c r="B691" s="1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  <c r="AB691" s="200"/>
      <c r="AC691" s="200"/>
      <c r="AD691" s="200"/>
      <c r="AE691" s="200"/>
      <c r="AF691" s="200"/>
      <c r="AG691" s="200"/>
      <c r="AH691" s="200"/>
      <c r="AI691" s="200"/>
      <c r="AJ691" s="200"/>
      <c r="AK691" s="200"/>
      <c r="AL691" s="200"/>
      <c r="AM691" s="200"/>
      <c r="AN691" s="200"/>
      <c r="AO691" s="200"/>
      <c r="AP691" s="200"/>
      <c r="AQ691" s="200"/>
      <c r="AR691" s="200"/>
      <c r="AS691" s="200"/>
      <c r="AT691" s="200"/>
      <c r="AU691" s="200"/>
      <c r="AV691" s="200"/>
      <c r="AW691" s="200"/>
      <c r="AX691" s="200"/>
      <c r="AY691" s="200"/>
      <c r="AZ691" s="200"/>
      <c r="BA691" s="200"/>
      <c r="BB691" s="200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</row>
    <row r="692" spans="1:71" ht="13.8">
      <c r="A692" s="1"/>
      <c r="B692" s="1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  <c r="AB692" s="200"/>
      <c r="AC692" s="200"/>
      <c r="AD692" s="200"/>
      <c r="AE692" s="200"/>
      <c r="AF692" s="200"/>
      <c r="AG692" s="200"/>
      <c r="AH692" s="200"/>
      <c r="AI692" s="200"/>
      <c r="AJ692" s="200"/>
      <c r="AK692" s="200"/>
      <c r="AL692" s="200"/>
      <c r="AM692" s="200"/>
      <c r="AN692" s="200"/>
      <c r="AO692" s="200"/>
      <c r="AP692" s="200"/>
      <c r="AQ692" s="200"/>
      <c r="AR692" s="200"/>
      <c r="AS692" s="200"/>
      <c r="AT692" s="200"/>
      <c r="AU692" s="200"/>
      <c r="AV692" s="200"/>
      <c r="AW692" s="200"/>
      <c r="AX692" s="200"/>
      <c r="AY692" s="200"/>
      <c r="AZ692" s="200"/>
      <c r="BA692" s="200"/>
      <c r="BB692" s="200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</row>
    <row r="693" spans="1:71" ht="13.8">
      <c r="A693" s="1"/>
      <c r="B693" s="1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  <c r="AB693" s="200"/>
      <c r="AC693" s="200"/>
      <c r="AD693" s="200"/>
      <c r="AE693" s="200"/>
      <c r="AF693" s="200"/>
      <c r="AG693" s="200"/>
      <c r="AH693" s="200"/>
      <c r="AI693" s="200"/>
      <c r="AJ693" s="200"/>
      <c r="AK693" s="200"/>
      <c r="AL693" s="200"/>
      <c r="AM693" s="200"/>
      <c r="AN693" s="200"/>
      <c r="AO693" s="200"/>
      <c r="AP693" s="200"/>
      <c r="AQ693" s="200"/>
      <c r="AR693" s="200"/>
      <c r="AS693" s="200"/>
      <c r="AT693" s="200"/>
      <c r="AU693" s="200"/>
      <c r="AV693" s="200"/>
      <c r="AW693" s="200"/>
      <c r="AX693" s="200"/>
      <c r="AY693" s="200"/>
      <c r="AZ693" s="200"/>
      <c r="BA693" s="200"/>
      <c r="BB693" s="200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</row>
    <row r="694" spans="1:71" ht="13.8">
      <c r="A694" s="1"/>
      <c r="B694" s="1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  <c r="AB694" s="200"/>
      <c r="AC694" s="200"/>
      <c r="AD694" s="200"/>
      <c r="AE694" s="200"/>
      <c r="AF694" s="200"/>
      <c r="AG694" s="200"/>
      <c r="AH694" s="200"/>
      <c r="AI694" s="200"/>
      <c r="AJ694" s="200"/>
      <c r="AK694" s="200"/>
      <c r="AL694" s="200"/>
      <c r="AM694" s="200"/>
      <c r="AN694" s="200"/>
      <c r="AO694" s="200"/>
      <c r="AP694" s="200"/>
      <c r="AQ694" s="200"/>
      <c r="AR694" s="200"/>
      <c r="AS694" s="200"/>
      <c r="AT694" s="200"/>
      <c r="AU694" s="200"/>
      <c r="AV694" s="200"/>
      <c r="AW694" s="200"/>
      <c r="AX694" s="200"/>
      <c r="AY694" s="200"/>
      <c r="AZ694" s="200"/>
      <c r="BA694" s="200"/>
      <c r="BB694" s="200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</row>
    <row r="695" spans="1:71" ht="13.8">
      <c r="A695" s="1"/>
      <c r="B695" s="1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  <c r="AB695" s="200"/>
      <c r="AC695" s="200"/>
      <c r="AD695" s="200"/>
      <c r="AE695" s="200"/>
      <c r="AF695" s="200"/>
      <c r="AG695" s="200"/>
      <c r="AH695" s="200"/>
      <c r="AI695" s="200"/>
      <c r="AJ695" s="200"/>
      <c r="AK695" s="200"/>
      <c r="AL695" s="200"/>
      <c r="AM695" s="200"/>
      <c r="AN695" s="200"/>
      <c r="AO695" s="200"/>
      <c r="AP695" s="200"/>
      <c r="AQ695" s="200"/>
      <c r="AR695" s="200"/>
      <c r="AS695" s="200"/>
      <c r="AT695" s="200"/>
      <c r="AU695" s="200"/>
      <c r="AV695" s="200"/>
      <c r="AW695" s="200"/>
      <c r="AX695" s="200"/>
      <c r="AY695" s="200"/>
      <c r="AZ695" s="200"/>
      <c r="BA695" s="200"/>
      <c r="BB695" s="200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</row>
    <row r="696" spans="1:71" ht="13.8">
      <c r="A696" s="1"/>
      <c r="B696" s="1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  <c r="AB696" s="200"/>
      <c r="AC696" s="200"/>
      <c r="AD696" s="200"/>
      <c r="AE696" s="200"/>
      <c r="AF696" s="200"/>
      <c r="AG696" s="200"/>
      <c r="AH696" s="200"/>
      <c r="AI696" s="200"/>
      <c r="AJ696" s="200"/>
      <c r="AK696" s="200"/>
      <c r="AL696" s="200"/>
      <c r="AM696" s="200"/>
      <c r="AN696" s="200"/>
      <c r="AO696" s="200"/>
      <c r="AP696" s="200"/>
      <c r="AQ696" s="200"/>
      <c r="AR696" s="200"/>
      <c r="AS696" s="200"/>
      <c r="AT696" s="200"/>
      <c r="AU696" s="200"/>
      <c r="AV696" s="200"/>
      <c r="AW696" s="200"/>
      <c r="AX696" s="200"/>
      <c r="AY696" s="200"/>
      <c r="AZ696" s="200"/>
      <c r="BA696" s="200"/>
      <c r="BB696" s="200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</row>
    <row r="697" spans="1:71" ht="13.8">
      <c r="A697" s="1"/>
      <c r="B697" s="1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  <c r="AB697" s="200"/>
      <c r="AC697" s="200"/>
      <c r="AD697" s="200"/>
      <c r="AE697" s="200"/>
      <c r="AF697" s="200"/>
      <c r="AG697" s="200"/>
      <c r="AH697" s="200"/>
      <c r="AI697" s="200"/>
      <c r="AJ697" s="200"/>
      <c r="AK697" s="200"/>
      <c r="AL697" s="200"/>
      <c r="AM697" s="200"/>
      <c r="AN697" s="200"/>
      <c r="AO697" s="200"/>
      <c r="AP697" s="200"/>
      <c r="AQ697" s="200"/>
      <c r="AR697" s="200"/>
      <c r="AS697" s="200"/>
      <c r="AT697" s="200"/>
      <c r="AU697" s="200"/>
      <c r="AV697" s="200"/>
      <c r="AW697" s="200"/>
      <c r="AX697" s="200"/>
      <c r="AY697" s="200"/>
      <c r="AZ697" s="200"/>
      <c r="BA697" s="200"/>
      <c r="BB697" s="200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</row>
    <row r="698" spans="1:71" ht="13.8">
      <c r="A698" s="1"/>
      <c r="B698" s="1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  <c r="AB698" s="200"/>
      <c r="AC698" s="200"/>
      <c r="AD698" s="200"/>
      <c r="AE698" s="200"/>
      <c r="AF698" s="200"/>
      <c r="AG698" s="200"/>
      <c r="AH698" s="200"/>
      <c r="AI698" s="200"/>
      <c r="AJ698" s="200"/>
      <c r="AK698" s="200"/>
      <c r="AL698" s="200"/>
      <c r="AM698" s="200"/>
      <c r="AN698" s="200"/>
      <c r="AO698" s="200"/>
      <c r="AP698" s="200"/>
      <c r="AQ698" s="200"/>
      <c r="AR698" s="200"/>
      <c r="AS698" s="200"/>
      <c r="AT698" s="200"/>
      <c r="AU698" s="200"/>
      <c r="AV698" s="200"/>
      <c r="AW698" s="200"/>
      <c r="AX698" s="200"/>
      <c r="AY698" s="200"/>
      <c r="AZ698" s="200"/>
      <c r="BA698" s="200"/>
      <c r="BB698" s="200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</row>
    <row r="699" spans="1:71" ht="13.8">
      <c r="A699" s="1"/>
      <c r="B699" s="1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  <c r="AB699" s="200"/>
      <c r="AC699" s="200"/>
      <c r="AD699" s="200"/>
      <c r="AE699" s="200"/>
      <c r="AF699" s="200"/>
      <c r="AG699" s="200"/>
      <c r="AH699" s="200"/>
      <c r="AI699" s="200"/>
      <c r="AJ699" s="200"/>
      <c r="AK699" s="200"/>
      <c r="AL699" s="200"/>
      <c r="AM699" s="200"/>
      <c r="AN699" s="200"/>
      <c r="AO699" s="200"/>
      <c r="AP699" s="200"/>
      <c r="AQ699" s="200"/>
      <c r="AR699" s="200"/>
      <c r="AS699" s="200"/>
      <c r="AT699" s="200"/>
      <c r="AU699" s="200"/>
      <c r="AV699" s="200"/>
      <c r="AW699" s="200"/>
      <c r="AX699" s="200"/>
      <c r="AY699" s="200"/>
      <c r="AZ699" s="200"/>
      <c r="BA699" s="200"/>
      <c r="BB699" s="200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</row>
    <row r="700" spans="1:71" ht="13.8">
      <c r="A700" s="1"/>
      <c r="B700" s="1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  <c r="AB700" s="200"/>
      <c r="AC700" s="200"/>
      <c r="AD700" s="200"/>
      <c r="AE700" s="200"/>
      <c r="AF700" s="200"/>
      <c r="AG700" s="200"/>
      <c r="AH700" s="200"/>
      <c r="AI700" s="200"/>
      <c r="AJ700" s="200"/>
      <c r="AK700" s="200"/>
      <c r="AL700" s="200"/>
      <c r="AM700" s="200"/>
      <c r="AN700" s="200"/>
      <c r="AO700" s="200"/>
      <c r="AP700" s="200"/>
      <c r="AQ700" s="200"/>
      <c r="AR700" s="200"/>
      <c r="AS700" s="200"/>
      <c r="AT700" s="200"/>
      <c r="AU700" s="200"/>
      <c r="AV700" s="200"/>
      <c r="AW700" s="200"/>
      <c r="AX700" s="200"/>
      <c r="AY700" s="200"/>
      <c r="AZ700" s="200"/>
      <c r="BA700" s="200"/>
      <c r="BB700" s="200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</row>
    <row r="701" spans="1:71" ht="13.8">
      <c r="A701" s="1"/>
      <c r="B701" s="1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  <c r="AB701" s="200"/>
      <c r="AC701" s="200"/>
      <c r="AD701" s="200"/>
      <c r="AE701" s="200"/>
      <c r="AF701" s="200"/>
      <c r="AG701" s="200"/>
      <c r="AH701" s="200"/>
      <c r="AI701" s="200"/>
      <c r="AJ701" s="200"/>
      <c r="AK701" s="200"/>
      <c r="AL701" s="200"/>
      <c r="AM701" s="200"/>
      <c r="AN701" s="200"/>
      <c r="AO701" s="200"/>
      <c r="AP701" s="200"/>
      <c r="AQ701" s="200"/>
      <c r="AR701" s="200"/>
      <c r="AS701" s="200"/>
      <c r="AT701" s="200"/>
      <c r="AU701" s="200"/>
      <c r="AV701" s="200"/>
      <c r="AW701" s="200"/>
      <c r="AX701" s="200"/>
      <c r="AY701" s="200"/>
      <c r="AZ701" s="200"/>
      <c r="BA701" s="200"/>
      <c r="BB701" s="200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</row>
    <row r="702" spans="1:71" ht="13.8">
      <c r="A702" s="1"/>
      <c r="B702" s="1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  <c r="AB702" s="200"/>
      <c r="AC702" s="200"/>
      <c r="AD702" s="200"/>
      <c r="AE702" s="200"/>
      <c r="AF702" s="200"/>
      <c r="AG702" s="200"/>
      <c r="AH702" s="200"/>
      <c r="AI702" s="200"/>
      <c r="AJ702" s="200"/>
      <c r="AK702" s="200"/>
      <c r="AL702" s="200"/>
      <c r="AM702" s="200"/>
      <c r="AN702" s="200"/>
      <c r="AO702" s="200"/>
      <c r="AP702" s="200"/>
      <c r="AQ702" s="200"/>
      <c r="AR702" s="200"/>
      <c r="AS702" s="200"/>
      <c r="AT702" s="200"/>
      <c r="AU702" s="200"/>
      <c r="AV702" s="200"/>
      <c r="AW702" s="200"/>
      <c r="AX702" s="200"/>
      <c r="AY702" s="200"/>
      <c r="AZ702" s="200"/>
      <c r="BA702" s="200"/>
      <c r="BB702" s="200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</row>
    <row r="703" spans="1:71" ht="13.8">
      <c r="A703" s="1"/>
      <c r="B703" s="1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  <c r="AB703" s="200"/>
      <c r="AC703" s="200"/>
      <c r="AD703" s="200"/>
      <c r="AE703" s="200"/>
      <c r="AF703" s="200"/>
      <c r="AG703" s="200"/>
      <c r="AH703" s="200"/>
      <c r="AI703" s="200"/>
      <c r="AJ703" s="200"/>
      <c r="AK703" s="200"/>
      <c r="AL703" s="200"/>
      <c r="AM703" s="200"/>
      <c r="AN703" s="200"/>
      <c r="AO703" s="200"/>
      <c r="AP703" s="200"/>
      <c r="AQ703" s="200"/>
      <c r="AR703" s="200"/>
      <c r="AS703" s="200"/>
      <c r="AT703" s="200"/>
      <c r="AU703" s="200"/>
      <c r="AV703" s="200"/>
      <c r="AW703" s="200"/>
      <c r="AX703" s="200"/>
      <c r="AY703" s="200"/>
      <c r="AZ703" s="200"/>
      <c r="BA703" s="200"/>
      <c r="BB703" s="200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</row>
    <row r="704" spans="1:71" ht="13.8">
      <c r="A704" s="1"/>
      <c r="B704" s="1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  <c r="AB704" s="200"/>
      <c r="AC704" s="200"/>
      <c r="AD704" s="200"/>
      <c r="AE704" s="200"/>
      <c r="AF704" s="200"/>
      <c r="AG704" s="200"/>
      <c r="AH704" s="200"/>
      <c r="AI704" s="200"/>
      <c r="AJ704" s="200"/>
      <c r="AK704" s="200"/>
      <c r="AL704" s="200"/>
      <c r="AM704" s="200"/>
      <c r="AN704" s="200"/>
      <c r="AO704" s="200"/>
      <c r="AP704" s="200"/>
      <c r="AQ704" s="200"/>
      <c r="AR704" s="200"/>
      <c r="AS704" s="200"/>
      <c r="AT704" s="200"/>
      <c r="AU704" s="200"/>
      <c r="AV704" s="200"/>
      <c r="AW704" s="200"/>
      <c r="AX704" s="200"/>
      <c r="AY704" s="200"/>
      <c r="AZ704" s="200"/>
      <c r="BA704" s="200"/>
      <c r="BB704" s="200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</row>
    <row r="705" spans="1:71" ht="13.8">
      <c r="A705" s="1"/>
      <c r="B705" s="1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  <c r="AB705" s="200"/>
      <c r="AC705" s="200"/>
      <c r="AD705" s="200"/>
      <c r="AE705" s="200"/>
      <c r="AF705" s="200"/>
      <c r="AG705" s="200"/>
      <c r="AH705" s="200"/>
      <c r="AI705" s="200"/>
      <c r="AJ705" s="200"/>
      <c r="AK705" s="200"/>
      <c r="AL705" s="200"/>
      <c r="AM705" s="200"/>
      <c r="AN705" s="200"/>
      <c r="AO705" s="200"/>
      <c r="AP705" s="200"/>
      <c r="AQ705" s="200"/>
      <c r="AR705" s="200"/>
      <c r="AS705" s="200"/>
      <c r="AT705" s="200"/>
      <c r="AU705" s="200"/>
      <c r="AV705" s="200"/>
      <c r="AW705" s="200"/>
      <c r="AX705" s="200"/>
      <c r="AY705" s="200"/>
      <c r="AZ705" s="200"/>
      <c r="BA705" s="200"/>
      <c r="BB705" s="200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</row>
    <row r="706" spans="1:71" ht="13.8">
      <c r="A706" s="1"/>
      <c r="B706" s="1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  <c r="AB706" s="200"/>
      <c r="AC706" s="200"/>
      <c r="AD706" s="200"/>
      <c r="AE706" s="200"/>
      <c r="AF706" s="200"/>
      <c r="AG706" s="200"/>
      <c r="AH706" s="200"/>
      <c r="AI706" s="200"/>
      <c r="AJ706" s="200"/>
      <c r="AK706" s="200"/>
      <c r="AL706" s="200"/>
      <c r="AM706" s="200"/>
      <c r="AN706" s="200"/>
      <c r="AO706" s="200"/>
      <c r="AP706" s="200"/>
      <c r="AQ706" s="200"/>
      <c r="AR706" s="200"/>
      <c r="AS706" s="200"/>
      <c r="AT706" s="200"/>
      <c r="AU706" s="200"/>
      <c r="AV706" s="200"/>
      <c r="AW706" s="200"/>
      <c r="AX706" s="200"/>
      <c r="AY706" s="200"/>
      <c r="AZ706" s="200"/>
      <c r="BA706" s="200"/>
      <c r="BB706" s="200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</row>
    <row r="707" spans="1:71" ht="13.8">
      <c r="A707" s="1"/>
      <c r="B707" s="1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  <c r="AB707" s="200"/>
      <c r="AC707" s="200"/>
      <c r="AD707" s="200"/>
      <c r="AE707" s="200"/>
      <c r="AF707" s="200"/>
      <c r="AG707" s="200"/>
      <c r="AH707" s="200"/>
      <c r="AI707" s="200"/>
      <c r="AJ707" s="200"/>
      <c r="AK707" s="200"/>
      <c r="AL707" s="200"/>
      <c r="AM707" s="200"/>
      <c r="AN707" s="200"/>
      <c r="AO707" s="200"/>
      <c r="AP707" s="200"/>
      <c r="AQ707" s="200"/>
      <c r="AR707" s="200"/>
      <c r="AS707" s="200"/>
      <c r="AT707" s="200"/>
      <c r="AU707" s="200"/>
      <c r="AV707" s="200"/>
      <c r="AW707" s="200"/>
      <c r="AX707" s="200"/>
      <c r="AY707" s="200"/>
      <c r="AZ707" s="200"/>
      <c r="BA707" s="200"/>
      <c r="BB707" s="200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</row>
    <row r="708" spans="1:71" ht="13.8">
      <c r="A708" s="1"/>
      <c r="B708" s="1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  <c r="AB708" s="200"/>
      <c r="AC708" s="200"/>
      <c r="AD708" s="200"/>
      <c r="AE708" s="200"/>
      <c r="AF708" s="200"/>
      <c r="AG708" s="200"/>
      <c r="AH708" s="200"/>
      <c r="AI708" s="200"/>
      <c r="AJ708" s="200"/>
      <c r="AK708" s="200"/>
      <c r="AL708" s="200"/>
      <c r="AM708" s="200"/>
      <c r="AN708" s="200"/>
      <c r="AO708" s="200"/>
      <c r="AP708" s="200"/>
      <c r="AQ708" s="200"/>
      <c r="AR708" s="200"/>
      <c r="AS708" s="200"/>
      <c r="AT708" s="200"/>
      <c r="AU708" s="200"/>
      <c r="AV708" s="200"/>
      <c r="AW708" s="200"/>
      <c r="AX708" s="200"/>
      <c r="AY708" s="200"/>
      <c r="AZ708" s="200"/>
      <c r="BA708" s="200"/>
      <c r="BB708" s="200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</row>
    <row r="709" spans="1:71" ht="13.8">
      <c r="A709" s="1"/>
      <c r="B709" s="1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  <c r="AB709" s="200"/>
      <c r="AC709" s="200"/>
      <c r="AD709" s="200"/>
      <c r="AE709" s="200"/>
      <c r="AF709" s="200"/>
      <c r="AG709" s="200"/>
      <c r="AH709" s="200"/>
      <c r="AI709" s="200"/>
      <c r="AJ709" s="200"/>
      <c r="AK709" s="200"/>
      <c r="AL709" s="200"/>
      <c r="AM709" s="200"/>
      <c r="AN709" s="200"/>
      <c r="AO709" s="200"/>
      <c r="AP709" s="200"/>
      <c r="AQ709" s="200"/>
      <c r="AR709" s="200"/>
      <c r="AS709" s="200"/>
      <c r="AT709" s="200"/>
      <c r="AU709" s="200"/>
      <c r="AV709" s="200"/>
      <c r="AW709" s="200"/>
      <c r="AX709" s="200"/>
      <c r="AY709" s="200"/>
      <c r="AZ709" s="200"/>
      <c r="BA709" s="200"/>
      <c r="BB709" s="200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</row>
    <row r="710" spans="1:71" ht="13.8">
      <c r="A710" s="1"/>
      <c r="B710" s="1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  <c r="AB710" s="200"/>
      <c r="AC710" s="200"/>
      <c r="AD710" s="200"/>
      <c r="AE710" s="200"/>
      <c r="AF710" s="200"/>
      <c r="AG710" s="200"/>
      <c r="AH710" s="200"/>
      <c r="AI710" s="200"/>
      <c r="AJ710" s="200"/>
      <c r="AK710" s="200"/>
      <c r="AL710" s="200"/>
      <c r="AM710" s="200"/>
      <c r="AN710" s="200"/>
      <c r="AO710" s="200"/>
      <c r="AP710" s="200"/>
      <c r="AQ710" s="200"/>
      <c r="AR710" s="200"/>
      <c r="AS710" s="200"/>
      <c r="AT710" s="200"/>
      <c r="AU710" s="200"/>
      <c r="AV710" s="200"/>
      <c r="AW710" s="200"/>
      <c r="AX710" s="200"/>
      <c r="AY710" s="200"/>
      <c r="AZ710" s="200"/>
      <c r="BA710" s="200"/>
      <c r="BB710" s="200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</row>
    <row r="711" spans="1:71" ht="13.8">
      <c r="A711" s="1"/>
      <c r="B711" s="1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  <c r="AB711" s="200"/>
      <c r="AC711" s="200"/>
      <c r="AD711" s="200"/>
      <c r="AE711" s="200"/>
      <c r="AF711" s="200"/>
      <c r="AG711" s="200"/>
      <c r="AH711" s="200"/>
      <c r="AI711" s="200"/>
      <c r="AJ711" s="200"/>
      <c r="AK711" s="200"/>
      <c r="AL711" s="200"/>
      <c r="AM711" s="200"/>
      <c r="AN711" s="200"/>
      <c r="AO711" s="200"/>
      <c r="AP711" s="200"/>
      <c r="AQ711" s="200"/>
      <c r="AR711" s="200"/>
      <c r="AS711" s="200"/>
      <c r="AT711" s="200"/>
      <c r="AU711" s="200"/>
      <c r="AV711" s="200"/>
      <c r="AW711" s="200"/>
      <c r="AX711" s="200"/>
      <c r="AY711" s="200"/>
      <c r="AZ711" s="200"/>
      <c r="BA711" s="200"/>
      <c r="BB711" s="200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</row>
    <row r="712" spans="1:71" ht="13.8">
      <c r="A712" s="1"/>
      <c r="B712" s="1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  <c r="AH712" s="200"/>
      <c r="AI712" s="200"/>
      <c r="AJ712" s="200"/>
      <c r="AK712" s="200"/>
      <c r="AL712" s="200"/>
      <c r="AM712" s="200"/>
      <c r="AN712" s="200"/>
      <c r="AO712" s="200"/>
      <c r="AP712" s="200"/>
      <c r="AQ712" s="200"/>
      <c r="AR712" s="200"/>
      <c r="AS712" s="200"/>
      <c r="AT712" s="200"/>
      <c r="AU712" s="200"/>
      <c r="AV712" s="200"/>
      <c r="AW712" s="200"/>
      <c r="AX712" s="200"/>
      <c r="AY712" s="200"/>
      <c r="AZ712" s="200"/>
      <c r="BA712" s="200"/>
      <c r="BB712" s="200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</row>
    <row r="713" spans="1:71" ht="13.8">
      <c r="A713" s="1"/>
      <c r="B713" s="1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  <c r="AB713" s="200"/>
      <c r="AC713" s="200"/>
      <c r="AD713" s="200"/>
      <c r="AE713" s="200"/>
      <c r="AF713" s="200"/>
      <c r="AG713" s="200"/>
      <c r="AH713" s="200"/>
      <c r="AI713" s="200"/>
      <c r="AJ713" s="200"/>
      <c r="AK713" s="200"/>
      <c r="AL713" s="200"/>
      <c r="AM713" s="200"/>
      <c r="AN713" s="200"/>
      <c r="AO713" s="200"/>
      <c r="AP713" s="200"/>
      <c r="AQ713" s="200"/>
      <c r="AR713" s="200"/>
      <c r="AS713" s="200"/>
      <c r="AT713" s="200"/>
      <c r="AU713" s="200"/>
      <c r="AV713" s="200"/>
      <c r="AW713" s="200"/>
      <c r="AX713" s="200"/>
      <c r="AY713" s="200"/>
      <c r="AZ713" s="200"/>
      <c r="BA713" s="200"/>
      <c r="BB713" s="200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</row>
    <row r="714" spans="1:71" ht="13.8">
      <c r="A714" s="1"/>
      <c r="B714" s="1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  <c r="AB714" s="200"/>
      <c r="AC714" s="200"/>
      <c r="AD714" s="200"/>
      <c r="AE714" s="200"/>
      <c r="AF714" s="200"/>
      <c r="AG714" s="200"/>
      <c r="AH714" s="200"/>
      <c r="AI714" s="200"/>
      <c r="AJ714" s="200"/>
      <c r="AK714" s="200"/>
      <c r="AL714" s="200"/>
      <c r="AM714" s="200"/>
      <c r="AN714" s="200"/>
      <c r="AO714" s="200"/>
      <c r="AP714" s="200"/>
      <c r="AQ714" s="200"/>
      <c r="AR714" s="200"/>
      <c r="AS714" s="200"/>
      <c r="AT714" s="200"/>
      <c r="AU714" s="200"/>
      <c r="AV714" s="200"/>
      <c r="AW714" s="200"/>
      <c r="AX714" s="200"/>
      <c r="AY714" s="200"/>
      <c r="AZ714" s="200"/>
      <c r="BA714" s="200"/>
      <c r="BB714" s="200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</row>
    <row r="715" spans="1:71" ht="13.8">
      <c r="A715" s="1"/>
      <c r="B715" s="1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  <c r="AB715" s="200"/>
      <c r="AC715" s="200"/>
      <c r="AD715" s="200"/>
      <c r="AE715" s="200"/>
      <c r="AF715" s="200"/>
      <c r="AG715" s="200"/>
      <c r="AH715" s="200"/>
      <c r="AI715" s="200"/>
      <c r="AJ715" s="200"/>
      <c r="AK715" s="200"/>
      <c r="AL715" s="200"/>
      <c r="AM715" s="200"/>
      <c r="AN715" s="200"/>
      <c r="AO715" s="200"/>
      <c r="AP715" s="200"/>
      <c r="AQ715" s="200"/>
      <c r="AR715" s="200"/>
      <c r="AS715" s="200"/>
      <c r="AT715" s="200"/>
      <c r="AU715" s="200"/>
      <c r="AV715" s="200"/>
      <c r="AW715" s="200"/>
      <c r="AX715" s="200"/>
      <c r="AY715" s="200"/>
      <c r="AZ715" s="200"/>
      <c r="BA715" s="200"/>
      <c r="BB715" s="200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</row>
    <row r="716" spans="1:71" ht="13.8">
      <c r="A716" s="1"/>
      <c r="B716" s="1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  <c r="AB716" s="200"/>
      <c r="AC716" s="200"/>
      <c r="AD716" s="200"/>
      <c r="AE716" s="200"/>
      <c r="AF716" s="200"/>
      <c r="AG716" s="200"/>
      <c r="AH716" s="200"/>
      <c r="AI716" s="200"/>
      <c r="AJ716" s="200"/>
      <c r="AK716" s="200"/>
      <c r="AL716" s="200"/>
      <c r="AM716" s="200"/>
      <c r="AN716" s="200"/>
      <c r="AO716" s="200"/>
      <c r="AP716" s="200"/>
      <c r="AQ716" s="200"/>
      <c r="AR716" s="200"/>
      <c r="AS716" s="200"/>
      <c r="AT716" s="200"/>
      <c r="AU716" s="200"/>
      <c r="AV716" s="200"/>
      <c r="AW716" s="200"/>
      <c r="AX716" s="200"/>
      <c r="AY716" s="200"/>
      <c r="AZ716" s="200"/>
      <c r="BA716" s="200"/>
      <c r="BB716" s="200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</row>
    <row r="717" spans="1:71" ht="13.8">
      <c r="A717" s="1"/>
      <c r="B717" s="1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  <c r="AB717" s="200"/>
      <c r="AC717" s="200"/>
      <c r="AD717" s="200"/>
      <c r="AE717" s="200"/>
      <c r="AF717" s="200"/>
      <c r="AG717" s="200"/>
      <c r="AH717" s="200"/>
      <c r="AI717" s="200"/>
      <c r="AJ717" s="200"/>
      <c r="AK717" s="200"/>
      <c r="AL717" s="200"/>
      <c r="AM717" s="200"/>
      <c r="AN717" s="200"/>
      <c r="AO717" s="200"/>
      <c r="AP717" s="200"/>
      <c r="AQ717" s="200"/>
      <c r="AR717" s="200"/>
      <c r="AS717" s="200"/>
      <c r="AT717" s="200"/>
      <c r="AU717" s="200"/>
      <c r="AV717" s="200"/>
      <c r="AW717" s="200"/>
      <c r="AX717" s="200"/>
      <c r="AY717" s="200"/>
      <c r="AZ717" s="200"/>
      <c r="BA717" s="200"/>
      <c r="BB717" s="200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</row>
    <row r="718" spans="1:71" ht="13.8">
      <c r="A718" s="1"/>
      <c r="B718" s="1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  <c r="AB718" s="200"/>
      <c r="AC718" s="200"/>
      <c r="AD718" s="200"/>
      <c r="AE718" s="200"/>
      <c r="AF718" s="200"/>
      <c r="AG718" s="200"/>
      <c r="AH718" s="200"/>
      <c r="AI718" s="200"/>
      <c r="AJ718" s="200"/>
      <c r="AK718" s="200"/>
      <c r="AL718" s="200"/>
      <c r="AM718" s="200"/>
      <c r="AN718" s="200"/>
      <c r="AO718" s="200"/>
      <c r="AP718" s="200"/>
      <c r="AQ718" s="200"/>
      <c r="AR718" s="200"/>
      <c r="AS718" s="200"/>
      <c r="AT718" s="200"/>
      <c r="AU718" s="200"/>
      <c r="AV718" s="200"/>
      <c r="AW718" s="200"/>
      <c r="AX718" s="200"/>
      <c r="AY718" s="200"/>
      <c r="AZ718" s="200"/>
      <c r="BA718" s="200"/>
      <c r="BB718" s="200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</row>
    <row r="719" spans="1:71" ht="13.8">
      <c r="A719" s="1"/>
      <c r="B719" s="1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  <c r="AB719" s="200"/>
      <c r="AC719" s="200"/>
      <c r="AD719" s="200"/>
      <c r="AE719" s="200"/>
      <c r="AF719" s="200"/>
      <c r="AG719" s="200"/>
      <c r="AH719" s="200"/>
      <c r="AI719" s="200"/>
      <c r="AJ719" s="200"/>
      <c r="AK719" s="200"/>
      <c r="AL719" s="200"/>
      <c r="AM719" s="200"/>
      <c r="AN719" s="200"/>
      <c r="AO719" s="200"/>
      <c r="AP719" s="200"/>
      <c r="AQ719" s="200"/>
      <c r="AR719" s="200"/>
      <c r="AS719" s="200"/>
      <c r="AT719" s="200"/>
      <c r="AU719" s="200"/>
      <c r="AV719" s="200"/>
      <c r="AW719" s="200"/>
      <c r="AX719" s="200"/>
      <c r="AY719" s="200"/>
      <c r="AZ719" s="200"/>
      <c r="BA719" s="200"/>
      <c r="BB719" s="200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</row>
    <row r="720" spans="1:71" ht="13.8">
      <c r="A720" s="1"/>
      <c r="B720" s="1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  <c r="AB720" s="200"/>
      <c r="AC720" s="200"/>
      <c r="AD720" s="200"/>
      <c r="AE720" s="200"/>
      <c r="AF720" s="200"/>
      <c r="AG720" s="200"/>
      <c r="AH720" s="200"/>
      <c r="AI720" s="200"/>
      <c r="AJ720" s="200"/>
      <c r="AK720" s="200"/>
      <c r="AL720" s="200"/>
      <c r="AM720" s="200"/>
      <c r="AN720" s="200"/>
      <c r="AO720" s="200"/>
      <c r="AP720" s="200"/>
      <c r="AQ720" s="200"/>
      <c r="AR720" s="200"/>
      <c r="AS720" s="200"/>
      <c r="AT720" s="200"/>
      <c r="AU720" s="200"/>
      <c r="AV720" s="200"/>
      <c r="AW720" s="200"/>
      <c r="AX720" s="200"/>
      <c r="AY720" s="200"/>
      <c r="AZ720" s="200"/>
      <c r="BA720" s="200"/>
      <c r="BB720" s="200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</row>
    <row r="721" spans="1:71" ht="13.8">
      <c r="A721" s="1"/>
      <c r="B721" s="1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  <c r="AB721" s="200"/>
      <c r="AC721" s="200"/>
      <c r="AD721" s="200"/>
      <c r="AE721" s="200"/>
      <c r="AF721" s="200"/>
      <c r="AG721" s="200"/>
      <c r="AH721" s="200"/>
      <c r="AI721" s="200"/>
      <c r="AJ721" s="200"/>
      <c r="AK721" s="200"/>
      <c r="AL721" s="200"/>
      <c r="AM721" s="200"/>
      <c r="AN721" s="200"/>
      <c r="AO721" s="200"/>
      <c r="AP721" s="200"/>
      <c r="AQ721" s="200"/>
      <c r="AR721" s="200"/>
      <c r="AS721" s="200"/>
      <c r="AT721" s="200"/>
      <c r="AU721" s="200"/>
      <c r="AV721" s="200"/>
      <c r="AW721" s="200"/>
      <c r="AX721" s="200"/>
      <c r="AY721" s="200"/>
      <c r="AZ721" s="200"/>
      <c r="BA721" s="200"/>
      <c r="BB721" s="200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</row>
    <row r="722" spans="1:71" ht="13.8">
      <c r="A722" s="1"/>
      <c r="B722" s="1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  <c r="AB722" s="200"/>
      <c r="AC722" s="200"/>
      <c r="AD722" s="200"/>
      <c r="AE722" s="200"/>
      <c r="AF722" s="200"/>
      <c r="AG722" s="200"/>
      <c r="AH722" s="200"/>
      <c r="AI722" s="200"/>
      <c r="AJ722" s="200"/>
      <c r="AK722" s="200"/>
      <c r="AL722" s="200"/>
      <c r="AM722" s="200"/>
      <c r="AN722" s="200"/>
      <c r="AO722" s="200"/>
      <c r="AP722" s="200"/>
      <c r="AQ722" s="200"/>
      <c r="AR722" s="200"/>
      <c r="AS722" s="200"/>
      <c r="AT722" s="200"/>
      <c r="AU722" s="200"/>
      <c r="AV722" s="200"/>
      <c r="AW722" s="200"/>
      <c r="AX722" s="200"/>
      <c r="AY722" s="200"/>
      <c r="AZ722" s="200"/>
      <c r="BA722" s="200"/>
      <c r="BB722" s="200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</row>
    <row r="723" spans="1:71" ht="13.8">
      <c r="A723" s="1"/>
      <c r="B723" s="1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  <c r="AB723" s="200"/>
      <c r="AC723" s="200"/>
      <c r="AD723" s="200"/>
      <c r="AE723" s="200"/>
      <c r="AF723" s="200"/>
      <c r="AG723" s="200"/>
      <c r="AH723" s="200"/>
      <c r="AI723" s="200"/>
      <c r="AJ723" s="200"/>
      <c r="AK723" s="200"/>
      <c r="AL723" s="200"/>
      <c r="AM723" s="200"/>
      <c r="AN723" s="200"/>
      <c r="AO723" s="200"/>
      <c r="AP723" s="200"/>
      <c r="AQ723" s="200"/>
      <c r="AR723" s="200"/>
      <c r="AS723" s="200"/>
      <c r="AT723" s="200"/>
      <c r="AU723" s="200"/>
      <c r="AV723" s="200"/>
      <c r="AW723" s="200"/>
      <c r="AX723" s="200"/>
      <c r="AY723" s="200"/>
      <c r="AZ723" s="200"/>
      <c r="BA723" s="200"/>
      <c r="BB723" s="200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</row>
    <row r="724" spans="1:71" ht="13.8">
      <c r="A724" s="1"/>
      <c r="B724" s="1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  <c r="AB724" s="200"/>
      <c r="AC724" s="200"/>
      <c r="AD724" s="200"/>
      <c r="AE724" s="200"/>
      <c r="AF724" s="200"/>
      <c r="AG724" s="200"/>
      <c r="AH724" s="200"/>
      <c r="AI724" s="200"/>
      <c r="AJ724" s="200"/>
      <c r="AK724" s="200"/>
      <c r="AL724" s="200"/>
      <c r="AM724" s="200"/>
      <c r="AN724" s="200"/>
      <c r="AO724" s="200"/>
      <c r="AP724" s="200"/>
      <c r="AQ724" s="200"/>
      <c r="AR724" s="200"/>
      <c r="AS724" s="200"/>
      <c r="AT724" s="200"/>
      <c r="AU724" s="200"/>
      <c r="AV724" s="200"/>
      <c r="AW724" s="200"/>
      <c r="AX724" s="200"/>
      <c r="AY724" s="200"/>
      <c r="AZ724" s="200"/>
      <c r="BA724" s="200"/>
      <c r="BB724" s="200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</row>
    <row r="725" spans="1:71" ht="13.8">
      <c r="A725" s="1"/>
      <c r="B725" s="1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  <c r="AB725" s="200"/>
      <c r="AC725" s="200"/>
      <c r="AD725" s="200"/>
      <c r="AE725" s="200"/>
      <c r="AF725" s="200"/>
      <c r="AG725" s="200"/>
      <c r="AH725" s="200"/>
      <c r="AI725" s="200"/>
      <c r="AJ725" s="200"/>
      <c r="AK725" s="200"/>
      <c r="AL725" s="200"/>
      <c r="AM725" s="200"/>
      <c r="AN725" s="200"/>
      <c r="AO725" s="200"/>
      <c r="AP725" s="200"/>
      <c r="AQ725" s="200"/>
      <c r="AR725" s="200"/>
      <c r="AS725" s="200"/>
      <c r="AT725" s="200"/>
      <c r="AU725" s="200"/>
      <c r="AV725" s="200"/>
      <c r="AW725" s="200"/>
      <c r="AX725" s="200"/>
      <c r="AY725" s="200"/>
      <c r="AZ725" s="200"/>
      <c r="BA725" s="200"/>
      <c r="BB725" s="200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</row>
    <row r="726" spans="1:71" ht="13.8">
      <c r="A726" s="1"/>
      <c r="B726" s="1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  <c r="AB726" s="200"/>
      <c r="AC726" s="200"/>
      <c r="AD726" s="200"/>
      <c r="AE726" s="200"/>
      <c r="AF726" s="200"/>
      <c r="AG726" s="200"/>
      <c r="AH726" s="200"/>
      <c r="AI726" s="200"/>
      <c r="AJ726" s="200"/>
      <c r="AK726" s="200"/>
      <c r="AL726" s="200"/>
      <c r="AM726" s="200"/>
      <c r="AN726" s="200"/>
      <c r="AO726" s="200"/>
      <c r="AP726" s="200"/>
      <c r="AQ726" s="200"/>
      <c r="AR726" s="200"/>
      <c r="AS726" s="200"/>
      <c r="AT726" s="200"/>
      <c r="AU726" s="200"/>
      <c r="AV726" s="200"/>
      <c r="AW726" s="200"/>
      <c r="AX726" s="200"/>
      <c r="AY726" s="200"/>
      <c r="AZ726" s="200"/>
      <c r="BA726" s="200"/>
      <c r="BB726" s="200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</row>
    <row r="727" spans="1:71" ht="13.8">
      <c r="A727" s="1"/>
      <c r="B727" s="1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  <c r="AB727" s="200"/>
      <c r="AC727" s="200"/>
      <c r="AD727" s="200"/>
      <c r="AE727" s="200"/>
      <c r="AF727" s="200"/>
      <c r="AG727" s="200"/>
      <c r="AH727" s="200"/>
      <c r="AI727" s="200"/>
      <c r="AJ727" s="200"/>
      <c r="AK727" s="200"/>
      <c r="AL727" s="200"/>
      <c r="AM727" s="200"/>
      <c r="AN727" s="200"/>
      <c r="AO727" s="200"/>
      <c r="AP727" s="200"/>
      <c r="AQ727" s="200"/>
      <c r="AR727" s="200"/>
      <c r="AS727" s="200"/>
      <c r="AT727" s="200"/>
      <c r="AU727" s="200"/>
      <c r="AV727" s="200"/>
      <c r="AW727" s="200"/>
      <c r="AX727" s="200"/>
      <c r="AY727" s="200"/>
      <c r="AZ727" s="200"/>
      <c r="BA727" s="200"/>
      <c r="BB727" s="200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</row>
    <row r="728" spans="1:71" ht="13.8">
      <c r="A728" s="1"/>
      <c r="B728" s="1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  <c r="AB728" s="200"/>
      <c r="AC728" s="200"/>
      <c r="AD728" s="200"/>
      <c r="AE728" s="200"/>
      <c r="AF728" s="200"/>
      <c r="AG728" s="200"/>
      <c r="AH728" s="200"/>
      <c r="AI728" s="200"/>
      <c r="AJ728" s="200"/>
      <c r="AK728" s="200"/>
      <c r="AL728" s="200"/>
      <c r="AM728" s="200"/>
      <c r="AN728" s="200"/>
      <c r="AO728" s="200"/>
      <c r="AP728" s="200"/>
      <c r="AQ728" s="200"/>
      <c r="AR728" s="200"/>
      <c r="AS728" s="200"/>
      <c r="AT728" s="200"/>
      <c r="AU728" s="200"/>
      <c r="AV728" s="200"/>
      <c r="AW728" s="200"/>
      <c r="AX728" s="200"/>
      <c r="AY728" s="200"/>
      <c r="AZ728" s="200"/>
      <c r="BA728" s="200"/>
      <c r="BB728" s="200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</row>
    <row r="729" spans="1:71" ht="13.8">
      <c r="A729" s="1"/>
      <c r="B729" s="1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  <c r="AB729" s="200"/>
      <c r="AC729" s="200"/>
      <c r="AD729" s="200"/>
      <c r="AE729" s="200"/>
      <c r="AF729" s="200"/>
      <c r="AG729" s="200"/>
      <c r="AH729" s="200"/>
      <c r="AI729" s="200"/>
      <c r="AJ729" s="200"/>
      <c r="AK729" s="200"/>
      <c r="AL729" s="200"/>
      <c r="AM729" s="200"/>
      <c r="AN729" s="200"/>
      <c r="AO729" s="200"/>
      <c r="AP729" s="200"/>
      <c r="AQ729" s="200"/>
      <c r="AR729" s="200"/>
      <c r="AS729" s="200"/>
      <c r="AT729" s="200"/>
      <c r="AU729" s="200"/>
      <c r="AV729" s="200"/>
      <c r="AW729" s="200"/>
      <c r="AX729" s="200"/>
      <c r="AY729" s="200"/>
      <c r="AZ729" s="200"/>
      <c r="BA729" s="200"/>
      <c r="BB729" s="200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</row>
    <row r="730" spans="1:71" ht="13.8">
      <c r="A730" s="1"/>
      <c r="B730" s="1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  <c r="AB730" s="200"/>
      <c r="AC730" s="200"/>
      <c r="AD730" s="200"/>
      <c r="AE730" s="200"/>
      <c r="AF730" s="200"/>
      <c r="AG730" s="200"/>
      <c r="AH730" s="200"/>
      <c r="AI730" s="200"/>
      <c r="AJ730" s="200"/>
      <c r="AK730" s="200"/>
      <c r="AL730" s="200"/>
      <c r="AM730" s="200"/>
      <c r="AN730" s="200"/>
      <c r="AO730" s="200"/>
      <c r="AP730" s="200"/>
      <c r="AQ730" s="200"/>
      <c r="AR730" s="200"/>
      <c r="AS730" s="200"/>
      <c r="AT730" s="200"/>
      <c r="AU730" s="200"/>
      <c r="AV730" s="200"/>
      <c r="AW730" s="200"/>
      <c r="AX730" s="200"/>
      <c r="AY730" s="200"/>
      <c r="AZ730" s="200"/>
      <c r="BA730" s="200"/>
      <c r="BB730" s="200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</row>
    <row r="731" spans="1:71" ht="13.8">
      <c r="A731" s="1"/>
      <c r="B731" s="1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  <c r="AB731" s="200"/>
      <c r="AC731" s="200"/>
      <c r="AD731" s="200"/>
      <c r="AE731" s="200"/>
      <c r="AF731" s="200"/>
      <c r="AG731" s="200"/>
      <c r="AH731" s="200"/>
      <c r="AI731" s="200"/>
      <c r="AJ731" s="200"/>
      <c r="AK731" s="200"/>
      <c r="AL731" s="200"/>
      <c r="AM731" s="200"/>
      <c r="AN731" s="200"/>
      <c r="AO731" s="200"/>
      <c r="AP731" s="200"/>
      <c r="AQ731" s="200"/>
      <c r="AR731" s="200"/>
      <c r="AS731" s="200"/>
      <c r="AT731" s="200"/>
      <c r="AU731" s="200"/>
      <c r="AV731" s="200"/>
      <c r="AW731" s="200"/>
      <c r="AX731" s="200"/>
      <c r="AY731" s="200"/>
      <c r="AZ731" s="200"/>
      <c r="BA731" s="200"/>
      <c r="BB731" s="200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</row>
    <row r="732" spans="1:71" ht="13.8">
      <c r="A732" s="1"/>
      <c r="B732" s="1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  <c r="AB732" s="200"/>
      <c r="AC732" s="200"/>
      <c r="AD732" s="200"/>
      <c r="AE732" s="200"/>
      <c r="AF732" s="200"/>
      <c r="AG732" s="200"/>
      <c r="AH732" s="200"/>
      <c r="AI732" s="200"/>
      <c r="AJ732" s="200"/>
      <c r="AK732" s="200"/>
      <c r="AL732" s="200"/>
      <c r="AM732" s="200"/>
      <c r="AN732" s="200"/>
      <c r="AO732" s="200"/>
      <c r="AP732" s="200"/>
      <c r="AQ732" s="200"/>
      <c r="AR732" s="200"/>
      <c r="AS732" s="200"/>
      <c r="AT732" s="200"/>
      <c r="AU732" s="200"/>
      <c r="AV732" s="200"/>
      <c r="AW732" s="200"/>
      <c r="AX732" s="200"/>
      <c r="AY732" s="200"/>
      <c r="AZ732" s="200"/>
      <c r="BA732" s="200"/>
      <c r="BB732" s="200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</row>
    <row r="733" spans="1:71" ht="13.8">
      <c r="A733" s="1"/>
      <c r="B733" s="1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  <c r="AB733" s="200"/>
      <c r="AC733" s="200"/>
      <c r="AD733" s="200"/>
      <c r="AE733" s="200"/>
      <c r="AF733" s="200"/>
      <c r="AG733" s="200"/>
      <c r="AH733" s="200"/>
      <c r="AI733" s="200"/>
      <c r="AJ733" s="200"/>
      <c r="AK733" s="200"/>
      <c r="AL733" s="200"/>
      <c r="AM733" s="200"/>
      <c r="AN733" s="200"/>
      <c r="AO733" s="200"/>
      <c r="AP733" s="200"/>
      <c r="AQ733" s="200"/>
      <c r="AR733" s="200"/>
      <c r="AS733" s="200"/>
      <c r="AT733" s="200"/>
      <c r="AU733" s="200"/>
      <c r="AV733" s="200"/>
      <c r="AW733" s="200"/>
      <c r="AX733" s="200"/>
      <c r="AY733" s="200"/>
      <c r="AZ733" s="200"/>
      <c r="BA733" s="200"/>
      <c r="BB733" s="200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</row>
    <row r="734" spans="1:71" ht="13.8">
      <c r="A734" s="1"/>
      <c r="B734" s="1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  <c r="AB734" s="200"/>
      <c r="AC734" s="200"/>
      <c r="AD734" s="200"/>
      <c r="AE734" s="200"/>
      <c r="AF734" s="200"/>
      <c r="AG734" s="200"/>
      <c r="AH734" s="200"/>
      <c r="AI734" s="200"/>
      <c r="AJ734" s="200"/>
      <c r="AK734" s="200"/>
      <c r="AL734" s="200"/>
      <c r="AM734" s="200"/>
      <c r="AN734" s="200"/>
      <c r="AO734" s="200"/>
      <c r="AP734" s="200"/>
      <c r="AQ734" s="200"/>
      <c r="AR734" s="200"/>
      <c r="AS734" s="200"/>
      <c r="AT734" s="200"/>
      <c r="AU734" s="200"/>
      <c r="AV734" s="200"/>
      <c r="AW734" s="200"/>
      <c r="AX734" s="200"/>
      <c r="AY734" s="200"/>
      <c r="AZ734" s="200"/>
      <c r="BA734" s="200"/>
      <c r="BB734" s="200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</row>
    <row r="735" spans="1:71" ht="13.8">
      <c r="A735" s="1"/>
      <c r="B735" s="1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  <c r="AB735" s="200"/>
      <c r="AC735" s="200"/>
      <c r="AD735" s="200"/>
      <c r="AE735" s="200"/>
      <c r="AF735" s="200"/>
      <c r="AG735" s="200"/>
      <c r="AH735" s="200"/>
      <c r="AI735" s="200"/>
      <c r="AJ735" s="200"/>
      <c r="AK735" s="200"/>
      <c r="AL735" s="200"/>
      <c r="AM735" s="200"/>
      <c r="AN735" s="200"/>
      <c r="AO735" s="200"/>
      <c r="AP735" s="200"/>
      <c r="AQ735" s="200"/>
      <c r="AR735" s="200"/>
      <c r="AS735" s="200"/>
      <c r="AT735" s="200"/>
      <c r="AU735" s="200"/>
      <c r="AV735" s="200"/>
      <c r="AW735" s="200"/>
      <c r="AX735" s="200"/>
      <c r="AY735" s="200"/>
      <c r="AZ735" s="200"/>
      <c r="BA735" s="200"/>
      <c r="BB735" s="200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</row>
    <row r="736" spans="1:71" ht="13.8">
      <c r="A736" s="1"/>
      <c r="B736" s="1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  <c r="AB736" s="200"/>
      <c r="AC736" s="200"/>
      <c r="AD736" s="200"/>
      <c r="AE736" s="200"/>
      <c r="AF736" s="200"/>
      <c r="AG736" s="200"/>
      <c r="AH736" s="200"/>
      <c r="AI736" s="200"/>
      <c r="AJ736" s="200"/>
      <c r="AK736" s="200"/>
      <c r="AL736" s="200"/>
      <c r="AM736" s="200"/>
      <c r="AN736" s="200"/>
      <c r="AO736" s="200"/>
      <c r="AP736" s="200"/>
      <c r="AQ736" s="200"/>
      <c r="AR736" s="200"/>
      <c r="AS736" s="200"/>
      <c r="AT736" s="200"/>
      <c r="AU736" s="200"/>
      <c r="AV736" s="200"/>
      <c r="AW736" s="200"/>
      <c r="AX736" s="200"/>
      <c r="AY736" s="200"/>
      <c r="AZ736" s="200"/>
      <c r="BA736" s="200"/>
      <c r="BB736" s="200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</row>
    <row r="737" spans="1:71" ht="13.8">
      <c r="A737" s="1"/>
      <c r="B737" s="1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  <c r="AB737" s="200"/>
      <c r="AC737" s="200"/>
      <c r="AD737" s="200"/>
      <c r="AE737" s="200"/>
      <c r="AF737" s="200"/>
      <c r="AG737" s="200"/>
      <c r="AH737" s="200"/>
      <c r="AI737" s="200"/>
      <c r="AJ737" s="200"/>
      <c r="AK737" s="200"/>
      <c r="AL737" s="200"/>
      <c r="AM737" s="200"/>
      <c r="AN737" s="200"/>
      <c r="AO737" s="200"/>
      <c r="AP737" s="200"/>
      <c r="AQ737" s="200"/>
      <c r="AR737" s="200"/>
      <c r="AS737" s="200"/>
      <c r="AT737" s="200"/>
      <c r="AU737" s="200"/>
      <c r="AV737" s="200"/>
      <c r="AW737" s="200"/>
      <c r="AX737" s="200"/>
      <c r="AY737" s="200"/>
      <c r="AZ737" s="200"/>
      <c r="BA737" s="200"/>
      <c r="BB737" s="200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</row>
    <row r="738" spans="1:71" ht="13.8">
      <c r="A738" s="1"/>
      <c r="B738" s="1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  <c r="AB738" s="200"/>
      <c r="AC738" s="200"/>
      <c r="AD738" s="200"/>
      <c r="AE738" s="200"/>
      <c r="AF738" s="200"/>
      <c r="AG738" s="200"/>
      <c r="AH738" s="200"/>
      <c r="AI738" s="200"/>
      <c r="AJ738" s="200"/>
      <c r="AK738" s="200"/>
      <c r="AL738" s="200"/>
      <c r="AM738" s="200"/>
      <c r="AN738" s="200"/>
      <c r="AO738" s="200"/>
      <c r="AP738" s="200"/>
      <c r="AQ738" s="200"/>
      <c r="AR738" s="200"/>
      <c r="AS738" s="200"/>
      <c r="AT738" s="200"/>
      <c r="AU738" s="200"/>
      <c r="AV738" s="200"/>
      <c r="AW738" s="200"/>
      <c r="AX738" s="200"/>
      <c r="AY738" s="200"/>
      <c r="AZ738" s="200"/>
      <c r="BA738" s="200"/>
      <c r="BB738" s="200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</row>
    <row r="739" spans="1:71" ht="13.8">
      <c r="A739" s="1"/>
      <c r="B739" s="1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  <c r="AB739" s="200"/>
      <c r="AC739" s="200"/>
      <c r="AD739" s="200"/>
      <c r="AE739" s="200"/>
      <c r="AF739" s="200"/>
      <c r="AG739" s="200"/>
      <c r="AH739" s="200"/>
      <c r="AI739" s="200"/>
      <c r="AJ739" s="200"/>
      <c r="AK739" s="200"/>
      <c r="AL739" s="200"/>
      <c r="AM739" s="200"/>
      <c r="AN739" s="200"/>
      <c r="AO739" s="200"/>
      <c r="AP739" s="200"/>
      <c r="AQ739" s="200"/>
      <c r="AR739" s="200"/>
      <c r="AS739" s="200"/>
      <c r="AT739" s="200"/>
      <c r="AU739" s="200"/>
      <c r="AV739" s="200"/>
      <c r="AW739" s="200"/>
      <c r="AX739" s="200"/>
      <c r="AY739" s="200"/>
      <c r="AZ739" s="200"/>
      <c r="BA739" s="200"/>
      <c r="BB739" s="200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</row>
    <row r="740" spans="1:71" ht="13.8">
      <c r="A740" s="1"/>
      <c r="B740" s="1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  <c r="AB740" s="200"/>
      <c r="AC740" s="200"/>
      <c r="AD740" s="200"/>
      <c r="AE740" s="200"/>
      <c r="AF740" s="200"/>
      <c r="AG740" s="200"/>
      <c r="AH740" s="200"/>
      <c r="AI740" s="200"/>
      <c r="AJ740" s="200"/>
      <c r="AK740" s="200"/>
      <c r="AL740" s="200"/>
      <c r="AM740" s="200"/>
      <c r="AN740" s="200"/>
      <c r="AO740" s="200"/>
      <c r="AP740" s="200"/>
      <c r="AQ740" s="200"/>
      <c r="AR740" s="200"/>
      <c r="AS740" s="200"/>
      <c r="AT740" s="200"/>
      <c r="AU740" s="200"/>
      <c r="AV740" s="200"/>
      <c r="AW740" s="200"/>
      <c r="AX740" s="200"/>
      <c r="AY740" s="200"/>
      <c r="AZ740" s="200"/>
      <c r="BA740" s="200"/>
      <c r="BB740" s="200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</row>
    <row r="741" spans="1:71" ht="13.8">
      <c r="A741" s="1"/>
      <c r="B741" s="1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  <c r="AB741" s="200"/>
      <c r="AC741" s="200"/>
      <c r="AD741" s="200"/>
      <c r="AE741" s="200"/>
      <c r="AF741" s="200"/>
      <c r="AG741" s="200"/>
      <c r="AH741" s="200"/>
      <c r="AI741" s="200"/>
      <c r="AJ741" s="200"/>
      <c r="AK741" s="200"/>
      <c r="AL741" s="200"/>
      <c r="AM741" s="200"/>
      <c r="AN741" s="200"/>
      <c r="AO741" s="200"/>
      <c r="AP741" s="200"/>
      <c r="AQ741" s="200"/>
      <c r="AR741" s="200"/>
      <c r="AS741" s="200"/>
      <c r="AT741" s="200"/>
      <c r="AU741" s="200"/>
      <c r="AV741" s="200"/>
      <c r="AW741" s="200"/>
      <c r="AX741" s="200"/>
      <c r="AY741" s="200"/>
      <c r="AZ741" s="200"/>
      <c r="BA741" s="200"/>
      <c r="BB741" s="200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</row>
    <row r="742" spans="1:71" ht="13.8">
      <c r="A742" s="1"/>
      <c r="B742" s="1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  <c r="AB742" s="200"/>
      <c r="AC742" s="200"/>
      <c r="AD742" s="200"/>
      <c r="AE742" s="200"/>
      <c r="AF742" s="200"/>
      <c r="AG742" s="200"/>
      <c r="AH742" s="200"/>
      <c r="AI742" s="200"/>
      <c r="AJ742" s="200"/>
      <c r="AK742" s="200"/>
      <c r="AL742" s="200"/>
      <c r="AM742" s="200"/>
      <c r="AN742" s="200"/>
      <c r="AO742" s="200"/>
      <c r="AP742" s="200"/>
      <c r="AQ742" s="200"/>
      <c r="AR742" s="200"/>
      <c r="AS742" s="200"/>
      <c r="AT742" s="200"/>
      <c r="AU742" s="200"/>
      <c r="AV742" s="200"/>
      <c r="AW742" s="200"/>
      <c r="AX742" s="200"/>
      <c r="AY742" s="200"/>
      <c r="AZ742" s="200"/>
      <c r="BA742" s="200"/>
      <c r="BB742" s="200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</row>
    <row r="743" spans="1:71" ht="13.8">
      <c r="A743" s="1"/>
      <c r="B743" s="1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  <c r="AB743" s="200"/>
      <c r="AC743" s="200"/>
      <c r="AD743" s="200"/>
      <c r="AE743" s="200"/>
      <c r="AF743" s="200"/>
      <c r="AG743" s="200"/>
      <c r="AH743" s="200"/>
      <c r="AI743" s="200"/>
      <c r="AJ743" s="200"/>
      <c r="AK743" s="200"/>
      <c r="AL743" s="200"/>
      <c r="AM743" s="200"/>
      <c r="AN743" s="200"/>
      <c r="AO743" s="200"/>
      <c r="AP743" s="200"/>
      <c r="AQ743" s="200"/>
      <c r="AR743" s="200"/>
      <c r="AS743" s="200"/>
      <c r="AT743" s="200"/>
      <c r="AU743" s="200"/>
      <c r="AV743" s="200"/>
      <c r="AW743" s="200"/>
      <c r="AX743" s="200"/>
      <c r="AY743" s="200"/>
      <c r="AZ743" s="200"/>
      <c r="BA743" s="200"/>
      <c r="BB743" s="200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</row>
    <row r="744" spans="1:71" ht="13.8">
      <c r="A744" s="1"/>
      <c r="B744" s="1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  <c r="AB744" s="200"/>
      <c r="AC744" s="200"/>
      <c r="AD744" s="200"/>
      <c r="AE744" s="200"/>
      <c r="AF744" s="200"/>
      <c r="AG744" s="200"/>
      <c r="AH744" s="200"/>
      <c r="AI744" s="200"/>
      <c r="AJ744" s="200"/>
      <c r="AK744" s="200"/>
      <c r="AL744" s="200"/>
      <c r="AM744" s="200"/>
      <c r="AN744" s="200"/>
      <c r="AO744" s="200"/>
      <c r="AP744" s="200"/>
      <c r="AQ744" s="200"/>
      <c r="AR744" s="200"/>
      <c r="AS744" s="200"/>
      <c r="AT744" s="200"/>
      <c r="AU744" s="200"/>
      <c r="AV744" s="200"/>
      <c r="AW744" s="200"/>
      <c r="AX744" s="200"/>
      <c r="AY744" s="200"/>
      <c r="AZ744" s="200"/>
      <c r="BA744" s="200"/>
      <c r="BB744" s="200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</row>
    <row r="745" spans="1:71" ht="13.8">
      <c r="A745" s="1"/>
      <c r="B745" s="1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  <c r="AB745" s="200"/>
      <c r="AC745" s="200"/>
      <c r="AD745" s="200"/>
      <c r="AE745" s="200"/>
      <c r="AF745" s="200"/>
      <c r="AG745" s="200"/>
      <c r="AH745" s="200"/>
      <c r="AI745" s="200"/>
      <c r="AJ745" s="200"/>
      <c r="AK745" s="200"/>
      <c r="AL745" s="200"/>
      <c r="AM745" s="200"/>
      <c r="AN745" s="200"/>
      <c r="AO745" s="200"/>
      <c r="AP745" s="200"/>
      <c r="AQ745" s="200"/>
      <c r="AR745" s="200"/>
      <c r="AS745" s="200"/>
      <c r="AT745" s="200"/>
      <c r="AU745" s="200"/>
      <c r="AV745" s="200"/>
      <c r="AW745" s="200"/>
      <c r="AX745" s="200"/>
      <c r="AY745" s="200"/>
      <c r="AZ745" s="200"/>
      <c r="BA745" s="200"/>
      <c r="BB745" s="200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</row>
    <row r="746" spans="1:71" ht="13.8">
      <c r="A746" s="1"/>
      <c r="B746" s="1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  <c r="AB746" s="200"/>
      <c r="AC746" s="200"/>
      <c r="AD746" s="200"/>
      <c r="AE746" s="200"/>
      <c r="AF746" s="200"/>
      <c r="AG746" s="200"/>
      <c r="AH746" s="200"/>
      <c r="AI746" s="200"/>
      <c r="AJ746" s="200"/>
      <c r="AK746" s="200"/>
      <c r="AL746" s="200"/>
      <c r="AM746" s="200"/>
      <c r="AN746" s="200"/>
      <c r="AO746" s="200"/>
      <c r="AP746" s="200"/>
      <c r="AQ746" s="200"/>
      <c r="AR746" s="200"/>
      <c r="AS746" s="200"/>
      <c r="AT746" s="200"/>
      <c r="AU746" s="200"/>
      <c r="AV746" s="200"/>
      <c r="AW746" s="200"/>
      <c r="AX746" s="200"/>
      <c r="AY746" s="200"/>
      <c r="AZ746" s="200"/>
      <c r="BA746" s="200"/>
      <c r="BB746" s="200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</row>
    <row r="747" spans="1:71" ht="13.8">
      <c r="A747" s="1"/>
      <c r="B747" s="1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  <c r="AB747" s="200"/>
      <c r="AC747" s="200"/>
      <c r="AD747" s="200"/>
      <c r="AE747" s="200"/>
      <c r="AF747" s="200"/>
      <c r="AG747" s="200"/>
      <c r="AH747" s="200"/>
      <c r="AI747" s="200"/>
      <c r="AJ747" s="200"/>
      <c r="AK747" s="200"/>
      <c r="AL747" s="200"/>
      <c r="AM747" s="200"/>
      <c r="AN747" s="200"/>
      <c r="AO747" s="200"/>
      <c r="AP747" s="200"/>
      <c r="AQ747" s="200"/>
      <c r="AR747" s="200"/>
      <c r="AS747" s="200"/>
      <c r="AT747" s="200"/>
      <c r="AU747" s="200"/>
      <c r="AV747" s="200"/>
      <c r="AW747" s="200"/>
      <c r="AX747" s="200"/>
      <c r="AY747" s="200"/>
      <c r="AZ747" s="200"/>
      <c r="BA747" s="200"/>
      <c r="BB747" s="200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</row>
    <row r="748" spans="1:71" ht="13.8">
      <c r="A748" s="1"/>
      <c r="B748" s="1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  <c r="AB748" s="200"/>
      <c r="AC748" s="200"/>
      <c r="AD748" s="200"/>
      <c r="AE748" s="200"/>
      <c r="AF748" s="200"/>
      <c r="AG748" s="200"/>
      <c r="AH748" s="200"/>
      <c r="AI748" s="200"/>
      <c r="AJ748" s="200"/>
      <c r="AK748" s="200"/>
      <c r="AL748" s="200"/>
      <c r="AM748" s="200"/>
      <c r="AN748" s="200"/>
      <c r="AO748" s="200"/>
      <c r="AP748" s="200"/>
      <c r="AQ748" s="200"/>
      <c r="AR748" s="200"/>
      <c r="AS748" s="200"/>
      <c r="AT748" s="200"/>
      <c r="AU748" s="200"/>
      <c r="AV748" s="200"/>
      <c r="AW748" s="200"/>
      <c r="AX748" s="200"/>
      <c r="AY748" s="200"/>
      <c r="AZ748" s="200"/>
      <c r="BA748" s="200"/>
      <c r="BB748" s="200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</row>
    <row r="749" spans="1:71" ht="13.8">
      <c r="A749" s="1"/>
      <c r="B749" s="1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  <c r="AB749" s="200"/>
      <c r="AC749" s="200"/>
      <c r="AD749" s="200"/>
      <c r="AE749" s="200"/>
      <c r="AF749" s="200"/>
      <c r="AG749" s="200"/>
      <c r="AH749" s="200"/>
      <c r="AI749" s="200"/>
      <c r="AJ749" s="200"/>
      <c r="AK749" s="200"/>
      <c r="AL749" s="200"/>
      <c r="AM749" s="200"/>
      <c r="AN749" s="200"/>
      <c r="AO749" s="200"/>
      <c r="AP749" s="200"/>
      <c r="AQ749" s="200"/>
      <c r="AR749" s="200"/>
      <c r="AS749" s="200"/>
      <c r="AT749" s="200"/>
      <c r="AU749" s="200"/>
      <c r="AV749" s="200"/>
      <c r="AW749" s="200"/>
      <c r="AX749" s="200"/>
      <c r="AY749" s="200"/>
      <c r="AZ749" s="200"/>
      <c r="BA749" s="200"/>
      <c r="BB749" s="200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</row>
    <row r="750" spans="1:71" ht="13.8">
      <c r="A750" s="1"/>
      <c r="B750" s="1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  <c r="AB750" s="200"/>
      <c r="AC750" s="200"/>
      <c r="AD750" s="200"/>
      <c r="AE750" s="200"/>
      <c r="AF750" s="200"/>
      <c r="AG750" s="200"/>
      <c r="AH750" s="200"/>
      <c r="AI750" s="200"/>
      <c r="AJ750" s="200"/>
      <c r="AK750" s="200"/>
      <c r="AL750" s="200"/>
      <c r="AM750" s="200"/>
      <c r="AN750" s="200"/>
      <c r="AO750" s="200"/>
      <c r="AP750" s="200"/>
      <c r="AQ750" s="200"/>
      <c r="AR750" s="200"/>
      <c r="AS750" s="200"/>
      <c r="AT750" s="200"/>
      <c r="AU750" s="200"/>
      <c r="AV750" s="200"/>
      <c r="AW750" s="200"/>
      <c r="AX750" s="200"/>
      <c r="AY750" s="200"/>
      <c r="AZ750" s="200"/>
      <c r="BA750" s="200"/>
      <c r="BB750" s="200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</row>
    <row r="751" spans="1:71" ht="13.8">
      <c r="A751" s="1"/>
      <c r="B751" s="1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  <c r="AB751" s="200"/>
      <c r="AC751" s="200"/>
      <c r="AD751" s="200"/>
      <c r="AE751" s="200"/>
      <c r="AF751" s="200"/>
      <c r="AG751" s="200"/>
      <c r="AH751" s="200"/>
      <c r="AI751" s="200"/>
      <c r="AJ751" s="200"/>
      <c r="AK751" s="200"/>
      <c r="AL751" s="200"/>
      <c r="AM751" s="200"/>
      <c r="AN751" s="200"/>
      <c r="AO751" s="200"/>
      <c r="AP751" s="200"/>
      <c r="AQ751" s="200"/>
      <c r="AR751" s="200"/>
      <c r="AS751" s="200"/>
      <c r="AT751" s="200"/>
      <c r="AU751" s="200"/>
      <c r="AV751" s="200"/>
      <c r="AW751" s="200"/>
      <c r="AX751" s="200"/>
      <c r="AY751" s="200"/>
      <c r="AZ751" s="200"/>
      <c r="BA751" s="200"/>
      <c r="BB751" s="200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</row>
    <row r="752" spans="1:71" ht="13.8">
      <c r="A752" s="1"/>
      <c r="B752" s="1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  <c r="AB752" s="200"/>
      <c r="AC752" s="200"/>
      <c r="AD752" s="200"/>
      <c r="AE752" s="200"/>
      <c r="AF752" s="200"/>
      <c r="AG752" s="200"/>
      <c r="AH752" s="200"/>
      <c r="AI752" s="200"/>
      <c r="AJ752" s="200"/>
      <c r="AK752" s="200"/>
      <c r="AL752" s="200"/>
      <c r="AM752" s="200"/>
      <c r="AN752" s="200"/>
      <c r="AO752" s="200"/>
      <c r="AP752" s="200"/>
      <c r="AQ752" s="200"/>
      <c r="AR752" s="200"/>
      <c r="AS752" s="200"/>
      <c r="AT752" s="200"/>
      <c r="AU752" s="200"/>
      <c r="AV752" s="200"/>
      <c r="AW752" s="200"/>
      <c r="AX752" s="200"/>
      <c r="AY752" s="200"/>
      <c r="AZ752" s="200"/>
      <c r="BA752" s="200"/>
      <c r="BB752" s="200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</row>
    <row r="753" spans="1:71" ht="13.8">
      <c r="A753" s="1"/>
      <c r="B753" s="1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  <c r="AH753" s="200"/>
      <c r="AI753" s="200"/>
      <c r="AJ753" s="200"/>
      <c r="AK753" s="200"/>
      <c r="AL753" s="200"/>
      <c r="AM753" s="200"/>
      <c r="AN753" s="200"/>
      <c r="AO753" s="200"/>
      <c r="AP753" s="200"/>
      <c r="AQ753" s="200"/>
      <c r="AR753" s="200"/>
      <c r="AS753" s="200"/>
      <c r="AT753" s="200"/>
      <c r="AU753" s="200"/>
      <c r="AV753" s="200"/>
      <c r="AW753" s="200"/>
      <c r="AX753" s="200"/>
      <c r="AY753" s="200"/>
      <c r="AZ753" s="200"/>
      <c r="BA753" s="200"/>
      <c r="BB753" s="200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</row>
    <row r="754" spans="1:71" ht="13.8">
      <c r="A754" s="1"/>
      <c r="B754" s="1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  <c r="AB754" s="200"/>
      <c r="AC754" s="200"/>
      <c r="AD754" s="200"/>
      <c r="AE754" s="200"/>
      <c r="AF754" s="200"/>
      <c r="AG754" s="200"/>
      <c r="AH754" s="200"/>
      <c r="AI754" s="200"/>
      <c r="AJ754" s="200"/>
      <c r="AK754" s="200"/>
      <c r="AL754" s="200"/>
      <c r="AM754" s="200"/>
      <c r="AN754" s="200"/>
      <c r="AO754" s="200"/>
      <c r="AP754" s="200"/>
      <c r="AQ754" s="200"/>
      <c r="AR754" s="200"/>
      <c r="AS754" s="200"/>
      <c r="AT754" s="200"/>
      <c r="AU754" s="200"/>
      <c r="AV754" s="200"/>
      <c r="AW754" s="200"/>
      <c r="AX754" s="200"/>
      <c r="AY754" s="200"/>
      <c r="AZ754" s="200"/>
      <c r="BA754" s="200"/>
      <c r="BB754" s="200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</row>
    <row r="755" spans="1:71" ht="13.8">
      <c r="A755" s="1"/>
      <c r="B755" s="1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  <c r="AB755" s="200"/>
      <c r="AC755" s="200"/>
      <c r="AD755" s="200"/>
      <c r="AE755" s="200"/>
      <c r="AF755" s="200"/>
      <c r="AG755" s="200"/>
      <c r="AH755" s="200"/>
      <c r="AI755" s="200"/>
      <c r="AJ755" s="200"/>
      <c r="AK755" s="200"/>
      <c r="AL755" s="200"/>
      <c r="AM755" s="200"/>
      <c r="AN755" s="200"/>
      <c r="AO755" s="200"/>
      <c r="AP755" s="200"/>
      <c r="AQ755" s="200"/>
      <c r="AR755" s="200"/>
      <c r="AS755" s="200"/>
      <c r="AT755" s="200"/>
      <c r="AU755" s="200"/>
      <c r="AV755" s="200"/>
      <c r="AW755" s="200"/>
      <c r="AX755" s="200"/>
      <c r="AY755" s="200"/>
      <c r="AZ755" s="200"/>
      <c r="BA755" s="200"/>
      <c r="BB755" s="200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</row>
    <row r="756" spans="1:71" ht="13.8">
      <c r="A756" s="1"/>
      <c r="B756" s="1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  <c r="AB756" s="200"/>
      <c r="AC756" s="200"/>
      <c r="AD756" s="200"/>
      <c r="AE756" s="200"/>
      <c r="AF756" s="200"/>
      <c r="AG756" s="200"/>
      <c r="AH756" s="200"/>
      <c r="AI756" s="200"/>
      <c r="AJ756" s="200"/>
      <c r="AK756" s="200"/>
      <c r="AL756" s="200"/>
      <c r="AM756" s="200"/>
      <c r="AN756" s="200"/>
      <c r="AO756" s="200"/>
      <c r="AP756" s="200"/>
      <c r="AQ756" s="200"/>
      <c r="AR756" s="200"/>
      <c r="AS756" s="200"/>
      <c r="AT756" s="200"/>
      <c r="AU756" s="200"/>
      <c r="AV756" s="200"/>
      <c r="AW756" s="200"/>
      <c r="AX756" s="200"/>
      <c r="AY756" s="200"/>
      <c r="AZ756" s="200"/>
      <c r="BA756" s="200"/>
      <c r="BB756" s="200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</row>
    <row r="757" spans="1:71" ht="13.8">
      <c r="A757" s="1"/>
      <c r="B757" s="1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  <c r="AB757" s="200"/>
      <c r="AC757" s="200"/>
      <c r="AD757" s="200"/>
      <c r="AE757" s="200"/>
      <c r="AF757" s="200"/>
      <c r="AG757" s="200"/>
      <c r="AH757" s="200"/>
      <c r="AI757" s="200"/>
      <c r="AJ757" s="200"/>
      <c r="AK757" s="200"/>
      <c r="AL757" s="200"/>
      <c r="AM757" s="200"/>
      <c r="AN757" s="200"/>
      <c r="AO757" s="200"/>
      <c r="AP757" s="200"/>
      <c r="AQ757" s="200"/>
      <c r="AR757" s="200"/>
      <c r="AS757" s="200"/>
      <c r="AT757" s="200"/>
      <c r="AU757" s="200"/>
      <c r="AV757" s="200"/>
      <c r="AW757" s="200"/>
      <c r="AX757" s="200"/>
      <c r="AY757" s="200"/>
      <c r="AZ757" s="200"/>
      <c r="BA757" s="200"/>
      <c r="BB757" s="200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</row>
    <row r="758" spans="1:71" ht="13.8">
      <c r="A758" s="1"/>
      <c r="B758" s="1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  <c r="AB758" s="200"/>
      <c r="AC758" s="200"/>
      <c r="AD758" s="200"/>
      <c r="AE758" s="200"/>
      <c r="AF758" s="200"/>
      <c r="AG758" s="200"/>
      <c r="AH758" s="200"/>
      <c r="AI758" s="200"/>
      <c r="AJ758" s="200"/>
      <c r="AK758" s="200"/>
      <c r="AL758" s="200"/>
      <c r="AM758" s="200"/>
      <c r="AN758" s="200"/>
      <c r="AO758" s="200"/>
      <c r="AP758" s="200"/>
      <c r="AQ758" s="200"/>
      <c r="AR758" s="200"/>
      <c r="AS758" s="200"/>
      <c r="AT758" s="200"/>
      <c r="AU758" s="200"/>
      <c r="AV758" s="200"/>
      <c r="AW758" s="200"/>
      <c r="AX758" s="200"/>
      <c r="AY758" s="200"/>
      <c r="AZ758" s="200"/>
      <c r="BA758" s="200"/>
      <c r="BB758" s="200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</row>
    <row r="759" spans="1:71" ht="13.8">
      <c r="A759" s="1"/>
      <c r="B759" s="1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  <c r="AB759" s="200"/>
      <c r="AC759" s="200"/>
      <c r="AD759" s="200"/>
      <c r="AE759" s="200"/>
      <c r="AF759" s="200"/>
      <c r="AG759" s="200"/>
      <c r="AH759" s="200"/>
      <c r="AI759" s="200"/>
      <c r="AJ759" s="200"/>
      <c r="AK759" s="200"/>
      <c r="AL759" s="200"/>
      <c r="AM759" s="200"/>
      <c r="AN759" s="200"/>
      <c r="AO759" s="200"/>
      <c r="AP759" s="200"/>
      <c r="AQ759" s="200"/>
      <c r="AR759" s="200"/>
      <c r="AS759" s="200"/>
      <c r="AT759" s="200"/>
      <c r="AU759" s="200"/>
      <c r="AV759" s="200"/>
      <c r="AW759" s="200"/>
      <c r="AX759" s="200"/>
      <c r="AY759" s="200"/>
      <c r="AZ759" s="200"/>
      <c r="BA759" s="200"/>
      <c r="BB759" s="200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</row>
    <row r="760" spans="1:71" ht="13.8">
      <c r="A760" s="1"/>
      <c r="B760" s="1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  <c r="AH760" s="200"/>
      <c r="AI760" s="200"/>
      <c r="AJ760" s="200"/>
      <c r="AK760" s="200"/>
      <c r="AL760" s="200"/>
      <c r="AM760" s="200"/>
      <c r="AN760" s="200"/>
      <c r="AO760" s="200"/>
      <c r="AP760" s="200"/>
      <c r="AQ760" s="200"/>
      <c r="AR760" s="200"/>
      <c r="AS760" s="200"/>
      <c r="AT760" s="200"/>
      <c r="AU760" s="200"/>
      <c r="AV760" s="200"/>
      <c r="AW760" s="200"/>
      <c r="AX760" s="200"/>
      <c r="AY760" s="200"/>
      <c r="AZ760" s="200"/>
      <c r="BA760" s="200"/>
      <c r="BB760" s="200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</row>
    <row r="761" spans="1:71" ht="13.8">
      <c r="A761" s="1"/>
      <c r="B761" s="1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  <c r="AB761" s="200"/>
      <c r="AC761" s="200"/>
      <c r="AD761" s="200"/>
      <c r="AE761" s="200"/>
      <c r="AF761" s="200"/>
      <c r="AG761" s="200"/>
      <c r="AH761" s="200"/>
      <c r="AI761" s="200"/>
      <c r="AJ761" s="200"/>
      <c r="AK761" s="200"/>
      <c r="AL761" s="200"/>
      <c r="AM761" s="200"/>
      <c r="AN761" s="200"/>
      <c r="AO761" s="200"/>
      <c r="AP761" s="200"/>
      <c r="AQ761" s="200"/>
      <c r="AR761" s="200"/>
      <c r="AS761" s="200"/>
      <c r="AT761" s="200"/>
      <c r="AU761" s="200"/>
      <c r="AV761" s="200"/>
      <c r="AW761" s="200"/>
      <c r="AX761" s="200"/>
      <c r="AY761" s="200"/>
      <c r="AZ761" s="200"/>
      <c r="BA761" s="200"/>
      <c r="BB761" s="200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</row>
    <row r="762" spans="1:71" ht="13.8">
      <c r="A762" s="1"/>
      <c r="B762" s="1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  <c r="AB762" s="200"/>
      <c r="AC762" s="200"/>
      <c r="AD762" s="200"/>
      <c r="AE762" s="200"/>
      <c r="AF762" s="200"/>
      <c r="AG762" s="200"/>
      <c r="AH762" s="200"/>
      <c r="AI762" s="200"/>
      <c r="AJ762" s="200"/>
      <c r="AK762" s="200"/>
      <c r="AL762" s="200"/>
      <c r="AM762" s="200"/>
      <c r="AN762" s="200"/>
      <c r="AO762" s="200"/>
      <c r="AP762" s="200"/>
      <c r="AQ762" s="200"/>
      <c r="AR762" s="200"/>
      <c r="AS762" s="200"/>
      <c r="AT762" s="200"/>
      <c r="AU762" s="200"/>
      <c r="AV762" s="200"/>
      <c r="AW762" s="200"/>
      <c r="AX762" s="200"/>
      <c r="AY762" s="200"/>
      <c r="AZ762" s="200"/>
      <c r="BA762" s="200"/>
      <c r="BB762" s="200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</row>
    <row r="763" spans="1:71" ht="13.8">
      <c r="A763" s="1"/>
      <c r="B763" s="1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  <c r="AB763" s="200"/>
      <c r="AC763" s="200"/>
      <c r="AD763" s="200"/>
      <c r="AE763" s="200"/>
      <c r="AF763" s="200"/>
      <c r="AG763" s="200"/>
      <c r="AH763" s="200"/>
      <c r="AI763" s="200"/>
      <c r="AJ763" s="200"/>
      <c r="AK763" s="200"/>
      <c r="AL763" s="200"/>
      <c r="AM763" s="200"/>
      <c r="AN763" s="200"/>
      <c r="AO763" s="200"/>
      <c r="AP763" s="200"/>
      <c r="AQ763" s="200"/>
      <c r="AR763" s="200"/>
      <c r="AS763" s="200"/>
      <c r="AT763" s="200"/>
      <c r="AU763" s="200"/>
      <c r="AV763" s="200"/>
      <c r="AW763" s="200"/>
      <c r="AX763" s="200"/>
      <c r="AY763" s="200"/>
      <c r="AZ763" s="200"/>
      <c r="BA763" s="200"/>
      <c r="BB763" s="200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</row>
    <row r="764" spans="1:71" ht="13.8">
      <c r="A764" s="1"/>
      <c r="B764" s="1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  <c r="AB764" s="200"/>
      <c r="AC764" s="200"/>
      <c r="AD764" s="200"/>
      <c r="AE764" s="200"/>
      <c r="AF764" s="200"/>
      <c r="AG764" s="200"/>
      <c r="AH764" s="200"/>
      <c r="AI764" s="200"/>
      <c r="AJ764" s="200"/>
      <c r="AK764" s="200"/>
      <c r="AL764" s="200"/>
      <c r="AM764" s="200"/>
      <c r="AN764" s="200"/>
      <c r="AO764" s="200"/>
      <c r="AP764" s="200"/>
      <c r="AQ764" s="200"/>
      <c r="AR764" s="200"/>
      <c r="AS764" s="200"/>
      <c r="AT764" s="200"/>
      <c r="AU764" s="200"/>
      <c r="AV764" s="200"/>
      <c r="AW764" s="200"/>
      <c r="AX764" s="200"/>
      <c r="AY764" s="200"/>
      <c r="AZ764" s="200"/>
      <c r="BA764" s="200"/>
      <c r="BB764" s="200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</row>
    <row r="765" spans="1:71" ht="13.8">
      <c r="A765" s="1"/>
      <c r="B765" s="1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  <c r="AB765" s="200"/>
      <c r="AC765" s="200"/>
      <c r="AD765" s="200"/>
      <c r="AE765" s="200"/>
      <c r="AF765" s="200"/>
      <c r="AG765" s="200"/>
      <c r="AH765" s="200"/>
      <c r="AI765" s="200"/>
      <c r="AJ765" s="200"/>
      <c r="AK765" s="200"/>
      <c r="AL765" s="200"/>
      <c r="AM765" s="200"/>
      <c r="AN765" s="200"/>
      <c r="AO765" s="200"/>
      <c r="AP765" s="200"/>
      <c r="AQ765" s="200"/>
      <c r="AR765" s="200"/>
      <c r="AS765" s="200"/>
      <c r="AT765" s="200"/>
      <c r="AU765" s="200"/>
      <c r="AV765" s="200"/>
      <c r="AW765" s="200"/>
      <c r="AX765" s="200"/>
      <c r="AY765" s="200"/>
      <c r="AZ765" s="200"/>
      <c r="BA765" s="200"/>
      <c r="BB765" s="200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</row>
    <row r="766" spans="1:71" ht="13.8">
      <c r="A766" s="1"/>
      <c r="B766" s="1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  <c r="AB766" s="200"/>
      <c r="AC766" s="200"/>
      <c r="AD766" s="200"/>
      <c r="AE766" s="200"/>
      <c r="AF766" s="200"/>
      <c r="AG766" s="200"/>
      <c r="AH766" s="200"/>
      <c r="AI766" s="200"/>
      <c r="AJ766" s="200"/>
      <c r="AK766" s="200"/>
      <c r="AL766" s="200"/>
      <c r="AM766" s="200"/>
      <c r="AN766" s="200"/>
      <c r="AO766" s="200"/>
      <c r="AP766" s="200"/>
      <c r="AQ766" s="200"/>
      <c r="AR766" s="200"/>
      <c r="AS766" s="200"/>
      <c r="AT766" s="200"/>
      <c r="AU766" s="200"/>
      <c r="AV766" s="200"/>
      <c r="AW766" s="200"/>
      <c r="AX766" s="200"/>
      <c r="AY766" s="200"/>
      <c r="AZ766" s="200"/>
      <c r="BA766" s="200"/>
      <c r="BB766" s="200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</row>
    <row r="767" spans="1:71" ht="13.8">
      <c r="A767" s="1"/>
      <c r="B767" s="1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  <c r="AB767" s="200"/>
      <c r="AC767" s="200"/>
      <c r="AD767" s="200"/>
      <c r="AE767" s="200"/>
      <c r="AF767" s="200"/>
      <c r="AG767" s="200"/>
      <c r="AH767" s="200"/>
      <c r="AI767" s="200"/>
      <c r="AJ767" s="200"/>
      <c r="AK767" s="200"/>
      <c r="AL767" s="200"/>
      <c r="AM767" s="200"/>
      <c r="AN767" s="200"/>
      <c r="AO767" s="200"/>
      <c r="AP767" s="200"/>
      <c r="AQ767" s="200"/>
      <c r="AR767" s="200"/>
      <c r="AS767" s="200"/>
      <c r="AT767" s="200"/>
      <c r="AU767" s="200"/>
      <c r="AV767" s="200"/>
      <c r="AW767" s="200"/>
      <c r="AX767" s="200"/>
      <c r="AY767" s="200"/>
      <c r="AZ767" s="200"/>
      <c r="BA767" s="200"/>
      <c r="BB767" s="200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</row>
    <row r="768" spans="1:71" ht="13.8">
      <c r="A768" s="1"/>
      <c r="B768" s="1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  <c r="AH768" s="200"/>
      <c r="AI768" s="200"/>
      <c r="AJ768" s="200"/>
      <c r="AK768" s="200"/>
      <c r="AL768" s="200"/>
      <c r="AM768" s="200"/>
      <c r="AN768" s="200"/>
      <c r="AO768" s="200"/>
      <c r="AP768" s="200"/>
      <c r="AQ768" s="200"/>
      <c r="AR768" s="200"/>
      <c r="AS768" s="200"/>
      <c r="AT768" s="200"/>
      <c r="AU768" s="200"/>
      <c r="AV768" s="200"/>
      <c r="AW768" s="200"/>
      <c r="AX768" s="200"/>
      <c r="AY768" s="200"/>
      <c r="AZ768" s="200"/>
      <c r="BA768" s="200"/>
      <c r="BB768" s="200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</row>
    <row r="769" spans="1:71" ht="13.8">
      <c r="A769" s="1"/>
      <c r="B769" s="1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  <c r="AB769" s="200"/>
      <c r="AC769" s="200"/>
      <c r="AD769" s="200"/>
      <c r="AE769" s="200"/>
      <c r="AF769" s="200"/>
      <c r="AG769" s="200"/>
      <c r="AH769" s="200"/>
      <c r="AI769" s="200"/>
      <c r="AJ769" s="200"/>
      <c r="AK769" s="200"/>
      <c r="AL769" s="200"/>
      <c r="AM769" s="200"/>
      <c r="AN769" s="200"/>
      <c r="AO769" s="200"/>
      <c r="AP769" s="200"/>
      <c r="AQ769" s="200"/>
      <c r="AR769" s="200"/>
      <c r="AS769" s="200"/>
      <c r="AT769" s="200"/>
      <c r="AU769" s="200"/>
      <c r="AV769" s="200"/>
      <c r="AW769" s="200"/>
      <c r="AX769" s="200"/>
      <c r="AY769" s="200"/>
      <c r="AZ769" s="200"/>
      <c r="BA769" s="200"/>
      <c r="BB769" s="200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</row>
    <row r="770" spans="1:71" ht="13.8">
      <c r="A770" s="1"/>
      <c r="B770" s="1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0"/>
      <c r="AK770" s="200"/>
      <c r="AL770" s="200"/>
      <c r="AM770" s="200"/>
      <c r="AN770" s="200"/>
      <c r="AO770" s="200"/>
      <c r="AP770" s="200"/>
      <c r="AQ770" s="200"/>
      <c r="AR770" s="200"/>
      <c r="AS770" s="200"/>
      <c r="AT770" s="200"/>
      <c r="AU770" s="200"/>
      <c r="AV770" s="200"/>
      <c r="AW770" s="200"/>
      <c r="AX770" s="200"/>
      <c r="AY770" s="200"/>
      <c r="AZ770" s="200"/>
      <c r="BA770" s="200"/>
      <c r="BB770" s="200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</row>
    <row r="771" spans="1:71" ht="13.8">
      <c r="A771" s="1"/>
      <c r="B771" s="1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  <c r="AH771" s="200"/>
      <c r="AI771" s="200"/>
      <c r="AJ771" s="200"/>
      <c r="AK771" s="200"/>
      <c r="AL771" s="200"/>
      <c r="AM771" s="200"/>
      <c r="AN771" s="200"/>
      <c r="AO771" s="200"/>
      <c r="AP771" s="200"/>
      <c r="AQ771" s="200"/>
      <c r="AR771" s="200"/>
      <c r="AS771" s="200"/>
      <c r="AT771" s="200"/>
      <c r="AU771" s="200"/>
      <c r="AV771" s="200"/>
      <c r="AW771" s="200"/>
      <c r="AX771" s="200"/>
      <c r="AY771" s="200"/>
      <c r="AZ771" s="200"/>
      <c r="BA771" s="200"/>
      <c r="BB771" s="200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</row>
    <row r="772" spans="1:71" ht="13.8">
      <c r="A772" s="1"/>
      <c r="B772" s="1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  <c r="AB772" s="200"/>
      <c r="AC772" s="200"/>
      <c r="AD772" s="200"/>
      <c r="AE772" s="200"/>
      <c r="AF772" s="200"/>
      <c r="AG772" s="200"/>
      <c r="AH772" s="200"/>
      <c r="AI772" s="200"/>
      <c r="AJ772" s="200"/>
      <c r="AK772" s="200"/>
      <c r="AL772" s="200"/>
      <c r="AM772" s="200"/>
      <c r="AN772" s="200"/>
      <c r="AO772" s="200"/>
      <c r="AP772" s="200"/>
      <c r="AQ772" s="200"/>
      <c r="AR772" s="200"/>
      <c r="AS772" s="200"/>
      <c r="AT772" s="200"/>
      <c r="AU772" s="200"/>
      <c r="AV772" s="200"/>
      <c r="AW772" s="200"/>
      <c r="AX772" s="200"/>
      <c r="AY772" s="200"/>
      <c r="AZ772" s="200"/>
      <c r="BA772" s="200"/>
      <c r="BB772" s="200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</row>
    <row r="773" spans="1:71" ht="13.8">
      <c r="A773" s="1"/>
      <c r="B773" s="1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  <c r="AB773" s="200"/>
      <c r="AC773" s="200"/>
      <c r="AD773" s="200"/>
      <c r="AE773" s="200"/>
      <c r="AF773" s="200"/>
      <c r="AG773" s="200"/>
      <c r="AH773" s="200"/>
      <c r="AI773" s="200"/>
      <c r="AJ773" s="200"/>
      <c r="AK773" s="200"/>
      <c r="AL773" s="200"/>
      <c r="AM773" s="200"/>
      <c r="AN773" s="200"/>
      <c r="AO773" s="200"/>
      <c r="AP773" s="200"/>
      <c r="AQ773" s="200"/>
      <c r="AR773" s="200"/>
      <c r="AS773" s="200"/>
      <c r="AT773" s="200"/>
      <c r="AU773" s="200"/>
      <c r="AV773" s="200"/>
      <c r="AW773" s="200"/>
      <c r="AX773" s="200"/>
      <c r="AY773" s="200"/>
      <c r="AZ773" s="200"/>
      <c r="BA773" s="200"/>
      <c r="BB773" s="200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</row>
    <row r="774" spans="1:71" ht="13.8">
      <c r="A774" s="1"/>
      <c r="B774" s="1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  <c r="AH774" s="200"/>
      <c r="AI774" s="200"/>
      <c r="AJ774" s="200"/>
      <c r="AK774" s="200"/>
      <c r="AL774" s="200"/>
      <c r="AM774" s="200"/>
      <c r="AN774" s="200"/>
      <c r="AO774" s="200"/>
      <c r="AP774" s="200"/>
      <c r="AQ774" s="200"/>
      <c r="AR774" s="200"/>
      <c r="AS774" s="200"/>
      <c r="AT774" s="200"/>
      <c r="AU774" s="200"/>
      <c r="AV774" s="200"/>
      <c r="AW774" s="200"/>
      <c r="AX774" s="200"/>
      <c r="AY774" s="200"/>
      <c r="AZ774" s="200"/>
      <c r="BA774" s="200"/>
      <c r="BB774" s="200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</row>
    <row r="775" spans="1:71" ht="13.8">
      <c r="A775" s="1"/>
      <c r="B775" s="1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  <c r="AB775" s="200"/>
      <c r="AC775" s="200"/>
      <c r="AD775" s="200"/>
      <c r="AE775" s="200"/>
      <c r="AF775" s="200"/>
      <c r="AG775" s="200"/>
      <c r="AH775" s="200"/>
      <c r="AI775" s="200"/>
      <c r="AJ775" s="200"/>
      <c r="AK775" s="200"/>
      <c r="AL775" s="200"/>
      <c r="AM775" s="200"/>
      <c r="AN775" s="200"/>
      <c r="AO775" s="200"/>
      <c r="AP775" s="200"/>
      <c r="AQ775" s="200"/>
      <c r="AR775" s="200"/>
      <c r="AS775" s="200"/>
      <c r="AT775" s="200"/>
      <c r="AU775" s="200"/>
      <c r="AV775" s="200"/>
      <c r="AW775" s="200"/>
      <c r="AX775" s="200"/>
      <c r="AY775" s="200"/>
      <c r="AZ775" s="200"/>
      <c r="BA775" s="200"/>
      <c r="BB775" s="200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</row>
    <row r="776" spans="1:71" ht="13.8">
      <c r="A776" s="1"/>
      <c r="B776" s="1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  <c r="AH776" s="200"/>
      <c r="AI776" s="200"/>
      <c r="AJ776" s="200"/>
      <c r="AK776" s="200"/>
      <c r="AL776" s="200"/>
      <c r="AM776" s="200"/>
      <c r="AN776" s="200"/>
      <c r="AO776" s="200"/>
      <c r="AP776" s="200"/>
      <c r="AQ776" s="200"/>
      <c r="AR776" s="200"/>
      <c r="AS776" s="200"/>
      <c r="AT776" s="200"/>
      <c r="AU776" s="200"/>
      <c r="AV776" s="200"/>
      <c r="AW776" s="200"/>
      <c r="AX776" s="200"/>
      <c r="AY776" s="200"/>
      <c r="AZ776" s="200"/>
      <c r="BA776" s="200"/>
      <c r="BB776" s="200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</row>
    <row r="777" spans="1:71" ht="13.8">
      <c r="A777" s="1"/>
      <c r="B777" s="1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  <c r="AB777" s="200"/>
      <c r="AC777" s="200"/>
      <c r="AD777" s="200"/>
      <c r="AE777" s="200"/>
      <c r="AF777" s="200"/>
      <c r="AG777" s="200"/>
      <c r="AH777" s="200"/>
      <c r="AI777" s="200"/>
      <c r="AJ777" s="200"/>
      <c r="AK777" s="200"/>
      <c r="AL777" s="200"/>
      <c r="AM777" s="200"/>
      <c r="AN777" s="200"/>
      <c r="AO777" s="200"/>
      <c r="AP777" s="200"/>
      <c r="AQ777" s="200"/>
      <c r="AR777" s="200"/>
      <c r="AS777" s="200"/>
      <c r="AT777" s="200"/>
      <c r="AU777" s="200"/>
      <c r="AV777" s="200"/>
      <c r="AW777" s="200"/>
      <c r="AX777" s="200"/>
      <c r="AY777" s="200"/>
      <c r="AZ777" s="200"/>
      <c r="BA777" s="200"/>
      <c r="BB777" s="200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</row>
    <row r="778" spans="1:71" ht="13.8">
      <c r="A778" s="1"/>
      <c r="B778" s="1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  <c r="AB778" s="200"/>
      <c r="AC778" s="200"/>
      <c r="AD778" s="200"/>
      <c r="AE778" s="200"/>
      <c r="AF778" s="200"/>
      <c r="AG778" s="200"/>
      <c r="AH778" s="200"/>
      <c r="AI778" s="200"/>
      <c r="AJ778" s="200"/>
      <c r="AK778" s="200"/>
      <c r="AL778" s="200"/>
      <c r="AM778" s="200"/>
      <c r="AN778" s="200"/>
      <c r="AO778" s="200"/>
      <c r="AP778" s="200"/>
      <c r="AQ778" s="200"/>
      <c r="AR778" s="200"/>
      <c r="AS778" s="200"/>
      <c r="AT778" s="200"/>
      <c r="AU778" s="200"/>
      <c r="AV778" s="200"/>
      <c r="AW778" s="200"/>
      <c r="AX778" s="200"/>
      <c r="AY778" s="200"/>
      <c r="AZ778" s="200"/>
      <c r="BA778" s="200"/>
      <c r="BB778" s="200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</row>
    <row r="779" spans="1:71" ht="13.8">
      <c r="A779" s="1"/>
      <c r="B779" s="1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  <c r="AB779" s="200"/>
      <c r="AC779" s="200"/>
      <c r="AD779" s="200"/>
      <c r="AE779" s="200"/>
      <c r="AF779" s="200"/>
      <c r="AG779" s="200"/>
      <c r="AH779" s="200"/>
      <c r="AI779" s="200"/>
      <c r="AJ779" s="200"/>
      <c r="AK779" s="200"/>
      <c r="AL779" s="200"/>
      <c r="AM779" s="200"/>
      <c r="AN779" s="200"/>
      <c r="AO779" s="200"/>
      <c r="AP779" s="200"/>
      <c r="AQ779" s="200"/>
      <c r="AR779" s="200"/>
      <c r="AS779" s="200"/>
      <c r="AT779" s="200"/>
      <c r="AU779" s="200"/>
      <c r="AV779" s="200"/>
      <c r="AW779" s="200"/>
      <c r="AX779" s="200"/>
      <c r="AY779" s="200"/>
      <c r="AZ779" s="200"/>
      <c r="BA779" s="200"/>
      <c r="BB779" s="200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</row>
    <row r="780" spans="1:71" ht="13.8">
      <c r="A780" s="1"/>
      <c r="B780" s="1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  <c r="AH780" s="200"/>
      <c r="AI780" s="200"/>
      <c r="AJ780" s="200"/>
      <c r="AK780" s="200"/>
      <c r="AL780" s="200"/>
      <c r="AM780" s="200"/>
      <c r="AN780" s="200"/>
      <c r="AO780" s="200"/>
      <c r="AP780" s="200"/>
      <c r="AQ780" s="200"/>
      <c r="AR780" s="200"/>
      <c r="AS780" s="200"/>
      <c r="AT780" s="200"/>
      <c r="AU780" s="200"/>
      <c r="AV780" s="200"/>
      <c r="AW780" s="200"/>
      <c r="AX780" s="200"/>
      <c r="AY780" s="200"/>
      <c r="AZ780" s="200"/>
      <c r="BA780" s="200"/>
      <c r="BB780" s="200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</row>
    <row r="781" spans="1:71" ht="13.8">
      <c r="A781" s="1"/>
      <c r="B781" s="1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  <c r="AB781" s="200"/>
      <c r="AC781" s="200"/>
      <c r="AD781" s="200"/>
      <c r="AE781" s="200"/>
      <c r="AF781" s="200"/>
      <c r="AG781" s="200"/>
      <c r="AH781" s="200"/>
      <c r="AI781" s="200"/>
      <c r="AJ781" s="200"/>
      <c r="AK781" s="200"/>
      <c r="AL781" s="200"/>
      <c r="AM781" s="200"/>
      <c r="AN781" s="200"/>
      <c r="AO781" s="200"/>
      <c r="AP781" s="200"/>
      <c r="AQ781" s="200"/>
      <c r="AR781" s="200"/>
      <c r="AS781" s="200"/>
      <c r="AT781" s="200"/>
      <c r="AU781" s="200"/>
      <c r="AV781" s="200"/>
      <c r="AW781" s="200"/>
      <c r="AX781" s="200"/>
      <c r="AY781" s="200"/>
      <c r="AZ781" s="200"/>
      <c r="BA781" s="200"/>
      <c r="BB781" s="200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</row>
    <row r="782" spans="1:71" ht="13.8">
      <c r="A782" s="1"/>
      <c r="B782" s="1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  <c r="AB782" s="200"/>
      <c r="AC782" s="200"/>
      <c r="AD782" s="200"/>
      <c r="AE782" s="200"/>
      <c r="AF782" s="200"/>
      <c r="AG782" s="200"/>
      <c r="AH782" s="200"/>
      <c r="AI782" s="200"/>
      <c r="AJ782" s="200"/>
      <c r="AK782" s="200"/>
      <c r="AL782" s="200"/>
      <c r="AM782" s="200"/>
      <c r="AN782" s="200"/>
      <c r="AO782" s="200"/>
      <c r="AP782" s="200"/>
      <c r="AQ782" s="200"/>
      <c r="AR782" s="200"/>
      <c r="AS782" s="200"/>
      <c r="AT782" s="200"/>
      <c r="AU782" s="200"/>
      <c r="AV782" s="200"/>
      <c r="AW782" s="200"/>
      <c r="AX782" s="200"/>
      <c r="AY782" s="200"/>
      <c r="AZ782" s="200"/>
      <c r="BA782" s="200"/>
      <c r="BB782" s="200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</row>
    <row r="783" spans="1:71" ht="13.8">
      <c r="A783" s="1"/>
      <c r="B783" s="1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  <c r="AB783" s="200"/>
      <c r="AC783" s="200"/>
      <c r="AD783" s="200"/>
      <c r="AE783" s="200"/>
      <c r="AF783" s="200"/>
      <c r="AG783" s="200"/>
      <c r="AH783" s="200"/>
      <c r="AI783" s="200"/>
      <c r="AJ783" s="200"/>
      <c r="AK783" s="200"/>
      <c r="AL783" s="200"/>
      <c r="AM783" s="200"/>
      <c r="AN783" s="200"/>
      <c r="AO783" s="200"/>
      <c r="AP783" s="200"/>
      <c r="AQ783" s="200"/>
      <c r="AR783" s="200"/>
      <c r="AS783" s="200"/>
      <c r="AT783" s="200"/>
      <c r="AU783" s="200"/>
      <c r="AV783" s="200"/>
      <c r="AW783" s="200"/>
      <c r="AX783" s="200"/>
      <c r="AY783" s="200"/>
      <c r="AZ783" s="200"/>
      <c r="BA783" s="200"/>
      <c r="BB783" s="200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</row>
    <row r="784" spans="1:71" ht="13.8">
      <c r="A784" s="1"/>
      <c r="B784" s="1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  <c r="AB784" s="200"/>
      <c r="AC784" s="200"/>
      <c r="AD784" s="200"/>
      <c r="AE784" s="200"/>
      <c r="AF784" s="200"/>
      <c r="AG784" s="200"/>
      <c r="AH784" s="200"/>
      <c r="AI784" s="200"/>
      <c r="AJ784" s="200"/>
      <c r="AK784" s="200"/>
      <c r="AL784" s="200"/>
      <c r="AM784" s="200"/>
      <c r="AN784" s="200"/>
      <c r="AO784" s="200"/>
      <c r="AP784" s="200"/>
      <c r="AQ784" s="200"/>
      <c r="AR784" s="200"/>
      <c r="AS784" s="200"/>
      <c r="AT784" s="200"/>
      <c r="AU784" s="200"/>
      <c r="AV784" s="200"/>
      <c r="AW784" s="200"/>
      <c r="AX784" s="200"/>
      <c r="AY784" s="200"/>
      <c r="AZ784" s="200"/>
      <c r="BA784" s="200"/>
      <c r="BB784" s="200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</row>
    <row r="785" spans="1:71" ht="13.8">
      <c r="A785" s="1"/>
      <c r="B785" s="1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  <c r="AB785" s="200"/>
      <c r="AC785" s="200"/>
      <c r="AD785" s="200"/>
      <c r="AE785" s="200"/>
      <c r="AF785" s="200"/>
      <c r="AG785" s="200"/>
      <c r="AH785" s="200"/>
      <c r="AI785" s="200"/>
      <c r="AJ785" s="200"/>
      <c r="AK785" s="200"/>
      <c r="AL785" s="200"/>
      <c r="AM785" s="200"/>
      <c r="AN785" s="200"/>
      <c r="AO785" s="200"/>
      <c r="AP785" s="200"/>
      <c r="AQ785" s="200"/>
      <c r="AR785" s="200"/>
      <c r="AS785" s="200"/>
      <c r="AT785" s="200"/>
      <c r="AU785" s="200"/>
      <c r="AV785" s="200"/>
      <c r="AW785" s="200"/>
      <c r="AX785" s="200"/>
      <c r="AY785" s="200"/>
      <c r="AZ785" s="200"/>
      <c r="BA785" s="200"/>
      <c r="BB785" s="200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</row>
    <row r="786" spans="1:71" ht="13.8">
      <c r="A786" s="1"/>
      <c r="B786" s="1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0"/>
      <c r="AK786" s="200"/>
      <c r="AL786" s="200"/>
      <c r="AM786" s="200"/>
      <c r="AN786" s="200"/>
      <c r="AO786" s="200"/>
      <c r="AP786" s="200"/>
      <c r="AQ786" s="200"/>
      <c r="AR786" s="200"/>
      <c r="AS786" s="200"/>
      <c r="AT786" s="200"/>
      <c r="AU786" s="200"/>
      <c r="AV786" s="200"/>
      <c r="AW786" s="200"/>
      <c r="AX786" s="200"/>
      <c r="AY786" s="200"/>
      <c r="AZ786" s="200"/>
      <c r="BA786" s="200"/>
      <c r="BB786" s="200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</row>
    <row r="787" spans="1:71" ht="13.8">
      <c r="A787" s="1"/>
      <c r="B787" s="1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  <c r="AB787" s="200"/>
      <c r="AC787" s="200"/>
      <c r="AD787" s="200"/>
      <c r="AE787" s="200"/>
      <c r="AF787" s="200"/>
      <c r="AG787" s="200"/>
      <c r="AH787" s="200"/>
      <c r="AI787" s="200"/>
      <c r="AJ787" s="200"/>
      <c r="AK787" s="200"/>
      <c r="AL787" s="200"/>
      <c r="AM787" s="200"/>
      <c r="AN787" s="200"/>
      <c r="AO787" s="200"/>
      <c r="AP787" s="200"/>
      <c r="AQ787" s="200"/>
      <c r="AR787" s="200"/>
      <c r="AS787" s="200"/>
      <c r="AT787" s="200"/>
      <c r="AU787" s="200"/>
      <c r="AV787" s="200"/>
      <c r="AW787" s="200"/>
      <c r="AX787" s="200"/>
      <c r="AY787" s="200"/>
      <c r="AZ787" s="200"/>
      <c r="BA787" s="200"/>
      <c r="BB787" s="200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</row>
    <row r="788" spans="1:71" ht="13.8">
      <c r="A788" s="1"/>
      <c r="B788" s="1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  <c r="AB788" s="200"/>
      <c r="AC788" s="200"/>
      <c r="AD788" s="200"/>
      <c r="AE788" s="200"/>
      <c r="AF788" s="200"/>
      <c r="AG788" s="200"/>
      <c r="AH788" s="200"/>
      <c r="AI788" s="200"/>
      <c r="AJ788" s="200"/>
      <c r="AK788" s="200"/>
      <c r="AL788" s="200"/>
      <c r="AM788" s="200"/>
      <c r="AN788" s="200"/>
      <c r="AO788" s="200"/>
      <c r="AP788" s="200"/>
      <c r="AQ788" s="200"/>
      <c r="AR788" s="200"/>
      <c r="AS788" s="200"/>
      <c r="AT788" s="200"/>
      <c r="AU788" s="200"/>
      <c r="AV788" s="200"/>
      <c r="AW788" s="200"/>
      <c r="AX788" s="200"/>
      <c r="AY788" s="200"/>
      <c r="AZ788" s="200"/>
      <c r="BA788" s="200"/>
      <c r="BB788" s="200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</row>
    <row r="789" spans="1:71" ht="13.8">
      <c r="A789" s="1"/>
      <c r="B789" s="1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  <c r="AH789" s="200"/>
      <c r="AI789" s="200"/>
      <c r="AJ789" s="200"/>
      <c r="AK789" s="200"/>
      <c r="AL789" s="200"/>
      <c r="AM789" s="200"/>
      <c r="AN789" s="200"/>
      <c r="AO789" s="200"/>
      <c r="AP789" s="200"/>
      <c r="AQ789" s="200"/>
      <c r="AR789" s="200"/>
      <c r="AS789" s="200"/>
      <c r="AT789" s="200"/>
      <c r="AU789" s="200"/>
      <c r="AV789" s="200"/>
      <c r="AW789" s="200"/>
      <c r="AX789" s="200"/>
      <c r="AY789" s="200"/>
      <c r="AZ789" s="200"/>
      <c r="BA789" s="200"/>
      <c r="BB789" s="200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</row>
    <row r="790" spans="1:71" ht="13.8">
      <c r="A790" s="1"/>
      <c r="B790" s="1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  <c r="AB790" s="200"/>
      <c r="AC790" s="200"/>
      <c r="AD790" s="200"/>
      <c r="AE790" s="200"/>
      <c r="AF790" s="200"/>
      <c r="AG790" s="200"/>
      <c r="AH790" s="200"/>
      <c r="AI790" s="200"/>
      <c r="AJ790" s="200"/>
      <c r="AK790" s="200"/>
      <c r="AL790" s="200"/>
      <c r="AM790" s="200"/>
      <c r="AN790" s="200"/>
      <c r="AO790" s="200"/>
      <c r="AP790" s="200"/>
      <c r="AQ790" s="200"/>
      <c r="AR790" s="200"/>
      <c r="AS790" s="200"/>
      <c r="AT790" s="200"/>
      <c r="AU790" s="200"/>
      <c r="AV790" s="200"/>
      <c r="AW790" s="200"/>
      <c r="AX790" s="200"/>
      <c r="AY790" s="200"/>
      <c r="AZ790" s="200"/>
      <c r="BA790" s="200"/>
      <c r="BB790" s="200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</row>
    <row r="791" spans="1:71" ht="13.8">
      <c r="A791" s="1"/>
      <c r="B791" s="1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  <c r="AB791" s="200"/>
      <c r="AC791" s="200"/>
      <c r="AD791" s="200"/>
      <c r="AE791" s="200"/>
      <c r="AF791" s="200"/>
      <c r="AG791" s="200"/>
      <c r="AH791" s="200"/>
      <c r="AI791" s="200"/>
      <c r="AJ791" s="200"/>
      <c r="AK791" s="200"/>
      <c r="AL791" s="200"/>
      <c r="AM791" s="200"/>
      <c r="AN791" s="200"/>
      <c r="AO791" s="200"/>
      <c r="AP791" s="200"/>
      <c r="AQ791" s="200"/>
      <c r="AR791" s="200"/>
      <c r="AS791" s="200"/>
      <c r="AT791" s="200"/>
      <c r="AU791" s="200"/>
      <c r="AV791" s="200"/>
      <c r="AW791" s="200"/>
      <c r="AX791" s="200"/>
      <c r="AY791" s="200"/>
      <c r="AZ791" s="200"/>
      <c r="BA791" s="200"/>
      <c r="BB791" s="200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</row>
    <row r="792" spans="1:71" ht="13.8">
      <c r="A792" s="1"/>
      <c r="B792" s="1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  <c r="AB792" s="200"/>
      <c r="AC792" s="200"/>
      <c r="AD792" s="200"/>
      <c r="AE792" s="200"/>
      <c r="AF792" s="200"/>
      <c r="AG792" s="200"/>
      <c r="AH792" s="200"/>
      <c r="AI792" s="200"/>
      <c r="AJ792" s="200"/>
      <c r="AK792" s="200"/>
      <c r="AL792" s="200"/>
      <c r="AM792" s="200"/>
      <c r="AN792" s="200"/>
      <c r="AO792" s="200"/>
      <c r="AP792" s="200"/>
      <c r="AQ792" s="200"/>
      <c r="AR792" s="200"/>
      <c r="AS792" s="200"/>
      <c r="AT792" s="200"/>
      <c r="AU792" s="200"/>
      <c r="AV792" s="200"/>
      <c r="AW792" s="200"/>
      <c r="AX792" s="200"/>
      <c r="AY792" s="200"/>
      <c r="AZ792" s="200"/>
      <c r="BA792" s="200"/>
      <c r="BB792" s="200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</row>
    <row r="793" spans="1:71" ht="13.8">
      <c r="A793" s="1"/>
      <c r="B793" s="1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  <c r="AH793" s="200"/>
      <c r="AI793" s="200"/>
      <c r="AJ793" s="200"/>
      <c r="AK793" s="200"/>
      <c r="AL793" s="200"/>
      <c r="AM793" s="200"/>
      <c r="AN793" s="200"/>
      <c r="AO793" s="200"/>
      <c r="AP793" s="200"/>
      <c r="AQ793" s="200"/>
      <c r="AR793" s="200"/>
      <c r="AS793" s="200"/>
      <c r="AT793" s="200"/>
      <c r="AU793" s="200"/>
      <c r="AV793" s="200"/>
      <c r="AW793" s="200"/>
      <c r="AX793" s="200"/>
      <c r="AY793" s="200"/>
      <c r="AZ793" s="200"/>
      <c r="BA793" s="200"/>
      <c r="BB793" s="200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</row>
    <row r="794" spans="1:71" ht="13.8">
      <c r="A794" s="1"/>
      <c r="B794" s="1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  <c r="AB794" s="200"/>
      <c r="AC794" s="200"/>
      <c r="AD794" s="200"/>
      <c r="AE794" s="200"/>
      <c r="AF794" s="200"/>
      <c r="AG794" s="200"/>
      <c r="AH794" s="200"/>
      <c r="AI794" s="200"/>
      <c r="AJ794" s="200"/>
      <c r="AK794" s="200"/>
      <c r="AL794" s="200"/>
      <c r="AM794" s="200"/>
      <c r="AN794" s="200"/>
      <c r="AO794" s="200"/>
      <c r="AP794" s="200"/>
      <c r="AQ794" s="200"/>
      <c r="AR794" s="200"/>
      <c r="AS794" s="200"/>
      <c r="AT794" s="200"/>
      <c r="AU794" s="200"/>
      <c r="AV794" s="200"/>
      <c r="AW794" s="200"/>
      <c r="AX794" s="200"/>
      <c r="AY794" s="200"/>
      <c r="AZ794" s="200"/>
      <c r="BA794" s="200"/>
      <c r="BB794" s="200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</row>
    <row r="795" spans="1:71" ht="13.8">
      <c r="A795" s="1"/>
      <c r="B795" s="1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  <c r="AB795" s="200"/>
      <c r="AC795" s="200"/>
      <c r="AD795" s="200"/>
      <c r="AE795" s="200"/>
      <c r="AF795" s="200"/>
      <c r="AG795" s="200"/>
      <c r="AH795" s="200"/>
      <c r="AI795" s="200"/>
      <c r="AJ795" s="200"/>
      <c r="AK795" s="200"/>
      <c r="AL795" s="200"/>
      <c r="AM795" s="200"/>
      <c r="AN795" s="200"/>
      <c r="AO795" s="200"/>
      <c r="AP795" s="200"/>
      <c r="AQ795" s="200"/>
      <c r="AR795" s="200"/>
      <c r="AS795" s="200"/>
      <c r="AT795" s="200"/>
      <c r="AU795" s="200"/>
      <c r="AV795" s="200"/>
      <c r="AW795" s="200"/>
      <c r="AX795" s="200"/>
      <c r="AY795" s="200"/>
      <c r="AZ795" s="200"/>
      <c r="BA795" s="200"/>
      <c r="BB795" s="200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</row>
    <row r="796" spans="1:71" ht="13.8">
      <c r="A796" s="1"/>
      <c r="B796" s="1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  <c r="AB796" s="200"/>
      <c r="AC796" s="200"/>
      <c r="AD796" s="200"/>
      <c r="AE796" s="200"/>
      <c r="AF796" s="200"/>
      <c r="AG796" s="200"/>
      <c r="AH796" s="200"/>
      <c r="AI796" s="200"/>
      <c r="AJ796" s="200"/>
      <c r="AK796" s="200"/>
      <c r="AL796" s="200"/>
      <c r="AM796" s="200"/>
      <c r="AN796" s="200"/>
      <c r="AO796" s="200"/>
      <c r="AP796" s="200"/>
      <c r="AQ796" s="200"/>
      <c r="AR796" s="200"/>
      <c r="AS796" s="200"/>
      <c r="AT796" s="200"/>
      <c r="AU796" s="200"/>
      <c r="AV796" s="200"/>
      <c r="AW796" s="200"/>
      <c r="AX796" s="200"/>
      <c r="AY796" s="200"/>
      <c r="AZ796" s="200"/>
      <c r="BA796" s="200"/>
      <c r="BB796" s="200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</row>
    <row r="797" spans="1:71" ht="13.8">
      <c r="A797" s="1"/>
      <c r="B797" s="1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  <c r="AH797" s="200"/>
      <c r="AI797" s="200"/>
      <c r="AJ797" s="200"/>
      <c r="AK797" s="200"/>
      <c r="AL797" s="200"/>
      <c r="AM797" s="200"/>
      <c r="AN797" s="200"/>
      <c r="AO797" s="200"/>
      <c r="AP797" s="200"/>
      <c r="AQ797" s="200"/>
      <c r="AR797" s="200"/>
      <c r="AS797" s="200"/>
      <c r="AT797" s="200"/>
      <c r="AU797" s="200"/>
      <c r="AV797" s="200"/>
      <c r="AW797" s="200"/>
      <c r="AX797" s="200"/>
      <c r="AY797" s="200"/>
      <c r="AZ797" s="200"/>
      <c r="BA797" s="200"/>
      <c r="BB797" s="200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</row>
    <row r="798" spans="1:71" ht="13.8">
      <c r="A798" s="1"/>
      <c r="B798" s="1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  <c r="AB798" s="200"/>
      <c r="AC798" s="200"/>
      <c r="AD798" s="200"/>
      <c r="AE798" s="200"/>
      <c r="AF798" s="200"/>
      <c r="AG798" s="200"/>
      <c r="AH798" s="200"/>
      <c r="AI798" s="200"/>
      <c r="AJ798" s="200"/>
      <c r="AK798" s="200"/>
      <c r="AL798" s="200"/>
      <c r="AM798" s="200"/>
      <c r="AN798" s="200"/>
      <c r="AO798" s="200"/>
      <c r="AP798" s="200"/>
      <c r="AQ798" s="200"/>
      <c r="AR798" s="200"/>
      <c r="AS798" s="200"/>
      <c r="AT798" s="200"/>
      <c r="AU798" s="200"/>
      <c r="AV798" s="200"/>
      <c r="AW798" s="200"/>
      <c r="AX798" s="200"/>
      <c r="AY798" s="200"/>
      <c r="AZ798" s="200"/>
      <c r="BA798" s="200"/>
      <c r="BB798" s="200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</row>
    <row r="799" spans="1:71" ht="13.8">
      <c r="A799" s="1"/>
      <c r="B799" s="1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  <c r="AB799" s="200"/>
      <c r="AC799" s="200"/>
      <c r="AD799" s="200"/>
      <c r="AE799" s="200"/>
      <c r="AF799" s="200"/>
      <c r="AG799" s="200"/>
      <c r="AH799" s="200"/>
      <c r="AI799" s="200"/>
      <c r="AJ799" s="200"/>
      <c r="AK799" s="200"/>
      <c r="AL799" s="200"/>
      <c r="AM799" s="200"/>
      <c r="AN799" s="200"/>
      <c r="AO799" s="200"/>
      <c r="AP799" s="200"/>
      <c r="AQ799" s="200"/>
      <c r="AR799" s="200"/>
      <c r="AS799" s="200"/>
      <c r="AT799" s="200"/>
      <c r="AU799" s="200"/>
      <c r="AV799" s="200"/>
      <c r="AW799" s="200"/>
      <c r="AX799" s="200"/>
      <c r="AY799" s="200"/>
      <c r="AZ799" s="200"/>
      <c r="BA799" s="200"/>
      <c r="BB799" s="200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</row>
    <row r="800" spans="1:71" ht="13.8">
      <c r="A800" s="1"/>
      <c r="B800" s="1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  <c r="AH800" s="200"/>
      <c r="AI800" s="200"/>
      <c r="AJ800" s="200"/>
      <c r="AK800" s="200"/>
      <c r="AL800" s="200"/>
      <c r="AM800" s="200"/>
      <c r="AN800" s="200"/>
      <c r="AO800" s="200"/>
      <c r="AP800" s="200"/>
      <c r="AQ800" s="200"/>
      <c r="AR800" s="200"/>
      <c r="AS800" s="200"/>
      <c r="AT800" s="200"/>
      <c r="AU800" s="200"/>
      <c r="AV800" s="200"/>
      <c r="AW800" s="200"/>
      <c r="AX800" s="200"/>
      <c r="AY800" s="200"/>
      <c r="AZ800" s="200"/>
      <c r="BA800" s="200"/>
      <c r="BB800" s="200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</row>
    <row r="801" spans="1:71" ht="13.8">
      <c r="A801" s="1"/>
      <c r="B801" s="1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  <c r="AB801" s="200"/>
      <c r="AC801" s="200"/>
      <c r="AD801" s="200"/>
      <c r="AE801" s="200"/>
      <c r="AF801" s="200"/>
      <c r="AG801" s="200"/>
      <c r="AH801" s="200"/>
      <c r="AI801" s="200"/>
      <c r="AJ801" s="200"/>
      <c r="AK801" s="200"/>
      <c r="AL801" s="200"/>
      <c r="AM801" s="200"/>
      <c r="AN801" s="200"/>
      <c r="AO801" s="200"/>
      <c r="AP801" s="200"/>
      <c r="AQ801" s="200"/>
      <c r="AR801" s="200"/>
      <c r="AS801" s="200"/>
      <c r="AT801" s="200"/>
      <c r="AU801" s="200"/>
      <c r="AV801" s="200"/>
      <c r="AW801" s="200"/>
      <c r="AX801" s="200"/>
      <c r="AY801" s="200"/>
      <c r="AZ801" s="200"/>
      <c r="BA801" s="200"/>
      <c r="BB801" s="200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</row>
    <row r="802" spans="1:71" ht="13.8">
      <c r="A802" s="1"/>
      <c r="B802" s="1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  <c r="AB802" s="200"/>
      <c r="AC802" s="200"/>
      <c r="AD802" s="200"/>
      <c r="AE802" s="200"/>
      <c r="AF802" s="200"/>
      <c r="AG802" s="200"/>
      <c r="AH802" s="200"/>
      <c r="AI802" s="200"/>
      <c r="AJ802" s="200"/>
      <c r="AK802" s="200"/>
      <c r="AL802" s="200"/>
      <c r="AM802" s="200"/>
      <c r="AN802" s="200"/>
      <c r="AO802" s="200"/>
      <c r="AP802" s="200"/>
      <c r="AQ802" s="200"/>
      <c r="AR802" s="200"/>
      <c r="AS802" s="200"/>
      <c r="AT802" s="200"/>
      <c r="AU802" s="200"/>
      <c r="AV802" s="200"/>
      <c r="AW802" s="200"/>
      <c r="AX802" s="200"/>
      <c r="AY802" s="200"/>
      <c r="AZ802" s="200"/>
      <c r="BA802" s="200"/>
      <c r="BB802" s="200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</row>
    <row r="803" spans="1:71" ht="13.8">
      <c r="A803" s="1"/>
      <c r="B803" s="1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  <c r="AB803" s="200"/>
      <c r="AC803" s="200"/>
      <c r="AD803" s="200"/>
      <c r="AE803" s="200"/>
      <c r="AF803" s="200"/>
      <c r="AG803" s="200"/>
      <c r="AH803" s="200"/>
      <c r="AI803" s="200"/>
      <c r="AJ803" s="200"/>
      <c r="AK803" s="200"/>
      <c r="AL803" s="200"/>
      <c r="AM803" s="200"/>
      <c r="AN803" s="200"/>
      <c r="AO803" s="200"/>
      <c r="AP803" s="200"/>
      <c r="AQ803" s="200"/>
      <c r="AR803" s="200"/>
      <c r="AS803" s="200"/>
      <c r="AT803" s="200"/>
      <c r="AU803" s="200"/>
      <c r="AV803" s="200"/>
      <c r="AW803" s="200"/>
      <c r="AX803" s="200"/>
      <c r="AY803" s="200"/>
      <c r="AZ803" s="200"/>
      <c r="BA803" s="200"/>
      <c r="BB803" s="200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</row>
    <row r="804" spans="1:71" ht="13.8">
      <c r="A804" s="1"/>
      <c r="B804" s="1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  <c r="AB804" s="200"/>
      <c r="AC804" s="200"/>
      <c r="AD804" s="200"/>
      <c r="AE804" s="200"/>
      <c r="AF804" s="200"/>
      <c r="AG804" s="200"/>
      <c r="AH804" s="200"/>
      <c r="AI804" s="200"/>
      <c r="AJ804" s="200"/>
      <c r="AK804" s="200"/>
      <c r="AL804" s="200"/>
      <c r="AM804" s="200"/>
      <c r="AN804" s="200"/>
      <c r="AO804" s="200"/>
      <c r="AP804" s="200"/>
      <c r="AQ804" s="200"/>
      <c r="AR804" s="200"/>
      <c r="AS804" s="200"/>
      <c r="AT804" s="200"/>
      <c r="AU804" s="200"/>
      <c r="AV804" s="200"/>
      <c r="AW804" s="200"/>
      <c r="AX804" s="200"/>
      <c r="AY804" s="200"/>
      <c r="AZ804" s="200"/>
      <c r="BA804" s="200"/>
      <c r="BB804" s="200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</row>
    <row r="805" spans="1:71" ht="13.8">
      <c r="A805" s="1"/>
      <c r="B805" s="1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  <c r="AB805" s="200"/>
      <c r="AC805" s="200"/>
      <c r="AD805" s="200"/>
      <c r="AE805" s="200"/>
      <c r="AF805" s="200"/>
      <c r="AG805" s="200"/>
      <c r="AH805" s="200"/>
      <c r="AI805" s="200"/>
      <c r="AJ805" s="200"/>
      <c r="AK805" s="200"/>
      <c r="AL805" s="200"/>
      <c r="AM805" s="200"/>
      <c r="AN805" s="200"/>
      <c r="AO805" s="200"/>
      <c r="AP805" s="200"/>
      <c r="AQ805" s="200"/>
      <c r="AR805" s="200"/>
      <c r="AS805" s="200"/>
      <c r="AT805" s="200"/>
      <c r="AU805" s="200"/>
      <c r="AV805" s="200"/>
      <c r="AW805" s="200"/>
      <c r="AX805" s="200"/>
      <c r="AY805" s="200"/>
      <c r="AZ805" s="200"/>
      <c r="BA805" s="200"/>
      <c r="BB805" s="200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</row>
    <row r="806" spans="1:71" ht="13.8">
      <c r="A806" s="1"/>
      <c r="B806" s="1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  <c r="AB806" s="200"/>
      <c r="AC806" s="200"/>
      <c r="AD806" s="200"/>
      <c r="AE806" s="200"/>
      <c r="AF806" s="200"/>
      <c r="AG806" s="200"/>
      <c r="AH806" s="200"/>
      <c r="AI806" s="200"/>
      <c r="AJ806" s="200"/>
      <c r="AK806" s="200"/>
      <c r="AL806" s="200"/>
      <c r="AM806" s="200"/>
      <c r="AN806" s="200"/>
      <c r="AO806" s="200"/>
      <c r="AP806" s="200"/>
      <c r="AQ806" s="200"/>
      <c r="AR806" s="200"/>
      <c r="AS806" s="200"/>
      <c r="AT806" s="200"/>
      <c r="AU806" s="200"/>
      <c r="AV806" s="200"/>
      <c r="AW806" s="200"/>
      <c r="AX806" s="200"/>
      <c r="AY806" s="200"/>
      <c r="AZ806" s="200"/>
      <c r="BA806" s="200"/>
      <c r="BB806" s="200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</row>
    <row r="807" spans="1:71" ht="13.8">
      <c r="A807" s="1"/>
      <c r="B807" s="1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  <c r="AB807" s="200"/>
      <c r="AC807" s="200"/>
      <c r="AD807" s="200"/>
      <c r="AE807" s="200"/>
      <c r="AF807" s="200"/>
      <c r="AG807" s="200"/>
      <c r="AH807" s="200"/>
      <c r="AI807" s="200"/>
      <c r="AJ807" s="200"/>
      <c r="AK807" s="200"/>
      <c r="AL807" s="200"/>
      <c r="AM807" s="200"/>
      <c r="AN807" s="200"/>
      <c r="AO807" s="200"/>
      <c r="AP807" s="200"/>
      <c r="AQ807" s="200"/>
      <c r="AR807" s="200"/>
      <c r="AS807" s="200"/>
      <c r="AT807" s="200"/>
      <c r="AU807" s="200"/>
      <c r="AV807" s="200"/>
      <c r="AW807" s="200"/>
      <c r="AX807" s="200"/>
      <c r="AY807" s="200"/>
      <c r="AZ807" s="200"/>
      <c r="BA807" s="200"/>
      <c r="BB807" s="200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</row>
    <row r="808" spans="1:71" ht="13.8">
      <c r="A808" s="1"/>
      <c r="B808" s="1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  <c r="AB808" s="200"/>
      <c r="AC808" s="200"/>
      <c r="AD808" s="200"/>
      <c r="AE808" s="200"/>
      <c r="AF808" s="200"/>
      <c r="AG808" s="200"/>
      <c r="AH808" s="200"/>
      <c r="AI808" s="200"/>
      <c r="AJ808" s="200"/>
      <c r="AK808" s="200"/>
      <c r="AL808" s="200"/>
      <c r="AM808" s="200"/>
      <c r="AN808" s="200"/>
      <c r="AO808" s="200"/>
      <c r="AP808" s="200"/>
      <c r="AQ808" s="200"/>
      <c r="AR808" s="200"/>
      <c r="AS808" s="200"/>
      <c r="AT808" s="200"/>
      <c r="AU808" s="200"/>
      <c r="AV808" s="200"/>
      <c r="AW808" s="200"/>
      <c r="AX808" s="200"/>
      <c r="AY808" s="200"/>
      <c r="AZ808" s="200"/>
      <c r="BA808" s="200"/>
      <c r="BB808" s="200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</row>
    <row r="809" spans="1:71" ht="13.8">
      <c r="A809" s="1"/>
      <c r="B809" s="1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  <c r="AB809" s="200"/>
      <c r="AC809" s="200"/>
      <c r="AD809" s="200"/>
      <c r="AE809" s="200"/>
      <c r="AF809" s="200"/>
      <c r="AG809" s="200"/>
      <c r="AH809" s="200"/>
      <c r="AI809" s="200"/>
      <c r="AJ809" s="200"/>
      <c r="AK809" s="200"/>
      <c r="AL809" s="200"/>
      <c r="AM809" s="200"/>
      <c r="AN809" s="200"/>
      <c r="AO809" s="200"/>
      <c r="AP809" s="200"/>
      <c r="AQ809" s="200"/>
      <c r="AR809" s="200"/>
      <c r="AS809" s="200"/>
      <c r="AT809" s="200"/>
      <c r="AU809" s="200"/>
      <c r="AV809" s="200"/>
      <c r="AW809" s="200"/>
      <c r="AX809" s="200"/>
      <c r="AY809" s="200"/>
      <c r="AZ809" s="200"/>
      <c r="BA809" s="200"/>
      <c r="BB809" s="200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</row>
    <row r="810" spans="1:71" ht="13.8">
      <c r="A810" s="1"/>
      <c r="B810" s="1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  <c r="AB810" s="200"/>
      <c r="AC810" s="200"/>
      <c r="AD810" s="200"/>
      <c r="AE810" s="200"/>
      <c r="AF810" s="200"/>
      <c r="AG810" s="200"/>
      <c r="AH810" s="200"/>
      <c r="AI810" s="200"/>
      <c r="AJ810" s="200"/>
      <c r="AK810" s="200"/>
      <c r="AL810" s="200"/>
      <c r="AM810" s="200"/>
      <c r="AN810" s="200"/>
      <c r="AO810" s="200"/>
      <c r="AP810" s="200"/>
      <c r="AQ810" s="200"/>
      <c r="AR810" s="200"/>
      <c r="AS810" s="200"/>
      <c r="AT810" s="200"/>
      <c r="AU810" s="200"/>
      <c r="AV810" s="200"/>
      <c r="AW810" s="200"/>
      <c r="AX810" s="200"/>
      <c r="AY810" s="200"/>
      <c r="AZ810" s="200"/>
      <c r="BA810" s="200"/>
      <c r="BB810" s="200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</row>
    <row r="811" spans="1:71" ht="13.8">
      <c r="A811" s="1"/>
      <c r="B811" s="1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  <c r="AB811" s="200"/>
      <c r="AC811" s="200"/>
      <c r="AD811" s="200"/>
      <c r="AE811" s="200"/>
      <c r="AF811" s="200"/>
      <c r="AG811" s="200"/>
      <c r="AH811" s="200"/>
      <c r="AI811" s="200"/>
      <c r="AJ811" s="200"/>
      <c r="AK811" s="200"/>
      <c r="AL811" s="200"/>
      <c r="AM811" s="200"/>
      <c r="AN811" s="200"/>
      <c r="AO811" s="200"/>
      <c r="AP811" s="200"/>
      <c r="AQ811" s="200"/>
      <c r="AR811" s="200"/>
      <c r="AS811" s="200"/>
      <c r="AT811" s="200"/>
      <c r="AU811" s="200"/>
      <c r="AV811" s="200"/>
      <c r="AW811" s="200"/>
      <c r="AX811" s="200"/>
      <c r="AY811" s="200"/>
      <c r="AZ811" s="200"/>
      <c r="BA811" s="200"/>
      <c r="BB811" s="200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</row>
    <row r="812" spans="1:71" ht="13.8">
      <c r="A812" s="1"/>
      <c r="B812" s="1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  <c r="AB812" s="200"/>
      <c r="AC812" s="200"/>
      <c r="AD812" s="200"/>
      <c r="AE812" s="200"/>
      <c r="AF812" s="200"/>
      <c r="AG812" s="200"/>
      <c r="AH812" s="200"/>
      <c r="AI812" s="200"/>
      <c r="AJ812" s="200"/>
      <c r="AK812" s="200"/>
      <c r="AL812" s="200"/>
      <c r="AM812" s="200"/>
      <c r="AN812" s="200"/>
      <c r="AO812" s="200"/>
      <c r="AP812" s="200"/>
      <c r="AQ812" s="200"/>
      <c r="AR812" s="200"/>
      <c r="AS812" s="200"/>
      <c r="AT812" s="200"/>
      <c r="AU812" s="200"/>
      <c r="AV812" s="200"/>
      <c r="AW812" s="200"/>
      <c r="AX812" s="200"/>
      <c r="AY812" s="200"/>
      <c r="AZ812" s="200"/>
      <c r="BA812" s="200"/>
      <c r="BB812" s="200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</row>
    <row r="813" spans="1:71" ht="13.8">
      <c r="A813" s="1"/>
      <c r="B813" s="1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  <c r="AH813" s="200"/>
      <c r="AI813" s="200"/>
      <c r="AJ813" s="200"/>
      <c r="AK813" s="200"/>
      <c r="AL813" s="200"/>
      <c r="AM813" s="200"/>
      <c r="AN813" s="200"/>
      <c r="AO813" s="200"/>
      <c r="AP813" s="200"/>
      <c r="AQ813" s="200"/>
      <c r="AR813" s="200"/>
      <c r="AS813" s="200"/>
      <c r="AT813" s="200"/>
      <c r="AU813" s="200"/>
      <c r="AV813" s="200"/>
      <c r="AW813" s="200"/>
      <c r="AX813" s="200"/>
      <c r="AY813" s="200"/>
      <c r="AZ813" s="200"/>
      <c r="BA813" s="200"/>
      <c r="BB813" s="200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</row>
    <row r="814" spans="1:71" ht="13.8">
      <c r="A814" s="1"/>
      <c r="B814" s="1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  <c r="AB814" s="200"/>
      <c r="AC814" s="200"/>
      <c r="AD814" s="200"/>
      <c r="AE814" s="200"/>
      <c r="AF814" s="200"/>
      <c r="AG814" s="200"/>
      <c r="AH814" s="200"/>
      <c r="AI814" s="200"/>
      <c r="AJ814" s="200"/>
      <c r="AK814" s="200"/>
      <c r="AL814" s="200"/>
      <c r="AM814" s="200"/>
      <c r="AN814" s="200"/>
      <c r="AO814" s="200"/>
      <c r="AP814" s="200"/>
      <c r="AQ814" s="200"/>
      <c r="AR814" s="200"/>
      <c r="AS814" s="200"/>
      <c r="AT814" s="200"/>
      <c r="AU814" s="200"/>
      <c r="AV814" s="200"/>
      <c r="AW814" s="200"/>
      <c r="AX814" s="200"/>
      <c r="AY814" s="200"/>
      <c r="AZ814" s="200"/>
      <c r="BA814" s="200"/>
      <c r="BB814" s="200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</row>
    <row r="815" spans="1:71" ht="13.8">
      <c r="A815" s="1"/>
      <c r="B815" s="1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  <c r="AB815" s="200"/>
      <c r="AC815" s="200"/>
      <c r="AD815" s="200"/>
      <c r="AE815" s="200"/>
      <c r="AF815" s="200"/>
      <c r="AG815" s="200"/>
      <c r="AH815" s="200"/>
      <c r="AI815" s="200"/>
      <c r="AJ815" s="200"/>
      <c r="AK815" s="200"/>
      <c r="AL815" s="200"/>
      <c r="AM815" s="200"/>
      <c r="AN815" s="200"/>
      <c r="AO815" s="200"/>
      <c r="AP815" s="200"/>
      <c r="AQ815" s="200"/>
      <c r="AR815" s="200"/>
      <c r="AS815" s="200"/>
      <c r="AT815" s="200"/>
      <c r="AU815" s="200"/>
      <c r="AV815" s="200"/>
      <c r="AW815" s="200"/>
      <c r="AX815" s="200"/>
      <c r="AY815" s="200"/>
      <c r="AZ815" s="200"/>
      <c r="BA815" s="200"/>
      <c r="BB815" s="200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</row>
    <row r="816" spans="1:71" ht="13.8">
      <c r="A816" s="1"/>
      <c r="B816" s="1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  <c r="AB816" s="200"/>
      <c r="AC816" s="200"/>
      <c r="AD816" s="200"/>
      <c r="AE816" s="200"/>
      <c r="AF816" s="200"/>
      <c r="AG816" s="200"/>
      <c r="AH816" s="200"/>
      <c r="AI816" s="200"/>
      <c r="AJ816" s="200"/>
      <c r="AK816" s="200"/>
      <c r="AL816" s="200"/>
      <c r="AM816" s="200"/>
      <c r="AN816" s="200"/>
      <c r="AO816" s="200"/>
      <c r="AP816" s="200"/>
      <c r="AQ816" s="200"/>
      <c r="AR816" s="200"/>
      <c r="AS816" s="200"/>
      <c r="AT816" s="200"/>
      <c r="AU816" s="200"/>
      <c r="AV816" s="200"/>
      <c r="AW816" s="200"/>
      <c r="AX816" s="200"/>
      <c r="AY816" s="200"/>
      <c r="AZ816" s="200"/>
      <c r="BA816" s="200"/>
      <c r="BB816" s="200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</row>
    <row r="817" spans="1:71" ht="13.8">
      <c r="A817" s="1"/>
      <c r="B817" s="1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  <c r="AB817" s="200"/>
      <c r="AC817" s="200"/>
      <c r="AD817" s="200"/>
      <c r="AE817" s="200"/>
      <c r="AF817" s="200"/>
      <c r="AG817" s="200"/>
      <c r="AH817" s="200"/>
      <c r="AI817" s="200"/>
      <c r="AJ817" s="200"/>
      <c r="AK817" s="200"/>
      <c r="AL817" s="200"/>
      <c r="AM817" s="200"/>
      <c r="AN817" s="200"/>
      <c r="AO817" s="200"/>
      <c r="AP817" s="200"/>
      <c r="AQ817" s="200"/>
      <c r="AR817" s="200"/>
      <c r="AS817" s="200"/>
      <c r="AT817" s="200"/>
      <c r="AU817" s="200"/>
      <c r="AV817" s="200"/>
      <c r="AW817" s="200"/>
      <c r="AX817" s="200"/>
      <c r="AY817" s="200"/>
      <c r="AZ817" s="200"/>
      <c r="BA817" s="200"/>
      <c r="BB817" s="200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</row>
    <row r="818" spans="1:71" ht="13.8">
      <c r="A818" s="1"/>
      <c r="B818" s="1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  <c r="AB818" s="200"/>
      <c r="AC818" s="200"/>
      <c r="AD818" s="200"/>
      <c r="AE818" s="200"/>
      <c r="AF818" s="200"/>
      <c r="AG818" s="200"/>
      <c r="AH818" s="200"/>
      <c r="AI818" s="200"/>
      <c r="AJ818" s="200"/>
      <c r="AK818" s="200"/>
      <c r="AL818" s="200"/>
      <c r="AM818" s="200"/>
      <c r="AN818" s="200"/>
      <c r="AO818" s="200"/>
      <c r="AP818" s="200"/>
      <c r="AQ818" s="200"/>
      <c r="AR818" s="200"/>
      <c r="AS818" s="200"/>
      <c r="AT818" s="200"/>
      <c r="AU818" s="200"/>
      <c r="AV818" s="200"/>
      <c r="AW818" s="200"/>
      <c r="AX818" s="200"/>
      <c r="AY818" s="200"/>
      <c r="AZ818" s="200"/>
      <c r="BA818" s="200"/>
      <c r="BB818" s="200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</row>
    <row r="819" spans="1:71" ht="13.8">
      <c r="A819" s="1"/>
      <c r="B819" s="1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  <c r="AH819" s="200"/>
      <c r="AI819" s="200"/>
      <c r="AJ819" s="200"/>
      <c r="AK819" s="200"/>
      <c r="AL819" s="200"/>
      <c r="AM819" s="200"/>
      <c r="AN819" s="200"/>
      <c r="AO819" s="200"/>
      <c r="AP819" s="200"/>
      <c r="AQ819" s="200"/>
      <c r="AR819" s="200"/>
      <c r="AS819" s="200"/>
      <c r="AT819" s="200"/>
      <c r="AU819" s="200"/>
      <c r="AV819" s="200"/>
      <c r="AW819" s="200"/>
      <c r="AX819" s="200"/>
      <c r="AY819" s="200"/>
      <c r="AZ819" s="200"/>
      <c r="BA819" s="200"/>
      <c r="BB819" s="200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</row>
    <row r="820" spans="1:71" ht="13.8">
      <c r="A820" s="1"/>
      <c r="B820" s="1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  <c r="AB820" s="200"/>
      <c r="AC820" s="200"/>
      <c r="AD820" s="200"/>
      <c r="AE820" s="200"/>
      <c r="AF820" s="200"/>
      <c r="AG820" s="200"/>
      <c r="AH820" s="200"/>
      <c r="AI820" s="200"/>
      <c r="AJ820" s="200"/>
      <c r="AK820" s="200"/>
      <c r="AL820" s="200"/>
      <c r="AM820" s="200"/>
      <c r="AN820" s="200"/>
      <c r="AO820" s="200"/>
      <c r="AP820" s="200"/>
      <c r="AQ820" s="200"/>
      <c r="AR820" s="200"/>
      <c r="AS820" s="200"/>
      <c r="AT820" s="200"/>
      <c r="AU820" s="200"/>
      <c r="AV820" s="200"/>
      <c r="AW820" s="200"/>
      <c r="AX820" s="200"/>
      <c r="AY820" s="200"/>
      <c r="AZ820" s="200"/>
      <c r="BA820" s="200"/>
      <c r="BB820" s="200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</row>
    <row r="821" spans="1:71" ht="13.8">
      <c r="A821" s="1"/>
      <c r="B821" s="1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  <c r="AB821" s="200"/>
      <c r="AC821" s="200"/>
      <c r="AD821" s="200"/>
      <c r="AE821" s="200"/>
      <c r="AF821" s="200"/>
      <c r="AG821" s="200"/>
      <c r="AH821" s="200"/>
      <c r="AI821" s="200"/>
      <c r="AJ821" s="200"/>
      <c r="AK821" s="200"/>
      <c r="AL821" s="200"/>
      <c r="AM821" s="200"/>
      <c r="AN821" s="200"/>
      <c r="AO821" s="200"/>
      <c r="AP821" s="200"/>
      <c r="AQ821" s="200"/>
      <c r="AR821" s="200"/>
      <c r="AS821" s="200"/>
      <c r="AT821" s="200"/>
      <c r="AU821" s="200"/>
      <c r="AV821" s="200"/>
      <c r="AW821" s="200"/>
      <c r="AX821" s="200"/>
      <c r="AY821" s="200"/>
      <c r="AZ821" s="200"/>
      <c r="BA821" s="200"/>
      <c r="BB821" s="200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</row>
    <row r="822" spans="1:71" ht="13.8">
      <c r="A822" s="1"/>
      <c r="B822" s="1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  <c r="AB822" s="200"/>
      <c r="AC822" s="200"/>
      <c r="AD822" s="200"/>
      <c r="AE822" s="200"/>
      <c r="AF822" s="200"/>
      <c r="AG822" s="200"/>
      <c r="AH822" s="200"/>
      <c r="AI822" s="200"/>
      <c r="AJ822" s="200"/>
      <c r="AK822" s="200"/>
      <c r="AL822" s="200"/>
      <c r="AM822" s="200"/>
      <c r="AN822" s="200"/>
      <c r="AO822" s="200"/>
      <c r="AP822" s="200"/>
      <c r="AQ822" s="200"/>
      <c r="AR822" s="200"/>
      <c r="AS822" s="200"/>
      <c r="AT822" s="200"/>
      <c r="AU822" s="200"/>
      <c r="AV822" s="200"/>
      <c r="AW822" s="200"/>
      <c r="AX822" s="200"/>
      <c r="AY822" s="200"/>
      <c r="AZ822" s="200"/>
      <c r="BA822" s="200"/>
      <c r="BB822" s="200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</row>
    <row r="823" spans="1:71" ht="13.8">
      <c r="A823" s="1"/>
      <c r="B823" s="1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  <c r="AB823" s="200"/>
      <c r="AC823" s="200"/>
      <c r="AD823" s="200"/>
      <c r="AE823" s="200"/>
      <c r="AF823" s="200"/>
      <c r="AG823" s="200"/>
      <c r="AH823" s="200"/>
      <c r="AI823" s="200"/>
      <c r="AJ823" s="200"/>
      <c r="AK823" s="200"/>
      <c r="AL823" s="200"/>
      <c r="AM823" s="200"/>
      <c r="AN823" s="200"/>
      <c r="AO823" s="200"/>
      <c r="AP823" s="200"/>
      <c r="AQ823" s="200"/>
      <c r="AR823" s="200"/>
      <c r="AS823" s="200"/>
      <c r="AT823" s="200"/>
      <c r="AU823" s="200"/>
      <c r="AV823" s="200"/>
      <c r="AW823" s="200"/>
      <c r="AX823" s="200"/>
      <c r="AY823" s="200"/>
      <c r="AZ823" s="200"/>
      <c r="BA823" s="200"/>
      <c r="BB823" s="200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</row>
    <row r="824" spans="1:71" ht="13.8">
      <c r="A824" s="1"/>
      <c r="B824" s="1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  <c r="AB824" s="200"/>
      <c r="AC824" s="200"/>
      <c r="AD824" s="200"/>
      <c r="AE824" s="200"/>
      <c r="AF824" s="200"/>
      <c r="AG824" s="200"/>
      <c r="AH824" s="200"/>
      <c r="AI824" s="200"/>
      <c r="AJ824" s="200"/>
      <c r="AK824" s="200"/>
      <c r="AL824" s="200"/>
      <c r="AM824" s="200"/>
      <c r="AN824" s="200"/>
      <c r="AO824" s="200"/>
      <c r="AP824" s="200"/>
      <c r="AQ824" s="200"/>
      <c r="AR824" s="200"/>
      <c r="AS824" s="200"/>
      <c r="AT824" s="200"/>
      <c r="AU824" s="200"/>
      <c r="AV824" s="200"/>
      <c r="AW824" s="200"/>
      <c r="AX824" s="200"/>
      <c r="AY824" s="200"/>
      <c r="AZ824" s="200"/>
      <c r="BA824" s="200"/>
      <c r="BB824" s="200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</row>
    <row r="825" spans="1:71" ht="13.8">
      <c r="A825" s="1"/>
      <c r="B825" s="1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  <c r="AB825" s="200"/>
      <c r="AC825" s="200"/>
      <c r="AD825" s="200"/>
      <c r="AE825" s="200"/>
      <c r="AF825" s="200"/>
      <c r="AG825" s="200"/>
      <c r="AH825" s="200"/>
      <c r="AI825" s="200"/>
      <c r="AJ825" s="200"/>
      <c r="AK825" s="200"/>
      <c r="AL825" s="200"/>
      <c r="AM825" s="200"/>
      <c r="AN825" s="200"/>
      <c r="AO825" s="200"/>
      <c r="AP825" s="200"/>
      <c r="AQ825" s="200"/>
      <c r="AR825" s="200"/>
      <c r="AS825" s="200"/>
      <c r="AT825" s="200"/>
      <c r="AU825" s="200"/>
      <c r="AV825" s="200"/>
      <c r="AW825" s="200"/>
      <c r="AX825" s="200"/>
      <c r="AY825" s="200"/>
      <c r="AZ825" s="200"/>
      <c r="BA825" s="200"/>
      <c r="BB825" s="200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</row>
    <row r="826" spans="1:71" ht="13.8">
      <c r="A826" s="1"/>
      <c r="B826" s="1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  <c r="AB826" s="200"/>
      <c r="AC826" s="200"/>
      <c r="AD826" s="200"/>
      <c r="AE826" s="200"/>
      <c r="AF826" s="200"/>
      <c r="AG826" s="200"/>
      <c r="AH826" s="200"/>
      <c r="AI826" s="200"/>
      <c r="AJ826" s="200"/>
      <c r="AK826" s="200"/>
      <c r="AL826" s="200"/>
      <c r="AM826" s="200"/>
      <c r="AN826" s="200"/>
      <c r="AO826" s="200"/>
      <c r="AP826" s="200"/>
      <c r="AQ826" s="200"/>
      <c r="AR826" s="200"/>
      <c r="AS826" s="200"/>
      <c r="AT826" s="200"/>
      <c r="AU826" s="200"/>
      <c r="AV826" s="200"/>
      <c r="AW826" s="200"/>
      <c r="AX826" s="200"/>
      <c r="AY826" s="200"/>
      <c r="AZ826" s="200"/>
      <c r="BA826" s="200"/>
      <c r="BB826" s="200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</row>
    <row r="827" spans="1:71" ht="13.8">
      <c r="A827" s="1"/>
      <c r="B827" s="1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  <c r="AB827" s="200"/>
      <c r="AC827" s="200"/>
      <c r="AD827" s="200"/>
      <c r="AE827" s="200"/>
      <c r="AF827" s="200"/>
      <c r="AG827" s="200"/>
      <c r="AH827" s="200"/>
      <c r="AI827" s="200"/>
      <c r="AJ827" s="200"/>
      <c r="AK827" s="200"/>
      <c r="AL827" s="200"/>
      <c r="AM827" s="200"/>
      <c r="AN827" s="200"/>
      <c r="AO827" s="200"/>
      <c r="AP827" s="200"/>
      <c r="AQ827" s="200"/>
      <c r="AR827" s="200"/>
      <c r="AS827" s="200"/>
      <c r="AT827" s="200"/>
      <c r="AU827" s="200"/>
      <c r="AV827" s="200"/>
      <c r="AW827" s="200"/>
      <c r="AX827" s="200"/>
      <c r="AY827" s="200"/>
      <c r="AZ827" s="200"/>
      <c r="BA827" s="200"/>
      <c r="BB827" s="200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</row>
    <row r="828" spans="1:71" ht="13.8">
      <c r="A828" s="1"/>
      <c r="B828" s="1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  <c r="AB828" s="200"/>
      <c r="AC828" s="200"/>
      <c r="AD828" s="200"/>
      <c r="AE828" s="200"/>
      <c r="AF828" s="200"/>
      <c r="AG828" s="200"/>
      <c r="AH828" s="200"/>
      <c r="AI828" s="200"/>
      <c r="AJ828" s="200"/>
      <c r="AK828" s="200"/>
      <c r="AL828" s="200"/>
      <c r="AM828" s="200"/>
      <c r="AN828" s="200"/>
      <c r="AO828" s="200"/>
      <c r="AP828" s="200"/>
      <c r="AQ828" s="200"/>
      <c r="AR828" s="200"/>
      <c r="AS828" s="200"/>
      <c r="AT828" s="200"/>
      <c r="AU828" s="200"/>
      <c r="AV828" s="200"/>
      <c r="AW828" s="200"/>
      <c r="AX828" s="200"/>
      <c r="AY828" s="200"/>
      <c r="AZ828" s="200"/>
      <c r="BA828" s="200"/>
      <c r="BB828" s="200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</row>
    <row r="829" spans="1:71" ht="13.8">
      <c r="A829" s="1"/>
      <c r="B829" s="1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  <c r="AB829" s="200"/>
      <c r="AC829" s="200"/>
      <c r="AD829" s="200"/>
      <c r="AE829" s="200"/>
      <c r="AF829" s="200"/>
      <c r="AG829" s="200"/>
      <c r="AH829" s="200"/>
      <c r="AI829" s="200"/>
      <c r="AJ829" s="200"/>
      <c r="AK829" s="200"/>
      <c r="AL829" s="200"/>
      <c r="AM829" s="200"/>
      <c r="AN829" s="200"/>
      <c r="AO829" s="200"/>
      <c r="AP829" s="200"/>
      <c r="AQ829" s="200"/>
      <c r="AR829" s="200"/>
      <c r="AS829" s="200"/>
      <c r="AT829" s="200"/>
      <c r="AU829" s="200"/>
      <c r="AV829" s="200"/>
      <c r="AW829" s="200"/>
      <c r="AX829" s="200"/>
      <c r="AY829" s="200"/>
      <c r="AZ829" s="200"/>
      <c r="BA829" s="200"/>
      <c r="BB829" s="200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</row>
    <row r="830" spans="1:71" ht="13.8">
      <c r="A830" s="1"/>
      <c r="B830" s="1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  <c r="AB830" s="200"/>
      <c r="AC830" s="200"/>
      <c r="AD830" s="200"/>
      <c r="AE830" s="200"/>
      <c r="AF830" s="200"/>
      <c r="AG830" s="200"/>
      <c r="AH830" s="200"/>
      <c r="AI830" s="200"/>
      <c r="AJ830" s="200"/>
      <c r="AK830" s="200"/>
      <c r="AL830" s="200"/>
      <c r="AM830" s="200"/>
      <c r="AN830" s="200"/>
      <c r="AO830" s="200"/>
      <c r="AP830" s="200"/>
      <c r="AQ830" s="200"/>
      <c r="AR830" s="200"/>
      <c r="AS830" s="200"/>
      <c r="AT830" s="200"/>
      <c r="AU830" s="200"/>
      <c r="AV830" s="200"/>
      <c r="AW830" s="200"/>
      <c r="AX830" s="200"/>
      <c r="AY830" s="200"/>
      <c r="AZ830" s="200"/>
      <c r="BA830" s="200"/>
      <c r="BB830" s="200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</row>
    <row r="831" spans="1:71" ht="13.8">
      <c r="A831" s="1"/>
      <c r="B831" s="1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  <c r="AB831" s="200"/>
      <c r="AC831" s="200"/>
      <c r="AD831" s="200"/>
      <c r="AE831" s="200"/>
      <c r="AF831" s="200"/>
      <c r="AG831" s="200"/>
      <c r="AH831" s="200"/>
      <c r="AI831" s="200"/>
      <c r="AJ831" s="200"/>
      <c r="AK831" s="200"/>
      <c r="AL831" s="200"/>
      <c r="AM831" s="200"/>
      <c r="AN831" s="200"/>
      <c r="AO831" s="200"/>
      <c r="AP831" s="200"/>
      <c r="AQ831" s="200"/>
      <c r="AR831" s="200"/>
      <c r="AS831" s="200"/>
      <c r="AT831" s="200"/>
      <c r="AU831" s="200"/>
      <c r="AV831" s="200"/>
      <c r="AW831" s="200"/>
      <c r="AX831" s="200"/>
      <c r="AY831" s="200"/>
      <c r="AZ831" s="200"/>
      <c r="BA831" s="200"/>
      <c r="BB831" s="200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</row>
    <row r="832" spans="1:71" ht="13.8">
      <c r="A832" s="1"/>
      <c r="B832" s="1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  <c r="AB832" s="200"/>
      <c r="AC832" s="200"/>
      <c r="AD832" s="200"/>
      <c r="AE832" s="200"/>
      <c r="AF832" s="200"/>
      <c r="AG832" s="200"/>
      <c r="AH832" s="200"/>
      <c r="AI832" s="200"/>
      <c r="AJ832" s="200"/>
      <c r="AK832" s="200"/>
      <c r="AL832" s="200"/>
      <c r="AM832" s="200"/>
      <c r="AN832" s="200"/>
      <c r="AO832" s="200"/>
      <c r="AP832" s="200"/>
      <c r="AQ832" s="200"/>
      <c r="AR832" s="200"/>
      <c r="AS832" s="200"/>
      <c r="AT832" s="200"/>
      <c r="AU832" s="200"/>
      <c r="AV832" s="200"/>
      <c r="AW832" s="200"/>
      <c r="AX832" s="200"/>
      <c r="AY832" s="200"/>
      <c r="AZ832" s="200"/>
      <c r="BA832" s="200"/>
      <c r="BB832" s="200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</row>
    <row r="833" spans="1:71" ht="13.8">
      <c r="A833" s="1"/>
      <c r="B833" s="1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  <c r="AB833" s="200"/>
      <c r="AC833" s="200"/>
      <c r="AD833" s="200"/>
      <c r="AE833" s="200"/>
      <c r="AF833" s="200"/>
      <c r="AG833" s="200"/>
      <c r="AH833" s="200"/>
      <c r="AI833" s="200"/>
      <c r="AJ833" s="200"/>
      <c r="AK833" s="200"/>
      <c r="AL833" s="200"/>
      <c r="AM833" s="200"/>
      <c r="AN833" s="200"/>
      <c r="AO833" s="200"/>
      <c r="AP833" s="200"/>
      <c r="AQ833" s="200"/>
      <c r="AR833" s="200"/>
      <c r="AS833" s="200"/>
      <c r="AT833" s="200"/>
      <c r="AU833" s="200"/>
      <c r="AV833" s="200"/>
      <c r="AW833" s="200"/>
      <c r="AX833" s="200"/>
      <c r="AY833" s="200"/>
      <c r="AZ833" s="200"/>
      <c r="BA833" s="200"/>
      <c r="BB833" s="200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</row>
    <row r="834" spans="1:71" ht="13.8">
      <c r="A834" s="1"/>
      <c r="B834" s="1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0"/>
      <c r="AK834" s="200"/>
      <c r="AL834" s="200"/>
      <c r="AM834" s="200"/>
      <c r="AN834" s="200"/>
      <c r="AO834" s="200"/>
      <c r="AP834" s="200"/>
      <c r="AQ834" s="200"/>
      <c r="AR834" s="200"/>
      <c r="AS834" s="200"/>
      <c r="AT834" s="200"/>
      <c r="AU834" s="200"/>
      <c r="AV834" s="200"/>
      <c r="AW834" s="200"/>
      <c r="AX834" s="200"/>
      <c r="AY834" s="200"/>
      <c r="AZ834" s="200"/>
      <c r="BA834" s="200"/>
      <c r="BB834" s="200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</row>
    <row r="835" spans="1:71" ht="13.8">
      <c r="A835" s="1"/>
      <c r="B835" s="1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  <c r="AB835" s="200"/>
      <c r="AC835" s="200"/>
      <c r="AD835" s="200"/>
      <c r="AE835" s="200"/>
      <c r="AF835" s="200"/>
      <c r="AG835" s="200"/>
      <c r="AH835" s="200"/>
      <c r="AI835" s="200"/>
      <c r="AJ835" s="200"/>
      <c r="AK835" s="200"/>
      <c r="AL835" s="200"/>
      <c r="AM835" s="200"/>
      <c r="AN835" s="200"/>
      <c r="AO835" s="200"/>
      <c r="AP835" s="200"/>
      <c r="AQ835" s="200"/>
      <c r="AR835" s="200"/>
      <c r="AS835" s="200"/>
      <c r="AT835" s="200"/>
      <c r="AU835" s="200"/>
      <c r="AV835" s="200"/>
      <c r="AW835" s="200"/>
      <c r="AX835" s="200"/>
      <c r="AY835" s="200"/>
      <c r="AZ835" s="200"/>
      <c r="BA835" s="200"/>
      <c r="BB835" s="200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</row>
    <row r="836" spans="1:71" ht="13.8">
      <c r="A836" s="1"/>
      <c r="B836" s="1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  <c r="AB836" s="200"/>
      <c r="AC836" s="200"/>
      <c r="AD836" s="200"/>
      <c r="AE836" s="200"/>
      <c r="AF836" s="200"/>
      <c r="AG836" s="200"/>
      <c r="AH836" s="200"/>
      <c r="AI836" s="200"/>
      <c r="AJ836" s="200"/>
      <c r="AK836" s="200"/>
      <c r="AL836" s="200"/>
      <c r="AM836" s="200"/>
      <c r="AN836" s="200"/>
      <c r="AO836" s="200"/>
      <c r="AP836" s="200"/>
      <c r="AQ836" s="200"/>
      <c r="AR836" s="200"/>
      <c r="AS836" s="200"/>
      <c r="AT836" s="200"/>
      <c r="AU836" s="200"/>
      <c r="AV836" s="200"/>
      <c r="AW836" s="200"/>
      <c r="AX836" s="200"/>
      <c r="AY836" s="200"/>
      <c r="AZ836" s="200"/>
      <c r="BA836" s="200"/>
      <c r="BB836" s="200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</row>
    <row r="837" spans="1:71" ht="13.8">
      <c r="A837" s="1"/>
      <c r="B837" s="1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  <c r="AH837" s="200"/>
      <c r="AI837" s="200"/>
      <c r="AJ837" s="200"/>
      <c r="AK837" s="200"/>
      <c r="AL837" s="200"/>
      <c r="AM837" s="200"/>
      <c r="AN837" s="200"/>
      <c r="AO837" s="200"/>
      <c r="AP837" s="200"/>
      <c r="AQ837" s="200"/>
      <c r="AR837" s="200"/>
      <c r="AS837" s="200"/>
      <c r="AT837" s="200"/>
      <c r="AU837" s="200"/>
      <c r="AV837" s="200"/>
      <c r="AW837" s="200"/>
      <c r="AX837" s="200"/>
      <c r="AY837" s="200"/>
      <c r="AZ837" s="200"/>
      <c r="BA837" s="200"/>
      <c r="BB837" s="200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</row>
    <row r="838" spans="1:71" ht="13.8">
      <c r="A838" s="1"/>
      <c r="B838" s="1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  <c r="AB838" s="200"/>
      <c r="AC838" s="200"/>
      <c r="AD838" s="200"/>
      <c r="AE838" s="200"/>
      <c r="AF838" s="200"/>
      <c r="AG838" s="200"/>
      <c r="AH838" s="200"/>
      <c r="AI838" s="200"/>
      <c r="AJ838" s="200"/>
      <c r="AK838" s="200"/>
      <c r="AL838" s="200"/>
      <c r="AM838" s="200"/>
      <c r="AN838" s="200"/>
      <c r="AO838" s="200"/>
      <c r="AP838" s="200"/>
      <c r="AQ838" s="200"/>
      <c r="AR838" s="200"/>
      <c r="AS838" s="200"/>
      <c r="AT838" s="200"/>
      <c r="AU838" s="200"/>
      <c r="AV838" s="200"/>
      <c r="AW838" s="200"/>
      <c r="AX838" s="200"/>
      <c r="AY838" s="200"/>
      <c r="AZ838" s="200"/>
      <c r="BA838" s="200"/>
      <c r="BB838" s="200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</row>
    <row r="839" spans="1:71" ht="13.8">
      <c r="A839" s="1"/>
      <c r="B839" s="1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  <c r="AB839" s="200"/>
      <c r="AC839" s="200"/>
      <c r="AD839" s="200"/>
      <c r="AE839" s="200"/>
      <c r="AF839" s="200"/>
      <c r="AG839" s="200"/>
      <c r="AH839" s="200"/>
      <c r="AI839" s="200"/>
      <c r="AJ839" s="200"/>
      <c r="AK839" s="200"/>
      <c r="AL839" s="200"/>
      <c r="AM839" s="200"/>
      <c r="AN839" s="200"/>
      <c r="AO839" s="200"/>
      <c r="AP839" s="200"/>
      <c r="AQ839" s="200"/>
      <c r="AR839" s="200"/>
      <c r="AS839" s="200"/>
      <c r="AT839" s="200"/>
      <c r="AU839" s="200"/>
      <c r="AV839" s="200"/>
      <c r="AW839" s="200"/>
      <c r="AX839" s="200"/>
      <c r="AY839" s="200"/>
      <c r="AZ839" s="200"/>
      <c r="BA839" s="200"/>
      <c r="BB839" s="200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</row>
    <row r="840" spans="1:71" ht="13.8">
      <c r="A840" s="1"/>
      <c r="B840" s="1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  <c r="AB840" s="200"/>
      <c r="AC840" s="200"/>
      <c r="AD840" s="200"/>
      <c r="AE840" s="200"/>
      <c r="AF840" s="200"/>
      <c r="AG840" s="200"/>
      <c r="AH840" s="200"/>
      <c r="AI840" s="200"/>
      <c r="AJ840" s="200"/>
      <c r="AK840" s="200"/>
      <c r="AL840" s="200"/>
      <c r="AM840" s="200"/>
      <c r="AN840" s="200"/>
      <c r="AO840" s="200"/>
      <c r="AP840" s="200"/>
      <c r="AQ840" s="200"/>
      <c r="AR840" s="200"/>
      <c r="AS840" s="200"/>
      <c r="AT840" s="200"/>
      <c r="AU840" s="200"/>
      <c r="AV840" s="200"/>
      <c r="AW840" s="200"/>
      <c r="AX840" s="200"/>
      <c r="AY840" s="200"/>
      <c r="AZ840" s="200"/>
      <c r="BA840" s="200"/>
      <c r="BB840" s="200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</row>
    <row r="841" spans="1:71" ht="13.8">
      <c r="A841" s="1"/>
      <c r="B841" s="1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  <c r="AB841" s="200"/>
      <c r="AC841" s="200"/>
      <c r="AD841" s="200"/>
      <c r="AE841" s="200"/>
      <c r="AF841" s="200"/>
      <c r="AG841" s="200"/>
      <c r="AH841" s="200"/>
      <c r="AI841" s="200"/>
      <c r="AJ841" s="200"/>
      <c r="AK841" s="200"/>
      <c r="AL841" s="200"/>
      <c r="AM841" s="200"/>
      <c r="AN841" s="200"/>
      <c r="AO841" s="200"/>
      <c r="AP841" s="200"/>
      <c r="AQ841" s="200"/>
      <c r="AR841" s="200"/>
      <c r="AS841" s="200"/>
      <c r="AT841" s="200"/>
      <c r="AU841" s="200"/>
      <c r="AV841" s="200"/>
      <c r="AW841" s="200"/>
      <c r="AX841" s="200"/>
      <c r="AY841" s="200"/>
      <c r="AZ841" s="200"/>
      <c r="BA841" s="200"/>
      <c r="BB841" s="200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</row>
    <row r="842" spans="1:71" ht="13.8">
      <c r="A842" s="1"/>
      <c r="B842" s="1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  <c r="AB842" s="200"/>
      <c r="AC842" s="200"/>
      <c r="AD842" s="200"/>
      <c r="AE842" s="200"/>
      <c r="AF842" s="200"/>
      <c r="AG842" s="200"/>
      <c r="AH842" s="200"/>
      <c r="AI842" s="200"/>
      <c r="AJ842" s="200"/>
      <c r="AK842" s="200"/>
      <c r="AL842" s="200"/>
      <c r="AM842" s="200"/>
      <c r="AN842" s="200"/>
      <c r="AO842" s="200"/>
      <c r="AP842" s="200"/>
      <c r="AQ842" s="200"/>
      <c r="AR842" s="200"/>
      <c r="AS842" s="200"/>
      <c r="AT842" s="200"/>
      <c r="AU842" s="200"/>
      <c r="AV842" s="200"/>
      <c r="AW842" s="200"/>
      <c r="AX842" s="200"/>
      <c r="AY842" s="200"/>
      <c r="AZ842" s="200"/>
      <c r="BA842" s="200"/>
      <c r="BB842" s="200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</row>
    <row r="843" spans="1:71" ht="13.8">
      <c r="A843" s="1"/>
      <c r="B843" s="1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  <c r="AB843" s="200"/>
      <c r="AC843" s="200"/>
      <c r="AD843" s="200"/>
      <c r="AE843" s="200"/>
      <c r="AF843" s="200"/>
      <c r="AG843" s="200"/>
      <c r="AH843" s="200"/>
      <c r="AI843" s="200"/>
      <c r="AJ843" s="200"/>
      <c r="AK843" s="200"/>
      <c r="AL843" s="200"/>
      <c r="AM843" s="200"/>
      <c r="AN843" s="200"/>
      <c r="AO843" s="200"/>
      <c r="AP843" s="200"/>
      <c r="AQ843" s="200"/>
      <c r="AR843" s="200"/>
      <c r="AS843" s="200"/>
      <c r="AT843" s="200"/>
      <c r="AU843" s="200"/>
      <c r="AV843" s="200"/>
      <c r="AW843" s="200"/>
      <c r="AX843" s="200"/>
      <c r="AY843" s="200"/>
      <c r="AZ843" s="200"/>
      <c r="BA843" s="200"/>
      <c r="BB843" s="200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</row>
    <row r="844" spans="1:71" ht="13.8">
      <c r="A844" s="1"/>
      <c r="B844" s="1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  <c r="AB844" s="200"/>
      <c r="AC844" s="200"/>
      <c r="AD844" s="200"/>
      <c r="AE844" s="200"/>
      <c r="AF844" s="200"/>
      <c r="AG844" s="200"/>
      <c r="AH844" s="200"/>
      <c r="AI844" s="200"/>
      <c r="AJ844" s="200"/>
      <c r="AK844" s="200"/>
      <c r="AL844" s="200"/>
      <c r="AM844" s="200"/>
      <c r="AN844" s="200"/>
      <c r="AO844" s="200"/>
      <c r="AP844" s="200"/>
      <c r="AQ844" s="200"/>
      <c r="AR844" s="200"/>
      <c r="AS844" s="200"/>
      <c r="AT844" s="200"/>
      <c r="AU844" s="200"/>
      <c r="AV844" s="200"/>
      <c r="AW844" s="200"/>
      <c r="AX844" s="200"/>
      <c r="AY844" s="200"/>
      <c r="AZ844" s="200"/>
      <c r="BA844" s="200"/>
      <c r="BB844" s="200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</row>
    <row r="845" spans="1:71" ht="13.8">
      <c r="A845" s="1"/>
      <c r="B845" s="1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  <c r="AB845" s="200"/>
      <c r="AC845" s="200"/>
      <c r="AD845" s="200"/>
      <c r="AE845" s="200"/>
      <c r="AF845" s="200"/>
      <c r="AG845" s="200"/>
      <c r="AH845" s="200"/>
      <c r="AI845" s="200"/>
      <c r="AJ845" s="200"/>
      <c r="AK845" s="200"/>
      <c r="AL845" s="200"/>
      <c r="AM845" s="200"/>
      <c r="AN845" s="200"/>
      <c r="AO845" s="200"/>
      <c r="AP845" s="200"/>
      <c r="AQ845" s="200"/>
      <c r="AR845" s="200"/>
      <c r="AS845" s="200"/>
      <c r="AT845" s="200"/>
      <c r="AU845" s="200"/>
      <c r="AV845" s="200"/>
      <c r="AW845" s="200"/>
      <c r="AX845" s="200"/>
      <c r="AY845" s="200"/>
      <c r="AZ845" s="200"/>
      <c r="BA845" s="200"/>
      <c r="BB845" s="200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</row>
    <row r="846" spans="1:71" ht="13.8">
      <c r="A846" s="1"/>
      <c r="B846" s="1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  <c r="AB846" s="200"/>
      <c r="AC846" s="200"/>
      <c r="AD846" s="200"/>
      <c r="AE846" s="200"/>
      <c r="AF846" s="200"/>
      <c r="AG846" s="200"/>
      <c r="AH846" s="200"/>
      <c r="AI846" s="200"/>
      <c r="AJ846" s="200"/>
      <c r="AK846" s="200"/>
      <c r="AL846" s="200"/>
      <c r="AM846" s="200"/>
      <c r="AN846" s="200"/>
      <c r="AO846" s="200"/>
      <c r="AP846" s="200"/>
      <c r="AQ846" s="200"/>
      <c r="AR846" s="200"/>
      <c r="AS846" s="200"/>
      <c r="AT846" s="200"/>
      <c r="AU846" s="200"/>
      <c r="AV846" s="200"/>
      <c r="AW846" s="200"/>
      <c r="AX846" s="200"/>
      <c r="AY846" s="200"/>
      <c r="AZ846" s="200"/>
      <c r="BA846" s="200"/>
      <c r="BB846" s="200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</row>
    <row r="847" spans="1:71" ht="13.8">
      <c r="A847" s="1"/>
      <c r="B847" s="1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  <c r="AB847" s="200"/>
      <c r="AC847" s="200"/>
      <c r="AD847" s="200"/>
      <c r="AE847" s="200"/>
      <c r="AF847" s="200"/>
      <c r="AG847" s="200"/>
      <c r="AH847" s="200"/>
      <c r="AI847" s="200"/>
      <c r="AJ847" s="200"/>
      <c r="AK847" s="200"/>
      <c r="AL847" s="200"/>
      <c r="AM847" s="200"/>
      <c r="AN847" s="200"/>
      <c r="AO847" s="200"/>
      <c r="AP847" s="200"/>
      <c r="AQ847" s="200"/>
      <c r="AR847" s="200"/>
      <c r="AS847" s="200"/>
      <c r="AT847" s="200"/>
      <c r="AU847" s="200"/>
      <c r="AV847" s="200"/>
      <c r="AW847" s="200"/>
      <c r="AX847" s="200"/>
      <c r="AY847" s="200"/>
      <c r="AZ847" s="200"/>
      <c r="BA847" s="200"/>
      <c r="BB847" s="200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</row>
    <row r="848" spans="1:71" ht="13.8">
      <c r="A848" s="1"/>
      <c r="B848" s="1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  <c r="AB848" s="200"/>
      <c r="AC848" s="200"/>
      <c r="AD848" s="200"/>
      <c r="AE848" s="200"/>
      <c r="AF848" s="200"/>
      <c r="AG848" s="200"/>
      <c r="AH848" s="200"/>
      <c r="AI848" s="200"/>
      <c r="AJ848" s="200"/>
      <c r="AK848" s="200"/>
      <c r="AL848" s="200"/>
      <c r="AM848" s="200"/>
      <c r="AN848" s="200"/>
      <c r="AO848" s="200"/>
      <c r="AP848" s="200"/>
      <c r="AQ848" s="200"/>
      <c r="AR848" s="200"/>
      <c r="AS848" s="200"/>
      <c r="AT848" s="200"/>
      <c r="AU848" s="200"/>
      <c r="AV848" s="200"/>
      <c r="AW848" s="200"/>
      <c r="AX848" s="200"/>
      <c r="AY848" s="200"/>
      <c r="AZ848" s="200"/>
      <c r="BA848" s="200"/>
      <c r="BB848" s="200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</row>
    <row r="849" spans="1:71" ht="13.8">
      <c r="A849" s="1"/>
      <c r="B849" s="1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  <c r="AB849" s="200"/>
      <c r="AC849" s="200"/>
      <c r="AD849" s="200"/>
      <c r="AE849" s="200"/>
      <c r="AF849" s="200"/>
      <c r="AG849" s="200"/>
      <c r="AH849" s="200"/>
      <c r="AI849" s="200"/>
      <c r="AJ849" s="200"/>
      <c r="AK849" s="200"/>
      <c r="AL849" s="200"/>
      <c r="AM849" s="200"/>
      <c r="AN849" s="200"/>
      <c r="AO849" s="200"/>
      <c r="AP849" s="200"/>
      <c r="AQ849" s="200"/>
      <c r="AR849" s="200"/>
      <c r="AS849" s="200"/>
      <c r="AT849" s="200"/>
      <c r="AU849" s="200"/>
      <c r="AV849" s="200"/>
      <c r="AW849" s="200"/>
      <c r="AX849" s="200"/>
      <c r="AY849" s="200"/>
      <c r="AZ849" s="200"/>
      <c r="BA849" s="200"/>
      <c r="BB849" s="200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</row>
    <row r="850" spans="1:71" ht="13.8">
      <c r="A850" s="1"/>
      <c r="B850" s="1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  <c r="AB850" s="200"/>
      <c r="AC850" s="200"/>
      <c r="AD850" s="200"/>
      <c r="AE850" s="200"/>
      <c r="AF850" s="200"/>
      <c r="AG850" s="200"/>
      <c r="AH850" s="200"/>
      <c r="AI850" s="200"/>
      <c r="AJ850" s="200"/>
      <c r="AK850" s="200"/>
      <c r="AL850" s="200"/>
      <c r="AM850" s="200"/>
      <c r="AN850" s="200"/>
      <c r="AO850" s="200"/>
      <c r="AP850" s="200"/>
      <c r="AQ850" s="200"/>
      <c r="AR850" s="200"/>
      <c r="AS850" s="200"/>
      <c r="AT850" s="200"/>
      <c r="AU850" s="200"/>
      <c r="AV850" s="200"/>
      <c r="AW850" s="200"/>
      <c r="AX850" s="200"/>
      <c r="AY850" s="200"/>
      <c r="AZ850" s="200"/>
      <c r="BA850" s="200"/>
      <c r="BB850" s="200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</row>
    <row r="851" spans="1:71" ht="13.8">
      <c r="A851" s="1"/>
      <c r="B851" s="1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  <c r="AB851" s="200"/>
      <c r="AC851" s="200"/>
      <c r="AD851" s="200"/>
      <c r="AE851" s="200"/>
      <c r="AF851" s="200"/>
      <c r="AG851" s="200"/>
      <c r="AH851" s="200"/>
      <c r="AI851" s="200"/>
      <c r="AJ851" s="200"/>
      <c r="AK851" s="200"/>
      <c r="AL851" s="200"/>
      <c r="AM851" s="200"/>
      <c r="AN851" s="200"/>
      <c r="AO851" s="200"/>
      <c r="AP851" s="200"/>
      <c r="AQ851" s="200"/>
      <c r="AR851" s="200"/>
      <c r="AS851" s="200"/>
      <c r="AT851" s="200"/>
      <c r="AU851" s="200"/>
      <c r="AV851" s="200"/>
      <c r="AW851" s="200"/>
      <c r="AX851" s="200"/>
      <c r="AY851" s="200"/>
      <c r="AZ851" s="200"/>
      <c r="BA851" s="200"/>
      <c r="BB851" s="200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</row>
    <row r="852" spans="1:71" ht="13.8">
      <c r="A852" s="1"/>
      <c r="B852" s="1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  <c r="AB852" s="200"/>
      <c r="AC852" s="200"/>
      <c r="AD852" s="200"/>
      <c r="AE852" s="200"/>
      <c r="AF852" s="200"/>
      <c r="AG852" s="200"/>
      <c r="AH852" s="200"/>
      <c r="AI852" s="200"/>
      <c r="AJ852" s="200"/>
      <c r="AK852" s="200"/>
      <c r="AL852" s="200"/>
      <c r="AM852" s="200"/>
      <c r="AN852" s="200"/>
      <c r="AO852" s="200"/>
      <c r="AP852" s="200"/>
      <c r="AQ852" s="200"/>
      <c r="AR852" s="200"/>
      <c r="AS852" s="200"/>
      <c r="AT852" s="200"/>
      <c r="AU852" s="200"/>
      <c r="AV852" s="200"/>
      <c r="AW852" s="200"/>
      <c r="AX852" s="200"/>
      <c r="AY852" s="200"/>
      <c r="AZ852" s="200"/>
      <c r="BA852" s="200"/>
      <c r="BB852" s="200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</row>
    <row r="853" spans="1:71" ht="13.8">
      <c r="A853" s="1"/>
      <c r="B853" s="1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  <c r="AB853" s="200"/>
      <c r="AC853" s="200"/>
      <c r="AD853" s="200"/>
      <c r="AE853" s="200"/>
      <c r="AF853" s="200"/>
      <c r="AG853" s="200"/>
      <c r="AH853" s="200"/>
      <c r="AI853" s="200"/>
      <c r="AJ853" s="200"/>
      <c r="AK853" s="200"/>
      <c r="AL853" s="200"/>
      <c r="AM853" s="200"/>
      <c r="AN853" s="200"/>
      <c r="AO853" s="200"/>
      <c r="AP853" s="200"/>
      <c r="AQ853" s="200"/>
      <c r="AR853" s="200"/>
      <c r="AS853" s="200"/>
      <c r="AT853" s="200"/>
      <c r="AU853" s="200"/>
      <c r="AV853" s="200"/>
      <c r="AW853" s="200"/>
      <c r="AX853" s="200"/>
      <c r="AY853" s="200"/>
      <c r="AZ853" s="200"/>
      <c r="BA853" s="200"/>
      <c r="BB853" s="200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</row>
    <row r="854" spans="1:71" ht="13.8">
      <c r="A854" s="1"/>
      <c r="B854" s="1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  <c r="AB854" s="200"/>
      <c r="AC854" s="200"/>
      <c r="AD854" s="200"/>
      <c r="AE854" s="200"/>
      <c r="AF854" s="200"/>
      <c r="AG854" s="200"/>
      <c r="AH854" s="200"/>
      <c r="AI854" s="200"/>
      <c r="AJ854" s="200"/>
      <c r="AK854" s="200"/>
      <c r="AL854" s="200"/>
      <c r="AM854" s="200"/>
      <c r="AN854" s="200"/>
      <c r="AO854" s="200"/>
      <c r="AP854" s="200"/>
      <c r="AQ854" s="200"/>
      <c r="AR854" s="200"/>
      <c r="AS854" s="200"/>
      <c r="AT854" s="200"/>
      <c r="AU854" s="200"/>
      <c r="AV854" s="200"/>
      <c r="AW854" s="200"/>
      <c r="AX854" s="200"/>
      <c r="AY854" s="200"/>
      <c r="AZ854" s="200"/>
      <c r="BA854" s="200"/>
      <c r="BB854" s="200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</row>
    <row r="855" spans="1:71" ht="13.8">
      <c r="A855" s="1"/>
      <c r="B855" s="1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  <c r="AH855" s="200"/>
      <c r="AI855" s="200"/>
      <c r="AJ855" s="200"/>
      <c r="AK855" s="200"/>
      <c r="AL855" s="200"/>
      <c r="AM855" s="200"/>
      <c r="AN855" s="200"/>
      <c r="AO855" s="200"/>
      <c r="AP855" s="200"/>
      <c r="AQ855" s="200"/>
      <c r="AR855" s="200"/>
      <c r="AS855" s="200"/>
      <c r="AT855" s="200"/>
      <c r="AU855" s="200"/>
      <c r="AV855" s="200"/>
      <c r="AW855" s="200"/>
      <c r="AX855" s="200"/>
      <c r="AY855" s="200"/>
      <c r="AZ855" s="200"/>
      <c r="BA855" s="200"/>
      <c r="BB855" s="200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</row>
    <row r="856" spans="1:71" ht="13.8">
      <c r="A856" s="1"/>
      <c r="B856" s="1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  <c r="AB856" s="200"/>
      <c r="AC856" s="200"/>
      <c r="AD856" s="200"/>
      <c r="AE856" s="200"/>
      <c r="AF856" s="200"/>
      <c r="AG856" s="200"/>
      <c r="AH856" s="200"/>
      <c r="AI856" s="200"/>
      <c r="AJ856" s="200"/>
      <c r="AK856" s="200"/>
      <c r="AL856" s="200"/>
      <c r="AM856" s="200"/>
      <c r="AN856" s="200"/>
      <c r="AO856" s="200"/>
      <c r="AP856" s="200"/>
      <c r="AQ856" s="200"/>
      <c r="AR856" s="200"/>
      <c r="AS856" s="200"/>
      <c r="AT856" s="200"/>
      <c r="AU856" s="200"/>
      <c r="AV856" s="200"/>
      <c r="AW856" s="200"/>
      <c r="AX856" s="200"/>
      <c r="AY856" s="200"/>
      <c r="AZ856" s="200"/>
      <c r="BA856" s="200"/>
      <c r="BB856" s="200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</row>
    <row r="857" spans="1:71" ht="13.8">
      <c r="A857" s="1"/>
      <c r="B857" s="1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  <c r="AB857" s="200"/>
      <c r="AC857" s="200"/>
      <c r="AD857" s="200"/>
      <c r="AE857" s="200"/>
      <c r="AF857" s="200"/>
      <c r="AG857" s="200"/>
      <c r="AH857" s="200"/>
      <c r="AI857" s="200"/>
      <c r="AJ857" s="200"/>
      <c r="AK857" s="200"/>
      <c r="AL857" s="200"/>
      <c r="AM857" s="200"/>
      <c r="AN857" s="200"/>
      <c r="AO857" s="200"/>
      <c r="AP857" s="200"/>
      <c r="AQ857" s="200"/>
      <c r="AR857" s="200"/>
      <c r="AS857" s="200"/>
      <c r="AT857" s="200"/>
      <c r="AU857" s="200"/>
      <c r="AV857" s="200"/>
      <c r="AW857" s="200"/>
      <c r="AX857" s="200"/>
      <c r="AY857" s="200"/>
      <c r="AZ857" s="200"/>
      <c r="BA857" s="200"/>
      <c r="BB857" s="200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</row>
    <row r="858" spans="1:71" ht="13.8">
      <c r="A858" s="1"/>
      <c r="B858" s="1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  <c r="AB858" s="200"/>
      <c r="AC858" s="200"/>
      <c r="AD858" s="200"/>
      <c r="AE858" s="200"/>
      <c r="AF858" s="200"/>
      <c r="AG858" s="200"/>
      <c r="AH858" s="200"/>
      <c r="AI858" s="200"/>
      <c r="AJ858" s="200"/>
      <c r="AK858" s="200"/>
      <c r="AL858" s="200"/>
      <c r="AM858" s="200"/>
      <c r="AN858" s="200"/>
      <c r="AO858" s="200"/>
      <c r="AP858" s="200"/>
      <c r="AQ858" s="200"/>
      <c r="AR858" s="200"/>
      <c r="AS858" s="200"/>
      <c r="AT858" s="200"/>
      <c r="AU858" s="200"/>
      <c r="AV858" s="200"/>
      <c r="AW858" s="200"/>
      <c r="AX858" s="200"/>
      <c r="AY858" s="200"/>
      <c r="AZ858" s="200"/>
      <c r="BA858" s="200"/>
      <c r="BB858" s="200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</row>
    <row r="859" spans="1:71" ht="13.8">
      <c r="A859" s="1"/>
      <c r="B859" s="1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  <c r="AB859" s="200"/>
      <c r="AC859" s="200"/>
      <c r="AD859" s="200"/>
      <c r="AE859" s="200"/>
      <c r="AF859" s="200"/>
      <c r="AG859" s="200"/>
      <c r="AH859" s="200"/>
      <c r="AI859" s="200"/>
      <c r="AJ859" s="200"/>
      <c r="AK859" s="200"/>
      <c r="AL859" s="200"/>
      <c r="AM859" s="200"/>
      <c r="AN859" s="200"/>
      <c r="AO859" s="200"/>
      <c r="AP859" s="200"/>
      <c r="AQ859" s="200"/>
      <c r="AR859" s="200"/>
      <c r="AS859" s="200"/>
      <c r="AT859" s="200"/>
      <c r="AU859" s="200"/>
      <c r="AV859" s="200"/>
      <c r="AW859" s="200"/>
      <c r="AX859" s="200"/>
      <c r="AY859" s="200"/>
      <c r="AZ859" s="200"/>
      <c r="BA859" s="200"/>
      <c r="BB859" s="200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</row>
    <row r="860" spans="1:71" ht="13.8">
      <c r="A860" s="1"/>
      <c r="B860" s="1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  <c r="AB860" s="200"/>
      <c r="AC860" s="200"/>
      <c r="AD860" s="200"/>
      <c r="AE860" s="200"/>
      <c r="AF860" s="200"/>
      <c r="AG860" s="200"/>
      <c r="AH860" s="200"/>
      <c r="AI860" s="200"/>
      <c r="AJ860" s="200"/>
      <c r="AK860" s="200"/>
      <c r="AL860" s="200"/>
      <c r="AM860" s="200"/>
      <c r="AN860" s="200"/>
      <c r="AO860" s="200"/>
      <c r="AP860" s="200"/>
      <c r="AQ860" s="200"/>
      <c r="AR860" s="200"/>
      <c r="AS860" s="200"/>
      <c r="AT860" s="200"/>
      <c r="AU860" s="200"/>
      <c r="AV860" s="200"/>
      <c r="AW860" s="200"/>
      <c r="AX860" s="200"/>
      <c r="AY860" s="200"/>
      <c r="AZ860" s="200"/>
      <c r="BA860" s="200"/>
      <c r="BB860" s="200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</row>
    <row r="861" spans="1:71" ht="13.8">
      <c r="A861" s="1"/>
      <c r="B861" s="1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  <c r="AH861" s="200"/>
      <c r="AI861" s="200"/>
      <c r="AJ861" s="200"/>
      <c r="AK861" s="200"/>
      <c r="AL861" s="200"/>
      <c r="AM861" s="200"/>
      <c r="AN861" s="200"/>
      <c r="AO861" s="200"/>
      <c r="AP861" s="200"/>
      <c r="AQ861" s="200"/>
      <c r="AR861" s="200"/>
      <c r="AS861" s="200"/>
      <c r="AT861" s="200"/>
      <c r="AU861" s="200"/>
      <c r="AV861" s="200"/>
      <c r="AW861" s="200"/>
      <c r="AX861" s="200"/>
      <c r="AY861" s="200"/>
      <c r="AZ861" s="200"/>
      <c r="BA861" s="200"/>
      <c r="BB861" s="200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</row>
    <row r="862" spans="1:71" ht="13.8">
      <c r="A862" s="1"/>
      <c r="B862" s="1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  <c r="AB862" s="200"/>
      <c r="AC862" s="200"/>
      <c r="AD862" s="200"/>
      <c r="AE862" s="200"/>
      <c r="AF862" s="200"/>
      <c r="AG862" s="200"/>
      <c r="AH862" s="200"/>
      <c r="AI862" s="200"/>
      <c r="AJ862" s="200"/>
      <c r="AK862" s="200"/>
      <c r="AL862" s="200"/>
      <c r="AM862" s="200"/>
      <c r="AN862" s="200"/>
      <c r="AO862" s="200"/>
      <c r="AP862" s="200"/>
      <c r="AQ862" s="200"/>
      <c r="AR862" s="200"/>
      <c r="AS862" s="200"/>
      <c r="AT862" s="200"/>
      <c r="AU862" s="200"/>
      <c r="AV862" s="200"/>
      <c r="AW862" s="200"/>
      <c r="AX862" s="200"/>
      <c r="AY862" s="200"/>
      <c r="AZ862" s="200"/>
      <c r="BA862" s="200"/>
      <c r="BB862" s="200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</row>
    <row r="863" spans="1:71" ht="13.8">
      <c r="A863" s="1"/>
      <c r="B863" s="1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  <c r="AB863" s="200"/>
      <c r="AC863" s="200"/>
      <c r="AD863" s="200"/>
      <c r="AE863" s="200"/>
      <c r="AF863" s="200"/>
      <c r="AG863" s="200"/>
      <c r="AH863" s="200"/>
      <c r="AI863" s="200"/>
      <c r="AJ863" s="200"/>
      <c r="AK863" s="200"/>
      <c r="AL863" s="200"/>
      <c r="AM863" s="200"/>
      <c r="AN863" s="200"/>
      <c r="AO863" s="200"/>
      <c r="AP863" s="200"/>
      <c r="AQ863" s="200"/>
      <c r="AR863" s="200"/>
      <c r="AS863" s="200"/>
      <c r="AT863" s="200"/>
      <c r="AU863" s="200"/>
      <c r="AV863" s="200"/>
      <c r="AW863" s="200"/>
      <c r="AX863" s="200"/>
      <c r="AY863" s="200"/>
      <c r="AZ863" s="200"/>
      <c r="BA863" s="200"/>
      <c r="BB863" s="200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</row>
    <row r="864" spans="1:71" ht="13.8">
      <c r="A864" s="1"/>
      <c r="B864" s="1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  <c r="AB864" s="200"/>
      <c r="AC864" s="200"/>
      <c r="AD864" s="200"/>
      <c r="AE864" s="200"/>
      <c r="AF864" s="200"/>
      <c r="AG864" s="200"/>
      <c r="AH864" s="200"/>
      <c r="AI864" s="200"/>
      <c r="AJ864" s="200"/>
      <c r="AK864" s="200"/>
      <c r="AL864" s="200"/>
      <c r="AM864" s="200"/>
      <c r="AN864" s="200"/>
      <c r="AO864" s="200"/>
      <c r="AP864" s="200"/>
      <c r="AQ864" s="200"/>
      <c r="AR864" s="200"/>
      <c r="AS864" s="200"/>
      <c r="AT864" s="200"/>
      <c r="AU864" s="200"/>
      <c r="AV864" s="200"/>
      <c r="AW864" s="200"/>
      <c r="AX864" s="200"/>
      <c r="AY864" s="200"/>
      <c r="AZ864" s="200"/>
      <c r="BA864" s="200"/>
      <c r="BB864" s="200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</row>
    <row r="865" spans="1:71" ht="13.8">
      <c r="A865" s="1"/>
      <c r="B865" s="1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  <c r="AB865" s="200"/>
      <c r="AC865" s="200"/>
      <c r="AD865" s="200"/>
      <c r="AE865" s="200"/>
      <c r="AF865" s="200"/>
      <c r="AG865" s="200"/>
      <c r="AH865" s="200"/>
      <c r="AI865" s="200"/>
      <c r="AJ865" s="200"/>
      <c r="AK865" s="200"/>
      <c r="AL865" s="200"/>
      <c r="AM865" s="200"/>
      <c r="AN865" s="200"/>
      <c r="AO865" s="200"/>
      <c r="AP865" s="200"/>
      <c r="AQ865" s="200"/>
      <c r="AR865" s="200"/>
      <c r="AS865" s="200"/>
      <c r="AT865" s="200"/>
      <c r="AU865" s="200"/>
      <c r="AV865" s="200"/>
      <c r="AW865" s="200"/>
      <c r="AX865" s="200"/>
      <c r="AY865" s="200"/>
      <c r="AZ865" s="200"/>
      <c r="BA865" s="200"/>
      <c r="BB865" s="200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</row>
    <row r="866" spans="1:71" ht="13.8">
      <c r="A866" s="1"/>
      <c r="B866" s="1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0"/>
      <c r="AK866" s="200"/>
      <c r="AL866" s="200"/>
      <c r="AM866" s="200"/>
      <c r="AN866" s="200"/>
      <c r="AO866" s="200"/>
      <c r="AP866" s="200"/>
      <c r="AQ866" s="200"/>
      <c r="AR866" s="200"/>
      <c r="AS866" s="200"/>
      <c r="AT866" s="200"/>
      <c r="AU866" s="200"/>
      <c r="AV866" s="200"/>
      <c r="AW866" s="200"/>
      <c r="AX866" s="200"/>
      <c r="AY866" s="200"/>
      <c r="AZ866" s="200"/>
      <c r="BA866" s="200"/>
      <c r="BB866" s="200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</row>
    <row r="867" spans="1:71" ht="13.8">
      <c r="A867" s="1"/>
      <c r="B867" s="1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  <c r="AB867" s="200"/>
      <c r="AC867" s="200"/>
      <c r="AD867" s="200"/>
      <c r="AE867" s="200"/>
      <c r="AF867" s="200"/>
      <c r="AG867" s="200"/>
      <c r="AH867" s="200"/>
      <c r="AI867" s="200"/>
      <c r="AJ867" s="200"/>
      <c r="AK867" s="200"/>
      <c r="AL867" s="200"/>
      <c r="AM867" s="200"/>
      <c r="AN867" s="200"/>
      <c r="AO867" s="200"/>
      <c r="AP867" s="200"/>
      <c r="AQ867" s="200"/>
      <c r="AR867" s="200"/>
      <c r="AS867" s="200"/>
      <c r="AT867" s="200"/>
      <c r="AU867" s="200"/>
      <c r="AV867" s="200"/>
      <c r="AW867" s="200"/>
      <c r="AX867" s="200"/>
      <c r="AY867" s="200"/>
      <c r="AZ867" s="200"/>
      <c r="BA867" s="200"/>
      <c r="BB867" s="200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</row>
    <row r="868" spans="1:71" ht="13.8">
      <c r="A868" s="1"/>
      <c r="B868" s="1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  <c r="AB868" s="200"/>
      <c r="AC868" s="200"/>
      <c r="AD868" s="200"/>
      <c r="AE868" s="200"/>
      <c r="AF868" s="200"/>
      <c r="AG868" s="200"/>
      <c r="AH868" s="200"/>
      <c r="AI868" s="200"/>
      <c r="AJ868" s="200"/>
      <c r="AK868" s="200"/>
      <c r="AL868" s="200"/>
      <c r="AM868" s="200"/>
      <c r="AN868" s="200"/>
      <c r="AO868" s="200"/>
      <c r="AP868" s="200"/>
      <c r="AQ868" s="200"/>
      <c r="AR868" s="200"/>
      <c r="AS868" s="200"/>
      <c r="AT868" s="200"/>
      <c r="AU868" s="200"/>
      <c r="AV868" s="200"/>
      <c r="AW868" s="200"/>
      <c r="AX868" s="200"/>
      <c r="AY868" s="200"/>
      <c r="AZ868" s="200"/>
      <c r="BA868" s="200"/>
      <c r="BB868" s="200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</row>
    <row r="869" spans="1:71" ht="13.8">
      <c r="A869" s="1"/>
      <c r="B869" s="1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  <c r="AB869" s="200"/>
      <c r="AC869" s="200"/>
      <c r="AD869" s="200"/>
      <c r="AE869" s="200"/>
      <c r="AF869" s="200"/>
      <c r="AG869" s="200"/>
      <c r="AH869" s="200"/>
      <c r="AI869" s="200"/>
      <c r="AJ869" s="200"/>
      <c r="AK869" s="200"/>
      <c r="AL869" s="200"/>
      <c r="AM869" s="200"/>
      <c r="AN869" s="200"/>
      <c r="AO869" s="200"/>
      <c r="AP869" s="200"/>
      <c r="AQ869" s="200"/>
      <c r="AR869" s="200"/>
      <c r="AS869" s="200"/>
      <c r="AT869" s="200"/>
      <c r="AU869" s="200"/>
      <c r="AV869" s="200"/>
      <c r="AW869" s="200"/>
      <c r="AX869" s="200"/>
      <c r="AY869" s="200"/>
      <c r="AZ869" s="200"/>
      <c r="BA869" s="200"/>
      <c r="BB869" s="200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</row>
    <row r="870" spans="1:71" ht="13.8">
      <c r="A870" s="1"/>
      <c r="B870" s="1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  <c r="AB870" s="200"/>
      <c r="AC870" s="200"/>
      <c r="AD870" s="200"/>
      <c r="AE870" s="200"/>
      <c r="AF870" s="200"/>
      <c r="AG870" s="200"/>
      <c r="AH870" s="200"/>
      <c r="AI870" s="200"/>
      <c r="AJ870" s="200"/>
      <c r="AK870" s="200"/>
      <c r="AL870" s="200"/>
      <c r="AM870" s="200"/>
      <c r="AN870" s="200"/>
      <c r="AO870" s="200"/>
      <c r="AP870" s="200"/>
      <c r="AQ870" s="200"/>
      <c r="AR870" s="200"/>
      <c r="AS870" s="200"/>
      <c r="AT870" s="200"/>
      <c r="AU870" s="200"/>
      <c r="AV870" s="200"/>
      <c r="AW870" s="200"/>
      <c r="AX870" s="200"/>
      <c r="AY870" s="200"/>
      <c r="AZ870" s="200"/>
      <c r="BA870" s="200"/>
      <c r="BB870" s="200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</row>
    <row r="871" spans="1:71" ht="13.8">
      <c r="A871" s="1"/>
      <c r="B871" s="1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  <c r="AB871" s="200"/>
      <c r="AC871" s="200"/>
      <c r="AD871" s="200"/>
      <c r="AE871" s="200"/>
      <c r="AF871" s="200"/>
      <c r="AG871" s="200"/>
      <c r="AH871" s="200"/>
      <c r="AI871" s="200"/>
      <c r="AJ871" s="200"/>
      <c r="AK871" s="200"/>
      <c r="AL871" s="200"/>
      <c r="AM871" s="200"/>
      <c r="AN871" s="200"/>
      <c r="AO871" s="200"/>
      <c r="AP871" s="200"/>
      <c r="AQ871" s="200"/>
      <c r="AR871" s="200"/>
      <c r="AS871" s="200"/>
      <c r="AT871" s="200"/>
      <c r="AU871" s="200"/>
      <c r="AV871" s="200"/>
      <c r="AW871" s="200"/>
      <c r="AX871" s="200"/>
      <c r="AY871" s="200"/>
      <c r="AZ871" s="200"/>
      <c r="BA871" s="200"/>
      <c r="BB871" s="200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</row>
    <row r="872" spans="1:71" ht="13.8">
      <c r="A872" s="1"/>
      <c r="B872" s="1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  <c r="AH872" s="200"/>
      <c r="AI872" s="200"/>
      <c r="AJ872" s="200"/>
      <c r="AK872" s="200"/>
      <c r="AL872" s="200"/>
      <c r="AM872" s="200"/>
      <c r="AN872" s="200"/>
      <c r="AO872" s="200"/>
      <c r="AP872" s="200"/>
      <c r="AQ872" s="200"/>
      <c r="AR872" s="200"/>
      <c r="AS872" s="200"/>
      <c r="AT872" s="200"/>
      <c r="AU872" s="200"/>
      <c r="AV872" s="200"/>
      <c r="AW872" s="200"/>
      <c r="AX872" s="200"/>
      <c r="AY872" s="200"/>
      <c r="AZ872" s="200"/>
      <c r="BA872" s="200"/>
      <c r="BB872" s="200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</row>
    <row r="873" spans="1:71" ht="13.8">
      <c r="A873" s="1"/>
      <c r="B873" s="1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  <c r="AB873" s="200"/>
      <c r="AC873" s="200"/>
      <c r="AD873" s="200"/>
      <c r="AE873" s="200"/>
      <c r="AF873" s="200"/>
      <c r="AG873" s="200"/>
      <c r="AH873" s="200"/>
      <c r="AI873" s="200"/>
      <c r="AJ873" s="200"/>
      <c r="AK873" s="200"/>
      <c r="AL873" s="200"/>
      <c r="AM873" s="200"/>
      <c r="AN873" s="200"/>
      <c r="AO873" s="200"/>
      <c r="AP873" s="200"/>
      <c r="AQ873" s="200"/>
      <c r="AR873" s="200"/>
      <c r="AS873" s="200"/>
      <c r="AT873" s="200"/>
      <c r="AU873" s="200"/>
      <c r="AV873" s="200"/>
      <c r="AW873" s="200"/>
      <c r="AX873" s="200"/>
      <c r="AY873" s="200"/>
      <c r="AZ873" s="200"/>
      <c r="BA873" s="200"/>
      <c r="BB873" s="200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</row>
    <row r="874" spans="1:71" ht="13.8">
      <c r="A874" s="1"/>
      <c r="B874" s="1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  <c r="AB874" s="200"/>
      <c r="AC874" s="200"/>
      <c r="AD874" s="200"/>
      <c r="AE874" s="200"/>
      <c r="AF874" s="200"/>
      <c r="AG874" s="200"/>
      <c r="AH874" s="200"/>
      <c r="AI874" s="200"/>
      <c r="AJ874" s="200"/>
      <c r="AK874" s="200"/>
      <c r="AL874" s="200"/>
      <c r="AM874" s="200"/>
      <c r="AN874" s="200"/>
      <c r="AO874" s="200"/>
      <c r="AP874" s="200"/>
      <c r="AQ874" s="200"/>
      <c r="AR874" s="200"/>
      <c r="AS874" s="200"/>
      <c r="AT874" s="200"/>
      <c r="AU874" s="200"/>
      <c r="AV874" s="200"/>
      <c r="AW874" s="200"/>
      <c r="AX874" s="200"/>
      <c r="AY874" s="200"/>
      <c r="AZ874" s="200"/>
      <c r="BA874" s="200"/>
      <c r="BB874" s="200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</row>
    <row r="875" spans="1:71" ht="13.8">
      <c r="A875" s="1"/>
      <c r="B875" s="1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  <c r="AB875" s="200"/>
      <c r="AC875" s="200"/>
      <c r="AD875" s="200"/>
      <c r="AE875" s="200"/>
      <c r="AF875" s="200"/>
      <c r="AG875" s="200"/>
      <c r="AH875" s="200"/>
      <c r="AI875" s="200"/>
      <c r="AJ875" s="200"/>
      <c r="AK875" s="200"/>
      <c r="AL875" s="200"/>
      <c r="AM875" s="200"/>
      <c r="AN875" s="200"/>
      <c r="AO875" s="200"/>
      <c r="AP875" s="200"/>
      <c r="AQ875" s="200"/>
      <c r="AR875" s="200"/>
      <c r="AS875" s="200"/>
      <c r="AT875" s="200"/>
      <c r="AU875" s="200"/>
      <c r="AV875" s="200"/>
      <c r="AW875" s="200"/>
      <c r="AX875" s="200"/>
      <c r="AY875" s="200"/>
      <c r="AZ875" s="200"/>
      <c r="BA875" s="200"/>
      <c r="BB875" s="200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</row>
    <row r="876" spans="1:71" ht="13.8">
      <c r="A876" s="1"/>
      <c r="B876" s="1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  <c r="AB876" s="200"/>
      <c r="AC876" s="200"/>
      <c r="AD876" s="200"/>
      <c r="AE876" s="200"/>
      <c r="AF876" s="200"/>
      <c r="AG876" s="200"/>
      <c r="AH876" s="200"/>
      <c r="AI876" s="200"/>
      <c r="AJ876" s="200"/>
      <c r="AK876" s="200"/>
      <c r="AL876" s="200"/>
      <c r="AM876" s="200"/>
      <c r="AN876" s="200"/>
      <c r="AO876" s="200"/>
      <c r="AP876" s="200"/>
      <c r="AQ876" s="200"/>
      <c r="AR876" s="200"/>
      <c r="AS876" s="200"/>
      <c r="AT876" s="200"/>
      <c r="AU876" s="200"/>
      <c r="AV876" s="200"/>
      <c r="AW876" s="200"/>
      <c r="AX876" s="200"/>
      <c r="AY876" s="200"/>
      <c r="AZ876" s="200"/>
      <c r="BA876" s="200"/>
      <c r="BB876" s="200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</row>
    <row r="877" spans="1:71" ht="13.8">
      <c r="A877" s="1"/>
      <c r="B877" s="1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  <c r="AH877" s="200"/>
      <c r="AI877" s="200"/>
      <c r="AJ877" s="200"/>
      <c r="AK877" s="200"/>
      <c r="AL877" s="200"/>
      <c r="AM877" s="200"/>
      <c r="AN877" s="200"/>
      <c r="AO877" s="200"/>
      <c r="AP877" s="200"/>
      <c r="AQ877" s="200"/>
      <c r="AR877" s="200"/>
      <c r="AS877" s="200"/>
      <c r="AT877" s="200"/>
      <c r="AU877" s="200"/>
      <c r="AV877" s="200"/>
      <c r="AW877" s="200"/>
      <c r="AX877" s="200"/>
      <c r="AY877" s="200"/>
      <c r="AZ877" s="200"/>
      <c r="BA877" s="200"/>
      <c r="BB877" s="200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</row>
    <row r="878" spans="1:71" ht="13.8">
      <c r="A878" s="1"/>
      <c r="B878" s="1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  <c r="AB878" s="200"/>
      <c r="AC878" s="200"/>
      <c r="AD878" s="200"/>
      <c r="AE878" s="200"/>
      <c r="AF878" s="200"/>
      <c r="AG878" s="200"/>
      <c r="AH878" s="200"/>
      <c r="AI878" s="200"/>
      <c r="AJ878" s="200"/>
      <c r="AK878" s="200"/>
      <c r="AL878" s="200"/>
      <c r="AM878" s="200"/>
      <c r="AN878" s="200"/>
      <c r="AO878" s="200"/>
      <c r="AP878" s="200"/>
      <c r="AQ878" s="200"/>
      <c r="AR878" s="200"/>
      <c r="AS878" s="200"/>
      <c r="AT878" s="200"/>
      <c r="AU878" s="200"/>
      <c r="AV878" s="200"/>
      <c r="AW878" s="200"/>
      <c r="AX878" s="200"/>
      <c r="AY878" s="200"/>
      <c r="AZ878" s="200"/>
      <c r="BA878" s="200"/>
      <c r="BB878" s="200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</row>
    <row r="879" spans="1:71" ht="13.8">
      <c r="A879" s="1"/>
      <c r="B879" s="1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  <c r="AB879" s="200"/>
      <c r="AC879" s="200"/>
      <c r="AD879" s="200"/>
      <c r="AE879" s="200"/>
      <c r="AF879" s="200"/>
      <c r="AG879" s="200"/>
      <c r="AH879" s="200"/>
      <c r="AI879" s="200"/>
      <c r="AJ879" s="200"/>
      <c r="AK879" s="200"/>
      <c r="AL879" s="200"/>
      <c r="AM879" s="200"/>
      <c r="AN879" s="200"/>
      <c r="AO879" s="200"/>
      <c r="AP879" s="200"/>
      <c r="AQ879" s="200"/>
      <c r="AR879" s="200"/>
      <c r="AS879" s="200"/>
      <c r="AT879" s="200"/>
      <c r="AU879" s="200"/>
      <c r="AV879" s="200"/>
      <c r="AW879" s="200"/>
      <c r="AX879" s="200"/>
      <c r="AY879" s="200"/>
      <c r="AZ879" s="200"/>
      <c r="BA879" s="200"/>
      <c r="BB879" s="200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</row>
    <row r="880" spans="1:71" ht="13.8">
      <c r="A880" s="1"/>
      <c r="B880" s="1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  <c r="AB880" s="200"/>
      <c r="AC880" s="200"/>
      <c r="AD880" s="200"/>
      <c r="AE880" s="200"/>
      <c r="AF880" s="200"/>
      <c r="AG880" s="200"/>
      <c r="AH880" s="200"/>
      <c r="AI880" s="200"/>
      <c r="AJ880" s="200"/>
      <c r="AK880" s="200"/>
      <c r="AL880" s="200"/>
      <c r="AM880" s="200"/>
      <c r="AN880" s="200"/>
      <c r="AO880" s="200"/>
      <c r="AP880" s="200"/>
      <c r="AQ880" s="200"/>
      <c r="AR880" s="200"/>
      <c r="AS880" s="200"/>
      <c r="AT880" s="200"/>
      <c r="AU880" s="200"/>
      <c r="AV880" s="200"/>
      <c r="AW880" s="200"/>
      <c r="AX880" s="200"/>
      <c r="AY880" s="200"/>
      <c r="AZ880" s="200"/>
      <c r="BA880" s="200"/>
      <c r="BB880" s="200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</row>
    <row r="881" spans="1:71" ht="13.8">
      <c r="A881" s="1"/>
      <c r="B881" s="1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  <c r="AB881" s="200"/>
      <c r="AC881" s="200"/>
      <c r="AD881" s="200"/>
      <c r="AE881" s="200"/>
      <c r="AF881" s="200"/>
      <c r="AG881" s="200"/>
      <c r="AH881" s="200"/>
      <c r="AI881" s="200"/>
      <c r="AJ881" s="200"/>
      <c r="AK881" s="200"/>
      <c r="AL881" s="200"/>
      <c r="AM881" s="200"/>
      <c r="AN881" s="200"/>
      <c r="AO881" s="200"/>
      <c r="AP881" s="200"/>
      <c r="AQ881" s="200"/>
      <c r="AR881" s="200"/>
      <c r="AS881" s="200"/>
      <c r="AT881" s="200"/>
      <c r="AU881" s="200"/>
      <c r="AV881" s="200"/>
      <c r="AW881" s="200"/>
      <c r="AX881" s="200"/>
      <c r="AY881" s="200"/>
      <c r="AZ881" s="200"/>
      <c r="BA881" s="200"/>
      <c r="BB881" s="200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</row>
    <row r="882" spans="1:71" ht="13.8">
      <c r="A882" s="1"/>
      <c r="B882" s="1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  <c r="AB882" s="200"/>
      <c r="AC882" s="200"/>
      <c r="AD882" s="200"/>
      <c r="AE882" s="200"/>
      <c r="AF882" s="200"/>
      <c r="AG882" s="200"/>
      <c r="AH882" s="200"/>
      <c r="AI882" s="200"/>
      <c r="AJ882" s="200"/>
      <c r="AK882" s="200"/>
      <c r="AL882" s="200"/>
      <c r="AM882" s="200"/>
      <c r="AN882" s="200"/>
      <c r="AO882" s="200"/>
      <c r="AP882" s="200"/>
      <c r="AQ882" s="200"/>
      <c r="AR882" s="200"/>
      <c r="AS882" s="200"/>
      <c r="AT882" s="200"/>
      <c r="AU882" s="200"/>
      <c r="AV882" s="200"/>
      <c r="AW882" s="200"/>
      <c r="AX882" s="200"/>
      <c r="AY882" s="200"/>
      <c r="AZ882" s="200"/>
      <c r="BA882" s="200"/>
      <c r="BB882" s="200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</row>
    <row r="883" spans="1:71" ht="13.8">
      <c r="A883" s="1"/>
      <c r="B883" s="1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0"/>
      <c r="AK883" s="200"/>
      <c r="AL883" s="200"/>
      <c r="AM883" s="200"/>
      <c r="AN883" s="200"/>
      <c r="AO883" s="200"/>
      <c r="AP883" s="200"/>
      <c r="AQ883" s="200"/>
      <c r="AR883" s="200"/>
      <c r="AS883" s="200"/>
      <c r="AT883" s="200"/>
      <c r="AU883" s="200"/>
      <c r="AV883" s="200"/>
      <c r="AW883" s="200"/>
      <c r="AX883" s="200"/>
      <c r="AY883" s="200"/>
      <c r="AZ883" s="200"/>
      <c r="BA883" s="200"/>
      <c r="BB883" s="200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</row>
    <row r="884" spans="1:71" ht="13.8">
      <c r="A884" s="1"/>
      <c r="B884" s="1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  <c r="AB884" s="200"/>
      <c r="AC884" s="200"/>
      <c r="AD884" s="200"/>
      <c r="AE884" s="200"/>
      <c r="AF884" s="200"/>
      <c r="AG884" s="200"/>
      <c r="AH884" s="200"/>
      <c r="AI884" s="200"/>
      <c r="AJ884" s="200"/>
      <c r="AK884" s="200"/>
      <c r="AL884" s="200"/>
      <c r="AM884" s="200"/>
      <c r="AN884" s="200"/>
      <c r="AO884" s="200"/>
      <c r="AP884" s="200"/>
      <c r="AQ884" s="200"/>
      <c r="AR884" s="200"/>
      <c r="AS884" s="200"/>
      <c r="AT884" s="200"/>
      <c r="AU884" s="200"/>
      <c r="AV884" s="200"/>
      <c r="AW884" s="200"/>
      <c r="AX884" s="200"/>
      <c r="AY884" s="200"/>
      <c r="AZ884" s="200"/>
      <c r="BA884" s="200"/>
      <c r="BB884" s="200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</row>
    <row r="885" spans="1:71" ht="13.8">
      <c r="A885" s="1"/>
      <c r="B885" s="1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  <c r="AB885" s="200"/>
      <c r="AC885" s="200"/>
      <c r="AD885" s="200"/>
      <c r="AE885" s="200"/>
      <c r="AF885" s="200"/>
      <c r="AG885" s="200"/>
      <c r="AH885" s="200"/>
      <c r="AI885" s="200"/>
      <c r="AJ885" s="200"/>
      <c r="AK885" s="200"/>
      <c r="AL885" s="200"/>
      <c r="AM885" s="200"/>
      <c r="AN885" s="200"/>
      <c r="AO885" s="200"/>
      <c r="AP885" s="200"/>
      <c r="AQ885" s="200"/>
      <c r="AR885" s="200"/>
      <c r="AS885" s="200"/>
      <c r="AT885" s="200"/>
      <c r="AU885" s="200"/>
      <c r="AV885" s="200"/>
      <c r="AW885" s="200"/>
      <c r="AX885" s="200"/>
      <c r="AY885" s="200"/>
      <c r="AZ885" s="200"/>
      <c r="BA885" s="200"/>
      <c r="BB885" s="200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</row>
    <row r="886" spans="1:71" ht="13.8">
      <c r="A886" s="1"/>
      <c r="B886" s="1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  <c r="AB886" s="200"/>
      <c r="AC886" s="200"/>
      <c r="AD886" s="200"/>
      <c r="AE886" s="200"/>
      <c r="AF886" s="200"/>
      <c r="AG886" s="200"/>
      <c r="AH886" s="200"/>
      <c r="AI886" s="200"/>
      <c r="AJ886" s="200"/>
      <c r="AK886" s="200"/>
      <c r="AL886" s="200"/>
      <c r="AM886" s="200"/>
      <c r="AN886" s="200"/>
      <c r="AO886" s="200"/>
      <c r="AP886" s="200"/>
      <c r="AQ886" s="200"/>
      <c r="AR886" s="200"/>
      <c r="AS886" s="200"/>
      <c r="AT886" s="200"/>
      <c r="AU886" s="200"/>
      <c r="AV886" s="200"/>
      <c r="AW886" s="200"/>
      <c r="AX886" s="200"/>
      <c r="AY886" s="200"/>
      <c r="AZ886" s="200"/>
      <c r="BA886" s="200"/>
      <c r="BB886" s="200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</row>
    <row r="887" spans="1:71" ht="13.8">
      <c r="A887" s="1"/>
      <c r="B887" s="1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  <c r="AH887" s="200"/>
      <c r="AI887" s="200"/>
      <c r="AJ887" s="200"/>
      <c r="AK887" s="200"/>
      <c r="AL887" s="200"/>
      <c r="AM887" s="200"/>
      <c r="AN887" s="200"/>
      <c r="AO887" s="200"/>
      <c r="AP887" s="200"/>
      <c r="AQ887" s="200"/>
      <c r="AR887" s="200"/>
      <c r="AS887" s="200"/>
      <c r="AT887" s="200"/>
      <c r="AU887" s="200"/>
      <c r="AV887" s="200"/>
      <c r="AW887" s="200"/>
      <c r="AX887" s="200"/>
      <c r="AY887" s="200"/>
      <c r="AZ887" s="200"/>
      <c r="BA887" s="200"/>
      <c r="BB887" s="200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</row>
    <row r="888" spans="1:71" ht="13.8">
      <c r="A888" s="1"/>
      <c r="B888" s="1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  <c r="AH888" s="200"/>
      <c r="AI888" s="200"/>
      <c r="AJ888" s="200"/>
      <c r="AK888" s="200"/>
      <c r="AL888" s="200"/>
      <c r="AM888" s="200"/>
      <c r="AN888" s="200"/>
      <c r="AO888" s="200"/>
      <c r="AP888" s="200"/>
      <c r="AQ888" s="200"/>
      <c r="AR888" s="200"/>
      <c r="AS888" s="200"/>
      <c r="AT888" s="200"/>
      <c r="AU888" s="200"/>
      <c r="AV888" s="200"/>
      <c r="AW888" s="200"/>
      <c r="AX888" s="200"/>
      <c r="AY888" s="200"/>
      <c r="AZ888" s="200"/>
      <c r="BA888" s="200"/>
      <c r="BB888" s="200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</row>
    <row r="889" spans="1:71" ht="13.8">
      <c r="A889" s="1"/>
      <c r="B889" s="1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  <c r="AB889" s="200"/>
      <c r="AC889" s="200"/>
      <c r="AD889" s="200"/>
      <c r="AE889" s="200"/>
      <c r="AF889" s="200"/>
      <c r="AG889" s="200"/>
      <c r="AH889" s="200"/>
      <c r="AI889" s="200"/>
      <c r="AJ889" s="200"/>
      <c r="AK889" s="200"/>
      <c r="AL889" s="200"/>
      <c r="AM889" s="200"/>
      <c r="AN889" s="200"/>
      <c r="AO889" s="200"/>
      <c r="AP889" s="200"/>
      <c r="AQ889" s="200"/>
      <c r="AR889" s="200"/>
      <c r="AS889" s="200"/>
      <c r="AT889" s="200"/>
      <c r="AU889" s="200"/>
      <c r="AV889" s="200"/>
      <c r="AW889" s="200"/>
      <c r="AX889" s="200"/>
      <c r="AY889" s="200"/>
      <c r="AZ889" s="200"/>
      <c r="BA889" s="200"/>
      <c r="BB889" s="200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</row>
    <row r="890" spans="1:71" ht="13.8">
      <c r="A890" s="1"/>
      <c r="B890" s="1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  <c r="AH890" s="200"/>
      <c r="AI890" s="200"/>
      <c r="AJ890" s="200"/>
      <c r="AK890" s="200"/>
      <c r="AL890" s="200"/>
      <c r="AM890" s="200"/>
      <c r="AN890" s="200"/>
      <c r="AO890" s="200"/>
      <c r="AP890" s="200"/>
      <c r="AQ890" s="200"/>
      <c r="AR890" s="200"/>
      <c r="AS890" s="200"/>
      <c r="AT890" s="200"/>
      <c r="AU890" s="200"/>
      <c r="AV890" s="200"/>
      <c r="AW890" s="200"/>
      <c r="AX890" s="200"/>
      <c r="AY890" s="200"/>
      <c r="AZ890" s="200"/>
      <c r="BA890" s="200"/>
      <c r="BB890" s="200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</row>
    <row r="891" spans="1:71" ht="13.8">
      <c r="A891" s="1"/>
      <c r="B891" s="1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  <c r="AB891" s="200"/>
      <c r="AC891" s="200"/>
      <c r="AD891" s="200"/>
      <c r="AE891" s="200"/>
      <c r="AF891" s="200"/>
      <c r="AG891" s="200"/>
      <c r="AH891" s="200"/>
      <c r="AI891" s="200"/>
      <c r="AJ891" s="200"/>
      <c r="AK891" s="200"/>
      <c r="AL891" s="200"/>
      <c r="AM891" s="200"/>
      <c r="AN891" s="200"/>
      <c r="AO891" s="200"/>
      <c r="AP891" s="200"/>
      <c r="AQ891" s="200"/>
      <c r="AR891" s="200"/>
      <c r="AS891" s="200"/>
      <c r="AT891" s="200"/>
      <c r="AU891" s="200"/>
      <c r="AV891" s="200"/>
      <c r="AW891" s="200"/>
      <c r="AX891" s="200"/>
      <c r="AY891" s="200"/>
      <c r="AZ891" s="200"/>
      <c r="BA891" s="200"/>
      <c r="BB891" s="200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</row>
    <row r="892" spans="1:71" ht="13.8">
      <c r="A892" s="1"/>
      <c r="B892" s="1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  <c r="AB892" s="200"/>
      <c r="AC892" s="200"/>
      <c r="AD892" s="200"/>
      <c r="AE892" s="200"/>
      <c r="AF892" s="200"/>
      <c r="AG892" s="200"/>
      <c r="AH892" s="200"/>
      <c r="AI892" s="200"/>
      <c r="AJ892" s="200"/>
      <c r="AK892" s="200"/>
      <c r="AL892" s="200"/>
      <c r="AM892" s="200"/>
      <c r="AN892" s="200"/>
      <c r="AO892" s="200"/>
      <c r="AP892" s="200"/>
      <c r="AQ892" s="200"/>
      <c r="AR892" s="200"/>
      <c r="AS892" s="200"/>
      <c r="AT892" s="200"/>
      <c r="AU892" s="200"/>
      <c r="AV892" s="200"/>
      <c r="AW892" s="200"/>
      <c r="AX892" s="200"/>
      <c r="AY892" s="200"/>
      <c r="AZ892" s="200"/>
      <c r="BA892" s="200"/>
      <c r="BB892" s="200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</row>
    <row r="893" spans="1:71" ht="13.8">
      <c r="A893" s="1"/>
      <c r="B893" s="1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  <c r="AB893" s="200"/>
      <c r="AC893" s="200"/>
      <c r="AD893" s="200"/>
      <c r="AE893" s="200"/>
      <c r="AF893" s="200"/>
      <c r="AG893" s="200"/>
      <c r="AH893" s="200"/>
      <c r="AI893" s="200"/>
      <c r="AJ893" s="200"/>
      <c r="AK893" s="200"/>
      <c r="AL893" s="200"/>
      <c r="AM893" s="200"/>
      <c r="AN893" s="200"/>
      <c r="AO893" s="200"/>
      <c r="AP893" s="200"/>
      <c r="AQ893" s="200"/>
      <c r="AR893" s="200"/>
      <c r="AS893" s="200"/>
      <c r="AT893" s="200"/>
      <c r="AU893" s="200"/>
      <c r="AV893" s="200"/>
      <c r="AW893" s="200"/>
      <c r="AX893" s="200"/>
      <c r="AY893" s="200"/>
      <c r="AZ893" s="200"/>
      <c r="BA893" s="200"/>
      <c r="BB893" s="200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</row>
    <row r="894" spans="1:71" ht="13.8">
      <c r="A894" s="1"/>
      <c r="B894" s="1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  <c r="AH894" s="200"/>
      <c r="AI894" s="200"/>
      <c r="AJ894" s="200"/>
      <c r="AK894" s="200"/>
      <c r="AL894" s="200"/>
      <c r="AM894" s="200"/>
      <c r="AN894" s="200"/>
      <c r="AO894" s="200"/>
      <c r="AP894" s="200"/>
      <c r="AQ894" s="200"/>
      <c r="AR894" s="200"/>
      <c r="AS894" s="200"/>
      <c r="AT894" s="200"/>
      <c r="AU894" s="200"/>
      <c r="AV894" s="200"/>
      <c r="AW894" s="200"/>
      <c r="AX894" s="200"/>
      <c r="AY894" s="200"/>
      <c r="AZ894" s="200"/>
      <c r="BA894" s="200"/>
      <c r="BB894" s="200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</row>
    <row r="895" spans="1:71" ht="13.8">
      <c r="A895" s="1"/>
      <c r="B895" s="1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  <c r="AB895" s="200"/>
      <c r="AC895" s="200"/>
      <c r="AD895" s="200"/>
      <c r="AE895" s="200"/>
      <c r="AF895" s="200"/>
      <c r="AG895" s="200"/>
      <c r="AH895" s="200"/>
      <c r="AI895" s="200"/>
      <c r="AJ895" s="200"/>
      <c r="AK895" s="200"/>
      <c r="AL895" s="200"/>
      <c r="AM895" s="200"/>
      <c r="AN895" s="200"/>
      <c r="AO895" s="200"/>
      <c r="AP895" s="200"/>
      <c r="AQ895" s="200"/>
      <c r="AR895" s="200"/>
      <c r="AS895" s="200"/>
      <c r="AT895" s="200"/>
      <c r="AU895" s="200"/>
      <c r="AV895" s="200"/>
      <c r="AW895" s="200"/>
      <c r="AX895" s="200"/>
      <c r="AY895" s="200"/>
      <c r="AZ895" s="200"/>
      <c r="BA895" s="200"/>
      <c r="BB895" s="200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</row>
    <row r="896" spans="1:71" ht="13.8">
      <c r="A896" s="1"/>
      <c r="B896" s="1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  <c r="AB896" s="200"/>
      <c r="AC896" s="200"/>
      <c r="AD896" s="200"/>
      <c r="AE896" s="200"/>
      <c r="AF896" s="200"/>
      <c r="AG896" s="200"/>
      <c r="AH896" s="200"/>
      <c r="AI896" s="200"/>
      <c r="AJ896" s="200"/>
      <c r="AK896" s="200"/>
      <c r="AL896" s="200"/>
      <c r="AM896" s="200"/>
      <c r="AN896" s="200"/>
      <c r="AO896" s="200"/>
      <c r="AP896" s="200"/>
      <c r="AQ896" s="200"/>
      <c r="AR896" s="200"/>
      <c r="AS896" s="200"/>
      <c r="AT896" s="200"/>
      <c r="AU896" s="200"/>
      <c r="AV896" s="200"/>
      <c r="AW896" s="200"/>
      <c r="AX896" s="200"/>
      <c r="AY896" s="200"/>
      <c r="AZ896" s="200"/>
      <c r="BA896" s="200"/>
      <c r="BB896" s="200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</row>
    <row r="897" spans="1:71" ht="13.8">
      <c r="A897" s="1"/>
      <c r="B897" s="1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  <c r="AB897" s="200"/>
      <c r="AC897" s="200"/>
      <c r="AD897" s="200"/>
      <c r="AE897" s="200"/>
      <c r="AF897" s="200"/>
      <c r="AG897" s="200"/>
      <c r="AH897" s="200"/>
      <c r="AI897" s="200"/>
      <c r="AJ897" s="200"/>
      <c r="AK897" s="200"/>
      <c r="AL897" s="200"/>
      <c r="AM897" s="200"/>
      <c r="AN897" s="200"/>
      <c r="AO897" s="200"/>
      <c r="AP897" s="200"/>
      <c r="AQ897" s="200"/>
      <c r="AR897" s="200"/>
      <c r="AS897" s="200"/>
      <c r="AT897" s="200"/>
      <c r="AU897" s="200"/>
      <c r="AV897" s="200"/>
      <c r="AW897" s="200"/>
      <c r="AX897" s="200"/>
      <c r="AY897" s="200"/>
      <c r="AZ897" s="200"/>
      <c r="BA897" s="200"/>
      <c r="BB897" s="200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</row>
    <row r="898" spans="1:71" ht="13.8">
      <c r="A898" s="1"/>
      <c r="B898" s="1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  <c r="AH898" s="200"/>
      <c r="AI898" s="200"/>
      <c r="AJ898" s="200"/>
      <c r="AK898" s="200"/>
      <c r="AL898" s="200"/>
      <c r="AM898" s="200"/>
      <c r="AN898" s="200"/>
      <c r="AO898" s="200"/>
      <c r="AP898" s="200"/>
      <c r="AQ898" s="200"/>
      <c r="AR898" s="200"/>
      <c r="AS898" s="200"/>
      <c r="AT898" s="200"/>
      <c r="AU898" s="200"/>
      <c r="AV898" s="200"/>
      <c r="AW898" s="200"/>
      <c r="AX898" s="200"/>
      <c r="AY898" s="200"/>
      <c r="AZ898" s="200"/>
      <c r="BA898" s="200"/>
      <c r="BB898" s="200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</row>
    <row r="899" spans="1:71" ht="13.8">
      <c r="A899" s="1"/>
      <c r="B899" s="1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  <c r="AH899" s="200"/>
      <c r="AI899" s="200"/>
      <c r="AJ899" s="200"/>
      <c r="AK899" s="200"/>
      <c r="AL899" s="200"/>
      <c r="AM899" s="200"/>
      <c r="AN899" s="200"/>
      <c r="AO899" s="200"/>
      <c r="AP899" s="200"/>
      <c r="AQ899" s="200"/>
      <c r="AR899" s="200"/>
      <c r="AS899" s="200"/>
      <c r="AT899" s="200"/>
      <c r="AU899" s="200"/>
      <c r="AV899" s="200"/>
      <c r="AW899" s="200"/>
      <c r="AX899" s="200"/>
      <c r="AY899" s="200"/>
      <c r="AZ899" s="200"/>
      <c r="BA899" s="200"/>
      <c r="BB899" s="200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</row>
    <row r="900" spans="1:71" ht="13.8">
      <c r="A900" s="1"/>
      <c r="B900" s="1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  <c r="AB900" s="200"/>
      <c r="AC900" s="200"/>
      <c r="AD900" s="200"/>
      <c r="AE900" s="200"/>
      <c r="AF900" s="200"/>
      <c r="AG900" s="200"/>
      <c r="AH900" s="200"/>
      <c r="AI900" s="200"/>
      <c r="AJ900" s="200"/>
      <c r="AK900" s="200"/>
      <c r="AL900" s="200"/>
      <c r="AM900" s="200"/>
      <c r="AN900" s="200"/>
      <c r="AO900" s="200"/>
      <c r="AP900" s="200"/>
      <c r="AQ900" s="200"/>
      <c r="AR900" s="200"/>
      <c r="AS900" s="200"/>
      <c r="AT900" s="200"/>
      <c r="AU900" s="200"/>
      <c r="AV900" s="200"/>
      <c r="AW900" s="200"/>
      <c r="AX900" s="200"/>
      <c r="AY900" s="200"/>
      <c r="AZ900" s="200"/>
      <c r="BA900" s="200"/>
      <c r="BB900" s="200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</row>
    <row r="901" spans="1:71" ht="13.8">
      <c r="A901" s="1"/>
      <c r="B901" s="1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  <c r="AH901" s="200"/>
      <c r="AI901" s="200"/>
      <c r="AJ901" s="200"/>
      <c r="AK901" s="200"/>
      <c r="AL901" s="200"/>
      <c r="AM901" s="200"/>
      <c r="AN901" s="200"/>
      <c r="AO901" s="200"/>
      <c r="AP901" s="200"/>
      <c r="AQ901" s="200"/>
      <c r="AR901" s="200"/>
      <c r="AS901" s="200"/>
      <c r="AT901" s="200"/>
      <c r="AU901" s="200"/>
      <c r="AV901" s="200"/>
      <c r="AW901" s="200"/>
      <c r="AX901" s="200"/>
      <c r="AY901" s="200"/>
      <c r="AZ901" s="200"/>
      <c r="BA901" s="200"/>
      <c r="BB901" s="200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</row>
    <row r="902" spans="1:71" ht="13.8">
      <c r="A902" s="1"/>
      <c r="B902" s="1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  <c r="AB902" s="200"/>
      <c r="AC902" s="200"/>
      <c r="AD902" s="200"/>
      <c r="AE902" s="200"/>
      <c r="AF902" s="200"/>
      <c r="AG902" s="200"/>
      <c r="AH902" s="200"/>
      <c r="AI902" s="200"/>
      <c r="AJ902" s="200"/>
      <c r="AK902" s="200"/>
      <c r="AL902" s="200"/>
      <c r="AM902" s="200"/>
      <c r="AN902" s="200"/>
      <c r="AO902" s="200"/>
      <c r="AP902" s="200"/>
      <c r="AQ902" s="200"/>
      <c r="AR902" s="200"/>
      <c r="AS902" s="200"/>
      <c r="AT902" s="200"/>
      <c r="AU902" s="200"/>
      <c r="AV902" s="200"/>
      <c r="AW902" s="200"/>
      <c r="AX902" s="200"/>
      <c r="AY902" s="200"/>
      <c r="AZ902" s="200"/>
      <c r="BA902" s="200"/>
      <c r="BB902" s="200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</row>
    <row r="903" spans="1:71" ht="13.8">
      <c r="A903" s="1"/>
      <c r="B903" s="1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  <c r="AB903" s="200"/>
      <c r="AC903" s="200"/>
      <c r="AD903" s="200"/>
      <c r="AE903" s="200"/>
      <c r="AF903" s="200"/>
      <c r="AG903" s="200"/>
      <c r="AH903" s="200"/>
      <c r="AI903" s="200"/>
      <c r="AJ903" s="200"/>
      <c r="AK903" s="200"/>
      <c r="AL903" s="200"/>
      <c r="AM903" s="200"/>
      <c r="AN903" s="200"/>
      <c r="AO903" s="200"/>
      <c r="AP903" s="200"/>
      <c r="AQ903" s="200"/>
      <c r="AR903" s="200"/>
      <c r="AS903" s="200"/>
      <c r="AT903" s="200"/>
      <c r="AU903" s="200"/>
      <c r="AV903" s="200"/>
      <c r="AW903" s="200"/>
      <c r="AX903" s="200"/>
      <c r="AY903" s="200"/>
      <c r="AZ903" s="200"/>
      <c r="BA903" s="200"/>
      <c r="BB903" s="200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</row>
    <row r="904" spans="1:71" ht="13.8">
      <c r="A904" s="1"/>
      <c r="B904" s="1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  <c r="AH904" s="200"/>
      <c r="AI904" s="200"/>
      <c r="AJ904" s="200"/>
      <c r="AK904" s="200"/>
      <c r="AL904" s="200"/>
      <c r="AM904" s="200"/>
      <c r="AN904" s="200"/>
      <c r="AO904" s="200"/>
      <c r="AP904" s="200"/>
      <c r="AQ904" s="200"/>
      <c r="AR904" s="200"/>
      <c r="AS904" s="200"/>
      <c r="AT904" s="200"/>
      <c r="AU904" s="200"/>
      <c r="AV904" s="200"/>
      <c r="AW904" s="200"/>
      <c r="AX904" s="200"/>
      <c r="AY904" s="200"/>
      <c r="AZ904" s="200"/>
      <c r="BA904" s="200"/>
      <c r="BB904" s="200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</row>
    <row r="905" spans="1:71" ht="13.8">
      <c r="A905" s="1"/>
      <c r="B905" s="1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  <c r="AH905" s="200"/>
      <c r="AI905" s="200"/>
      <c r="AJ905" s="200"/>
      <c r="AK905" s="200"/>
      <c r="AL905" s="200"/>
      <c r="AM905" s="200"/>
      <c r="AN905" s="200"/>
      <c r="AO905" s="200"/>
      <c r="AP905" s="200"/>
      <c r="AQ905" s="200"/>
      <c r="AR905" s="200"/>
      <c r="AS905" s="200"/>
      <c r="AT905" s="200"/>
      <c r="AU905" s="200"/>
      <c r="AV905" s="200"/>
      <c r="AW905" s="200"/>
      <c r="AX905" s="200"/>
      <c r="AY905" s="200"/>
      <c r="AZ905" s="200"/>
      <c r="BA905" s="200"/>
      <c r="BB905" s="200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</row>
    <row r="906" spans="1:71" ht="13.8">
      <c r="A906" s="1"/>
      <c r="B906" s="1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  <c r="AB906" s="200"/>
      <c r="AC906" s="200"/>
      <c r="AD906" s="200"/>
      <c r="AE906" s="200"/>
      <c r="AF906" s="200"/>
      <c r="AG906" s="200"/>
      <c r="AH906" s="200"/>
      <c r="AI906" s="200"/>
      <c r="AJ906" s="200"/>
      <c r="AK906" s="200"/>
      <c r="AL906" s="200"/>
      <c r="AM906" s="200"/>
      <c r="AN906" s="200"/>
      <c r="AO906" s="200"/>
      <c r="AP906" s="200"/>
      <c r="AQ906" s="200"/>
      <c r="AR906" s="200"/>
      <c r="AS906" s="200"/>
      <c r="AT906" s="200"/>
      <c r="AU906" s="200"/>
      <c r="AV906" s="200"/>
      <c r="AW906" s="200"/>
      <c r="AX906" s="200"/>
      <c r="AY906" s="200"/>
      <c r="AZ906" s="200"/>
      <c r="BA906" s="200"/>
      <c r="BB906" s="200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</row>
    <row r="907" spans="1:71" ht="13.8">
      <c r="A907" s="1"/>
      <c r="B907" s="1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  <c r="AB907" s="200"/>
      <c r="AC907" s="200"/>
      <c r="AD907" s="200"/>
      <c r="AE907" s="200"/>
      <c r="AF907" s="200"/>
      <c r="AG907" s="200"/>
      <c r="AH907" s="200"/>
      <c r="AI907" s="200"/>
      <c r="AJ907" s="200"/>
      <c r="AK907" s="200"/>
      <c r="AL907" s="200"/>
      <c r="AM907" s="200"/>
      <c r="AN907" s="200"/>
      <c r="AO907" s="200"/>
      <c r="AP907" s="200"/>
      <c r="AQ907" s="200"/>
      <c r="AR907" s="200"/>
      <c r="AS907" s="200"/>
      <c r="AT907" s="200"/>
      <c r="AU907" s="200"/>
      <c r="AV907" s="200"/>
      <c r="AW907" s="200"/>
      <c r="AX907" s="200"/>
      <c r="AY907" s="200"/>
      <c r="AZ907" s="200"/>
      <c r="BA907" s="200"/>
      <c r="BB907" s="200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</row>
    <row r="908" spans="1:71" ht="13.8">
      <c r="A908" s="1"/>
      <c r="B908" s="1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  <c r="AB908" s="200"/>
      <c r="AC908" s="200"/>
      <c r="AD908" s="200"/>
      <c r="AE908" s="200"/>
      <c r="AF908" s="200"/>
      <c r="AG908" s="200"/>
      <c r="AH908" s="200"/>
      <c r="AI908" s="200"/>
      <c r="AJ908" s="200"/>
      <c r="AK908" s="200"/>
      <c r="AL908" s="200"/>
      <c r="AM908" s="200"/>
      <c r="AN908" s="200"/>
      <c r="AO908" s="200"/>
      <c r="AP908" s="200"/>
      <c r="AQ908" s="200"/>
      <c r="AR908" s="200"/>
      <c r="AS908" s="200"/>
      <c r="AT908" s="200"/>
      <c r="AU908" s="200"/>
      <c r="AV908" s="200"/>
      <c r="AW908" s="200"/>
      <c r="AX908" s="200"/>
      <c r="AY908" s="200"/>
      <c r="AZ908" s="200"/>
      <c r="BA908" s="200"/>
      <c r="BB908" s="200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</row>
    <row r="909" spans="1:71" ht="13.8">
      <c r="A909" s="1"/>
      <c r="B909" s="1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  <c r="AB909" s="200"/>
      <c r="AC909" s="200"/>
      <c r="AD909" s="200"/>
      <c r="AE909" s="200"/>
      <c r="AF909" s="200"/>
      <c r="AG909" s="200"/>
      <c r="AH909" s="200"/>
      <c r="AI909" s="200"/>
      <c r="AJ909" s="200"/>
      <c r="AK909" s="200"/>
      <c r="AL909" s="200"/>
      <c r="AM909" s="200"/>
      <c r="AN909" s="200"/>
      <c r="AO909" s="200"/>
      <c r="AP909" s="200"/>
      <c r="AQ909" s="200"/>
      <c r="AR909" s="200"/>
      <c r="AS909" s="200"/>
      <c r="AT909" s="200"/>
      <c r="AU909" s="200"/>
      <c r="AV909" s="200"/>
      <c r="AW909" s="200"/>
      <c r="AX909" s="200"/>
      <c r="AY909" s="200"/>
      <c r="AZ909" s="200"/>
      <c r="BA909" s="200"/>
      <c r="BB909" s="200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</row>
    <row r="910" spans="1:71" ht="13.8">
      <c r="A910" s="1"/>
      <c r="B910" s="1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0"/>
      <c r="AK910" s="200"/>
      <c r="AL910" s="200"/>
      <c r="AM910" s="200"/>
      <c r="AN910" s="200"/>
      <c r="AO910" s="200"/>
      <c r="AP910" s="200"/>
      <c r="AQ910" s="200"/>
      <c r="AR910" s="200"/>
      <c r="AS910" s="200"/>
      <c r="AT910" s="200"/>
      <c r="AU910" s="200"/>
      <c r="AV910" s="200"/>
      <c r="AW910" s="200"/>
      <c r="AX910" s="200"/>
      <c r="AY910" s="200"/>
      <c r="AZ910" s="200"/>
      <c r="BA910" s="200"/>
      <c r="BB910" s="200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</row>
    <row r="911" spans="1:71" ht="13.8">
      <c r="A911" s="1"/>
      <c r="B911" s="1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  <c r="AB911" s="200"/>
      <c r="AC911" s="200"/>
      <c r="AD911" s="200"/>
      <c r="AE911" s="200"/>
      <c r="AF911" s="200"/>
      <c r="AG911" s="200"/>
      <c r="AH911" s="200"/>
      <c r="AI911" s="200"/>
      <c r="AJ911" s="200"/>
      <c r="AK911" s="200"/>
      <c r="AL911" s="200"/>
      <c r="AM911" s="200"/>
      <c r="AN911" s="200"/>
      <c r="AO911" s="200"/>
      <c r="AP911" s="200"/>
      <c r="AQ911" s="200"/>
      <c r="AR911" s="200"/>
      <c r="AS911" s="200"/>
      <c r="AT911" s="200"/>
      <c r="AU911" s="200"/>
      <c r="AV911" s="200"/>
      <c r="AW911" s="200"/>
      <c r="AX911" s="200"/>
      <c r="AY911" s="200"/>
      <c r="AZ911" s="200"/>
      <c r="BA911" s="200"/>
      <c r="BB911" s="200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</row>
    <row r="912" spans="1:71" ht="13.8">
      <c r="A912" s="1"/>
      <c r="B912" s="1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  <c r="AB912" s="200"/>
      <c r="AC912" s="200"/>
      <c r="AD912" s="200"/>
      <c r="AE912" s="200"/>
      <c r="AF912" s="200"/>
      <c r="AG912" s="200"/>
      <c r="AH912" s="200"/>
      <c r="AI912" s="200"/>
      <c r="AJ912" s="200"/>
      <c r="AK912" s="200"/>
      <c r="AL912" s="200"/>
      <c r="AM912" s="200"/>
      <c r="AN912" s="200"/>
      <c r="AO912" s="200"/>
      <c r="AP912" s="200"/>
      <c r="AQ912" s="200"/>
      <c r="AR912" s="200"/>
      <c r="AS912" s="200"/>
      <c r="AT912" s="200"/>
      <c r="AU912" s="200"/>
      <c r="AV912" s="200"/>
      <c r="AW912" s="200"/>
      <c r="AX912" s="200"/>
      <c r="AY912" s="200"/>
      <c r="AZ912" s="200"/>
      <c r="BA912" s="200"/>
      <c r="BB912" s="200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</row>
    <row r="913" spans="1:71" ht="13.8">
      <c r="A913" s="1"/>
      <c r="B913" s="1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  <c r="AB913" s="200"/>
      <c r="AC913" s="200"/>
      <c r="AD913" s="200"/>
      <c r="AE913" s="200"/>
      <c r="AF913" s="200"/>
      <c r="AG913" s="200"/>
      <c r="AH913" s="200"/>
      <c r="AI913" s="200"/>
      <c r="AJ913" s="200"/>
      <c r="AK913" s="200"/>
      <c r="AL913" s="200"/>
      <c r="AM913" s="200"/>
      <c r="AN913" s="200"/>
      <c r="AO913" s="200"/>
      <c r="AP913" s="200"/>
      <c r="AQ913" s="200"/>
      <c r="AR913" s="200"/>
      <c r="AS913" s="200"/>
      <c r="AT913" s="200"/>
      <c r="AU913" s="200"/>
      <c r="AV913" s="200"/>
      <c r="AW913" s="200"/>
      <c r="AX913" s="200"/>
      <c r="AY913" s="200"/>
      <c r="AZ913" s="200"/>
      <c r="BA913" s="200"/>
      <c r="BB913" s="200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</row>
    <row r="914" spans="1:71" ht="13.8">
      <c r="A914" s="1"/>
      <c r="B914" s="1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  <c r="AB914" s="200"/>
      <c r="AC914" s="200"/>
      <c r="AD914" s="200"/>
      <c r="AE914" s="200"/>
      <c r="AF914" s="200"/>
      <c r="AG914" s="200"/>
      <c r="AH914" s="200"/>
      <c r="AI914" s="200"/>
      <c r="AJ914" s="200"/>
      <c r="AK914" s="200"/>
      <c r="AL914" s="200"/>
      <c r="AM914" s="200"/>
      <c r="AN914" s="200"/>
      <c r="AO914" s="200"/>
      <c r="AP914" s="200"/>
      <c r="AQ914" s="200"/>
      <c r="AR914" s="200"/>
      <c r="AS914" s="200"/>
      <c r="AT914" s="200"/>
      <c r="AU914" s="200"/>
      <c r="AV914" s="200"/>
      <c r="AW914" s="200"/>
      <c r="AX914" s="200"/>
      <c r="AY914" s="200"/>
      <c r="AZ914" s="200"/>
      <c r="BA914" s="200"/>
      <c r="BB914" s="200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</row>
    <row r="915" spans="1:71" ht="13.8">
      <c r="A915" s="1"/>
      <c r="B915" s="1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  <c r="AB915" s="200"/>
      <c r="AC915" s="200"/>
      <c r="AD915" s="200"/>
      <c r="AE915" s="200"/>
      <c r="AF915" s="200"/>
      <c r="AG915" s="200"/>
      <c r="AH915" s="200"/>
      <c r="AI915" s="200"/>
      <c r="AJ915" s="200"/>
      <c r="AK915" s="200"/>
      <c r="AL915" s="200"/>
      <c r="AM915" s="200"/>
      <c r="AN915" s="200"/>
      <c r="AO915" s="200"/>
      <c r="AP915" s="200"/>
      <c r="AQ915" s="200"/>
      <c r="AR915" s="200"/>
      <c r="AS915" s="200"/>
      <c r="AT915" s="200"/>
      <c r="AU915" s="200"/>
      <c r="AV915" s="200"/>
      <c r="AW915" s="200"/>
      <c r="AX915" s="200"/>
      <c r="AY915" s="200"/>
      <c r="AZ915" s="200"/>
      <c r="BA915" s="200"/>
      <c r="BB915" s="200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</row>
    <row r="916" spans="1:71" ht="13.8">
      <c r="A916" s="1"/>
      <c r="B916" s="1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  <c r="AH916" s="200"/>
      <c r="AI916" s="200"/>
      <c r="AJ916" s="200"/>
      <c r="AK916" s="200"/>
      <c r="AL916" s="200"/>
      <c r="AM916" s="200"/>
      <c r="AN916" s="200"/>
      <c r="AO916" s="200"/>
      <c r="AP916" s="200"/>
      <c r="AQ916" s="200"/>
      <c r="AR916" s="200"/>
      <c r="AS916" s="200"/>
      <c r="AT916" s="200"/>
      <c r="AU916" s="200"/>
      <c r="AV916" s="200"/>
      <c r="AW916" s="200"/>
      <c r="AX916" s="200"/>
      <c r="AY916" s="200"/>
      <c r="AZ916" s="200"/>
      <c r="BA916" s="200"/>
      <c r="BB916" s="200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</row>
    <row r="917" spans="1:71" ht="13.8">
      <c r="A917" s="1"/>
      <c r="B917" s="1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  <c r="AB917" s="200"/>
      <c r="AC917" s="200"/>
      <c r="AD917" s="200"/>
      <c r="AE917" s="200"/>
      <c r="AF917" s="200"/>
      <c r="AG917" s="200"/>
      <c r="AH917" s="200"/>
      <c r="AI917" s="200"/>
      <c r="AJ917" s="200"/>
      <c r="AK917" s="200"/>
      <c r="AL917" s="200"/>
      <c r="AM917" s="200"/>
      <c r="AN917" s="200"/>
      <c r="AO917" s="200"/>
      <c r="AP917" s="200"/>
      <c r="AQ917" s="200"/>
      <c r="AR917" s="200"/>
      <c r="AS917" s="200"/>
      <c r="AT917" s="200"/>
      <c r="AU917" s="200"/>
      <c r="AV917" s="200"/>
      <c r="AW917" s="200"/>
      <c r="AX917" s="200"/>
      <c r="AY917" s="200"/>
      <c r="AZ917" s="200"/>
      <c r="BA917" s="200"/>
      <c r="BB917" s="200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</row>
    <row r="918" spans="1:71" ht="13.8">
      <c r="A918" s="1"/>
      <c r="B918" s="1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  <c r="AB918" s="200"/>
      <c r="AC918" s="200"/>
      <c r="AD918" s="200"/>
      <c r="AE918" s="200"/>
      <c r="AF918" s="200"/>
      <c r="AG918" s="200"/>
      <c r="AH918" s="200"/>
      <c r="AI918" s="200"/>
      <c r="AJ918" s="200"/>
      <c r="AK918" s="200"/>
      <c r="AL918" s="200"/>
      <c r="AM918" s="200"/>
      <c r="AN918" s="200"/>
      <c r="AO918" s="200"/>
      <c r="AP918" s="200"/>
      <c r="AQ918" s="200"/>
      <c r="AR918" s="200"/>
      <c r="AS918" s="200"/>
      <c r="AT918" s="200"/>
      <c r="AU918" s="200"/>
      <c r="AV918" s="200"/>
      <c r="AW918" s="200"/>
      <c r="AX918" s="200"/>
      <c r="AY918" s="200"/>
      <c r="AZ918" s="200"/>
      <c r="BA918" s="200"/>
      <c r="BB918" s="200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</row>
    <row r="919" spans="1:71" ht="13.8">
      <c r="A919" s="1"/>
      <c r="B919" s="1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  <c r="AB919" s="200"/>
      <c r="AC919" s="200"/>
      <c r="AD919" s="200"/>
      <c r="AE919" s="200"/>
      <c r="AF919" s="200"/>
      <c r="AG919" s="200"/>
      <c r="AH919" s="200"/>
      <c r="AI919" s="200"/>
      <c r="AJ919" s="200"/>
      <c r="AK919" s="200"/>
      <c r="AL919" s="200"/>
      <c r="AM919" s="200"/>
      <c r="AN919" s="200"/>
      <c r="AO919" s="200"/>
      <c r="AP919" s="200"/>
      <c r="AQ919" s="200"/>
      <c r="AR919" s="200"/>
      <c r="AS919" s="200"/>
      <c r="AT919" s="200"/>
      <c r="AU919" s="200"/>
      <c r="AV919" s="200"/>
      <c r="AW919" s="200"/>
      <c r="AX919" s="200"/>
      <c r="AY919" s="200"/>
      <c r="AZ919" s="200"/>
      <c r="BA919" s="200"/>
      <c r="BB919" s="200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</row>
    <row r="920" spans="1:71" ht="13.8">
      <c r="A920" s="1"/>
      <c r="B920" s="1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  <c r="AB920" s="200"/>
      <c r="AC920" s="200"/>
      <c r="AD920" s="200"/>
      <c r="AE920" s="200"/>
      <c r="AF920" s="200"/>
      <c r="AG920" s="200"/>
      <c r="AH920" s="200"/>
      <c r="AI920" s="200"/>
      <c r="AJ920" s="200"/>
      <c r="AK920" s="200"/>
      <c r="AL920" s="200"/>
      <c r="AM920" s="200"/>
      <c r="AN920" s="200"/>
      <c r="AO920" s="200"/>
      <c r="AP920" s="200"/>
      <c r="AQ920" s="200"/>
      <c r="AR920" s="200"/>
      <c r="AS920" s="200"/>
      <c r="AT920" s="200"/>
      <c r="AU920" s="200"/>
      <c r="AV920" s="200"/>
      <c r="AW920" s="200"/>
      <c r="AX920" s="200"/>
      <c r="AY920" s="200"/>
      <c r="AZ920" s="200"/>
      <c r="BA920" s="200"/>
      <c r="BB920" s="200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</row>
    <row r="921" spans="1:71" ht="13.8">
      <c r="A921" s="1"/>
      <c r="B921" s="1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  <c r="AB921" s="200"/>
      <c r="AC921" s="200"/>
      <c r="AD921" s="200"/>
      <c r="AE921" s="200"/>
      <c r="AF921" s="200"/>
      <c r="AG921" s="200"/>
      <c r="AH921" s="200"/>
      <c r="AI921" s="200"/>
      <c r="AJ921" s="200"/>
      <c r="AK921" s="200"/>
      <c r="AL921" s="200"/>
      <c r="AM921" s="200"/>
      <c r="AN921" s="200"/>
      <c r="AO921" s="200"/>
      <c r="AP921" s="200"/>
      <c r="AQ921" s="200"/>
      <c r="AR921" s="200"/>
      <c r="AS921" s="200"/>
      <c r="AT921" s="200"/>
      <c r="AU921" s="200"/>
      <c r="AV921" s="200"/>
      <c r="AW921" s="200"/>
      <c r="AX921" s="200"/>
      <c r="AY921" s="200"/>
      <c r="AZ921" s="200"/>
      <c r="BA921" s="200"/>
      <c r="BB921" s="200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</row>
    <row r="922" spans="1:71" ht="13.8">
      <c r="A922" s="1"/>
      <c r="B922" s="1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  <c r="AB922" s="200"/>
      <c r="AC922" s="200"/>
      <c r="AD922" s="200"/>
      <c r="AE922" s="200"/>
      <c r="AF922" s="200"/>
      <c r="AG922" s="200"/>
      <c r="AH922" s="200"/>
      <c r="AI922" s="200"/>
      <c r="AJ922" s="200"/>
      <c r="AK922" s="200"/>
      <c r="AL922" s="200"/>
      <c r="AM922" s="200"/>
      <c r="AN922" s="200"/>
      <c r="AO922" s="200"/>
      <c r="AP922" s="200"/>
      <c r="AQ922" s="200"/>
      <c r="AR922" s="200"/>
      <c r="AS922" s="200"/>
      <c r="AT922" s="200"/>
      <c r="AU922" s="200"/>
      <c r="AV922" s="200"/>
      <c r="AW922" s="200"/>
      <c r="AX922" s="200"/>
      <c r="AY922" s="200"/>
      <c r="AZ922" s="200"/>
      <c r="BA922" s="200"/>
      <c r="BB922" s="200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</row>
    <row r="923" spans="1:71" ht="13.8">
      <c r="A923" s="1"/>
      <c r="B923" s="1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  <c r="AB923" s="200"/>
      <c r="AC923" s="200"/>
      <c r="AD923" s="200"/>
      <c r="AE923" s="200"/>
      <c r="AF923" s="200"/>
      <c r="AG923" s="200"/>
      <c r="AH923" s="200"/>
      <c r="AI923" s="200"/>
      <c r="AJ923" s="200"/>
      <c r="AK923" s="200"/>
      <c r="AL923" s="200"/>
      <c r="AM923" s="200"/>
      <c r="AN923" s="200"/>
      <c r="AO923" s="200"/>
      <c r="AP923" s="200"/>
      <c r="AQ923" s="200"/>
      <c r="AR923" s="200"/>
      <c r="AS923" s="200"/>
      <c r="AT923" s="200"/>
      <c r="AU923" s="200"/>
      <c r="AV923" s="200"/>
      <c r="AW923" s="200"/>
      <c r="AX923" s="200"/>
      <c r="AY923" s="200"/>
      <c r="AZ923" s="200"/>
      <c r="BA923" s="200"/>
      <c r="BB923" s="200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</row>
    <row r="924" spans="1:71" ht="13.8">
      <c r="A924" s="1"/>
      <c r="B924" s="1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  <c r="AB924" s="200"/>
      <c r="AC924" s="200"/>
      <c r="AD924" s="200"/>
      <c r="AE924" s="200"/>
      <c r="AF924" s="200"/>
      <c r="AG924" s="200"/>
      <c r="AH924" s="200"/>
      <c r="AI924" s="200"/>
      <c r="AJ924" s="200"/>
      <c r="AK924" s="200"/>
      <c r="AL924" s="200"/>
      <c r="AM924" s="200"/>
      <c r="AN924" s="200"/>
      <c r="AO924" s="200"/>
      <c r="AP924" s="200"/>
      <c r="AQ924" s="200"/>
      <c r="AR924" s="200"/>
      <c r="AS924" s="200"/>
      <c r="AT924" s="200"/>
      <c r="AU924" s="200"/>
      <c r="AV924" s="200"/>
      <c r="AW924" s="200"/>
      <c r="AX924" s="200"/>
      <c r="AY924" s="200"/>
      <c r="AZ924" s="200"/>
      <c r="BA924" s="200"/>
      <c r="BB924" s="200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</row>
    <row r="925" spans="1:71" ht="13.8">
      <c r="A925" s="1"/>
      <c r="B925" s="1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  <c r="AB925" s="200"/>
      <c r="AC925" s="200"/>
      <c r="AD925" s="200"/>
      <c r="AE925" s="200"/>
      <c r="AF925" s="200"/>
      <c r="AG925" s="200"/>
      <c r="AH925" s="200"/>
      <c r="AI925" s="200"/>
      <c r="AJ925" s="200"/>
      <c r="AK925" s="200"/>
      <c r="AL925" s="200"/>
      <c r="AM925" s="200"/>
      <c r="AN925" s="200"/>
      <c r="AO925" s="200"/>
      <c r="AP925" s="200"/>
      <c r="AQ925" s="200"/>
      <c r="AR925" s="200"/>
      <c r="AS925" s="200"/>
      <c r="AT925" s="200"/>
      <c r="AU925" s="200"/>
      <c r="AV925" s="200"/>
      <c r="AW925" s="200"/>
      <c r="AX925" s="200"/>
      <c r="AY925" s="200"/>
      <c r="AZ925" s="200"/>
      <c r="BA925" s="200"/>
      <c r="BB925" s="200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</row>
    <row r="926" spans="1:71" ht="13.8">
      <c r="A926" s="1"/>
      <c r="B926" s="1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0"/>
      <c r="AK926" s="200"/>
      <c r="AL926" s="200"/>
      <c r="AM926" s="200"/>
      <c r="AN926" s="200"/>
      <c r="AO926" s="200"/>
      <c r="AP926" s="200"/>
      <c r="AQ926" s="200"/>
      <c r="AR926" s="200"/>
      <c r="AS926" s="200"/>
      <c r="AT926" s="200"/>
      <c r="AU926" s="200"/>
      <c r="AV926" s="200"/>
      <c r="AW926" s="200"/>
      <c r="AX926" s="200"/>
      <c r="AY926" s="200"/>
      <c r="AZ926" s="200"/>
      <c r="BA926" s="200"/>
      <c r="BB926" s="200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</row>
    <row r="927" spans="1:71" ht="13.8">
      <c r="A927" s="1"/>
      <c r="B927" s="1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  <c r="AB927" s="200"/>
      <c r="AC927" s="200"/>
      <c r="AD927" s="200"/>
      <c r="AE927" s="200"/>
      <c r="AF927" s="200"/>
      <c r="AG927" s="200"/>
      <c r="AH927" s="200"/>
      <c r="AI927" s="200"/>
      <c r="AJ927" s="200"/>
      <c r="AK927" s="200"/>
      <c r="AL927" s="200"/>
      <c r="AM927" s="200"/>
      <c r="AN927" s="200"/>
      <c r="AO927" s="200"/>
      <c r="AP927" s="200"/>
      <c r="AQ927" s="200"/>
      <c r="AR927" s="200"/>
      <c r="AS927" s="200"/>
      <c r="AT927" s="200"/>
      <c r="AU927" s="200"/>
      <c r="AV927" s="200"/>
      <c r="AW927" s="200"/>
      <c r="AX927" s="200"/>
      <c r="AY927" s="200"/>
      <c r="AZ927" s="200"/>
      <c r="BA927" s="200"/>
      <c r="BB927" s="200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</row>
    <row r="928" spans="1:71" ht="13.8">
      <c r="A928" s="1"/>
      <c r="B928" s="1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  <c r="AB928" s="200"/>
      <c r="AC928" s="200"/>
      <c r="AD928" s="200"/>
      <c r="AE928" s="200"/>
      <c r="AF928" s="200"/>
      <c r="AG928" s="200"/>
      <c r="AH928" s="200"/>
      <c r="AI928" s="200"/>
      <c r="AJ928" s="200"/>
      <c r="AK928" s="200"/>
      <c r="AL928" s="200"/>
      <c r="AM928" s="200"/>
      <c r="AN928" s="200"/>
      <c r="AO928" s="200"/>
      <c r="AP928" s="200"/>
      <c r="AQ928" s="200"/>
      <c r="AR928" s="200"/>
      <c r="AS928" s="200"/>
      <c r="AT928" s="200"/>
      <c r="AU928" s="200"/>
      <c r="AV928" s="200"/>
      <c r="AW928" s="200"/>
      <c r="AX928" s="200"/>
      <c r="AY928" s="200"/>
      <c r="AZ928" s="200"/>
      <c r="BA928" s="200"/>
      <c r="BB928" s="200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</row>
    <row r="929" spans="1:71" ht="13.8">
      <c r="A929" s="1"/>
      <c r="B929" s="1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  <c r="AH929" s="200"/>
      <c r="AI929" s="200"/>
      <c r="AJ929" s="200"/>
      <c r="AK929" s="200"/>
      <c r="AL929" s="200"/>
      <c r="AM929" s="200"/>
      <c r="AN929" s="200"/>
      <c r="AO929" s="200"/>
      <c r="AP929" s="200"/>
      <c r="AQ929" s="200"/>
      <c r="AR929" s="200"/>
      <c r="AS929" s="200"/>
      <c r="AT929" s="200"/>
      <c r="AU929" s="200"/>
      <c r="AV929" s="200"/>
      <c r="AW929" s="200"/>
      <c r="AX929" s="200"/>
      <c r="AY929" s="200"/>
      <c r="AZ929" s="200"/>
      <c r="BA929" s="200"/>
      <c r="BB929" s="200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</row>
    <row r="930" spans="1:71" ht="13.8">
      <c r="A930" s="1"/>
      <c r="B930" s="1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  <c r="AB930" s="200"/>
      <c r="AC930" s="200"/>
      <c r="AD930" s="200"/>
      <c r="AE930" s="200"/>
      <c r="AF930" s="200"/>
      <c r="AG930" s="200"/>
      <c r="AH930" s="200"/>
      <c r="AI930" s="200"/>
      <c r="AJ930" s="200"/>
      <c r="AK930" s="200"/>
      <c r="AL930" s="200"/>
      <c r="AM930" s="200"/>
      <c r="AN930" s="200"/>
      <c r="AO930" s="200"/>
      <c r="AP930" s="200"/>
      <c r="AQ930" s="200"/>
      <c r="AR930" s="200"/>
      <c r="AS930" s="200"/>
      <c r="AT930" s="200"/>
      <c r="AU930" s="200"/>
      <c r="AV930" s="200"/>
      <c r="AW930" s="200"/>
      <c r="AX930" s="200"/>
      <c r="AY930" s="200"/>
      <c r="AZ930" s="200"/>
      <c r="BA930" s="200"/>
      <c r="BB930" s="200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</row>
    <row r="931" spans="1:71" ht="13.8">
      <c r="A931" s="1"/>
      <c r="B931" s="1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  <c r="AB931" s="200"/>
      <c r="AC931" s="200"/>
      <c r="AD931" s="200"/>
      <c r="AE931" s="200"/>
      <c r="AF931" s="200"/>
      <c r="AG931" s="200"/>
      <c r="AH931" s="200"/>
      <c r="AI931" s="200"/>
      <c r="AJ931" s="200"/>
      <c r="AK931" s="200"/>
      <c r="AL931" s="200"/>
      <c r="AM931" s="200"/>
      <c r="AN931" s="200"/>
      <c r="AO931" s="200"/>
      <c r="AP931" s="200"/>
      <c r="AQ931" s="200"/>
      <c r="AR931" s="200"/>
      <c r="AS931" s="200"/>
      <c r="AT931" s="200"/>
      <c r="AU931" s="200"/>
      <c r="AV931" s="200"/>
      <c r="AW931" s="200"/>
      <c r="AX931" s="200"/>
      <c r="AY931" s="200"/>
      <c r="AZ931" s="200"/>
      <c r="BA931" s="200"/>
      <c r="BB931" s="200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</row>
    <row r="932" spans="1:71" ht="13.8">
      <c r="A932" s="1"/>
      <c r="B932" s="1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  <c r="AB932" s="200"/>
      <c r="AC932" s="200"/>
      <c r="AD932" s="200"/>
      <c r="AE932" s="200"/>
      <c r="AF932" s="200"/>
      <c r="AG932" s="200"/>
      <c r="AH932" s="200"/>
      <c r="AI932" s="200"/>
      <c r="AJ932" s="200"/>
      <c r="AK932" s="200"/>
      <c r="AL932" s="200"/>
      <c r="AM932" s="200"/>
      <c r="AN932" s="200"/>
      <c r="AO932" s="200"/>
      <c r="AP932" s="200"/>
      <c r="AQ932" s="200"/>
      <c r="AR932" s="200"/>
      <c r="AS932" s="200"/>
      <c r="AT932" s="200"/>
      <c r="AU932" s="200"/>
      <c r="AV932" s="200"/>
      <c r="AW932" s="200"/>
      <c r="AX932" s="200"/>
      <c r="AY932" s="200"/>
      <c r="AZ932" s="200"/>
      <c r="BA932" s="200"/>
      <c r="BB932" s="200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</row>
    <row r="933" spans="1:71" ht="13.8">
      <c r="A933" s="1"/>
      <c r="B933" s="1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  <c r="AB933" s="200"/>
      <c r="AC933" s="200"/>
      <c r="AD933" s="200"/>
      <c r="AE933" s="200"/>
      <c r="AF933" s="200"/>
      <c r="AG933" s="200"/>
      <c r="AH933" s="200"/>
      <c r="AI933" s="200"/>
      <c r="AJ933" s="200"/>
      <c r="AK933" s="200"/>
      <c r="AL933" s="200"/>
      <c r="AM933" s="200"/>
      <c r="AN933" s="200"/>
      <c r="AO933" s="200"/>
      <c r="AP933" s="200"/>
      <c r="AQ933" s="200"/>
      <c r="AR933" s="200"/>
      <c r="AS933" s="200"/>
      <c r="AT933" s="200"/>
      <c r="AU933" s="200"/>
      <c r="AV933" s="200"/>
      <c r="AW933" s="200"/>
      <c r="AX933" s="200"/>
      <c r="AY933" s="200"/>
      <c r="AZ933" s="200"/>
      <c r="BA933" s="200"/>
      <c r="BB933" s="200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</row>
    <row r="934" spans="1:71" ht="13.8">
      <c r="A934" s="1"/>
      <c r="B934" s="1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  <c r="AB934" s="200"/>
      <c r="AC934" s="200"/>
      <c r="AD934" s="200"/>
      <c r="AE934" s="200"/>
      <c r="AF934" s="200"/>
      <c r="AG934" s="200"/>
      <c r="AH934" s="200"/>
      <c r="AI934" s="200"/>
      <c r="AJ934" s="200"/>
      <c r="AK934" s="200"/>
      <c r="AL934" s="200"/>
      <c r="AM934" s="200"/>
      <c r="AN934" s="200"/>
      <c r="AO934" s="200"/>
      <c r="AP934" s="200"/>
      <c r="AQ934" s="200"/>
      <c r="AR934" s="200"/>
      <c r="AS934" s="200"/>
      <c r="AT934" s="200"/>
      <c r="AU934" s="200"/>
      <c r="AV934" s="200"/>
      <c r="AW934" s="200"/>
      <c r="AX934" s="200"/>
      <c r="AY934" s="200"/>
      <c r="AZ934" s="200"/>
      <c r="BA934" s="200"/>
      <c r="BB934" s="200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</row>
    <row r="935" spans="1:71" ht="13.8">
      <c r="A935" s="1"/>
      <c r="B935" s="1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  <c r="AB935" s="200"/>
      <c r="AC935" s="200"/>
      <c r="AD935" s="200"/>
      <c r="AE935" s="200"/>
      <c r="AF935" s="200"/>
      <c r="AG935" s="200"/>
      <c r="AH935" s="200"/>
      <c r="AI935" s="200"/>
      <c r="AJ935" s="200"/>
      <c r="AK935" s="200"/>
      <c r="AL935" s="200"/>
      <c r="AM935" s="200"/>
      <c r="AN935" s="200"/>
      <c r="AO935" s="200"/>
      <c r="AP935" s="200"/>
      <c r="AQ935" s="200"/>
      <c r="AR935" s="200"/>
      <c r="AS935" s="200"/>
      <c r="AT935" s="200"/>
      <c r="AU935" s="200"/>
      <c r="AV935" s="200"/>
      <c r="AW935" s="200"/>
      <c r="AX935" s="200"/>
      <c r="AY935" s="200"/>
      <c r="AZ935" s="200"/>
      <c r="BA935" s="200"/>
      <c r="BB935" s="200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</row>
    <row r="936" spans="1:71" ht="13.8">
      <c r="A936" s="1"/>
      <c r="B936" s="1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  <c r="AB936" s="200"/>
      <c r="AC936" s="200"/>
      <c r="AD936" s="200"/>
      <c r="AE936" s="200"/>
      <c r="AF936" s="200"/>
      <c r="AG936" s="200"/>
      <c r="AH936" s="200"/>
      <c r="AI936" s="200"/>
      <c r="AJ936" s="200"/>
      <c r="AK936" s="200"/>
      <c r="AL936" s="200"/>
      <c r="AM936" s="200"/>
      <c r="AN936" s="200"/>
      <c r="AO936" s="200"/>
      <c r="AP936" s="200"/>
      <c r="AQ936" s="200"/>
      <c r="AR936" s="200"/>
      <c r="AS936" s="200"/>
      <c r="AT936" s="200"/>
      <c r="AU936" s="200"/>
      <c r="AV936" s="200"/>
      <c r="AW936" s="200"/>
      <c r="AX936" s="200"/>
      <c r="AY936" s="200"/>
      <c r="AZ936" s="200"/>
      <c r="BA936" s="200"/>
      <c r="BB936" s="200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</row>
    <row r="937" spans="1:71" ht="13.8">
      <c r="A937" s="1"/>
      <c r="B937" s="1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  <c r="AB937" s="200"/>
      <c r="AC937" s="200"/>
      <c r="AD937" s="200"/>
      <c r="AE937" s="200"/>
      <c r="AF937" s="200"/>
      <c r="AG937" s="200"/>
      <c r="AH937" s="200"/>
      <c r="AI937" s="200"/>
      <c r="AJ937" s="200"/>
      <c r="AK937" s="200"/>
      <c r="AL937" s="200"/>
      <c r="AM937" s="200"/>
      <c r="AN937" s="200"/>
      <c r="AO937" s="200"/>
      <c r="AP937" s="200"/>
      <c r="AQ937" s="200"/>
      <c r="AR937" s="200"/>
      <c r="AS937" s="200"/>
      <c r="AT937" s="200"/>
      <c r="AU937" s="200"/>
      <c r="AV937" s="200"/>
      <c r="AW937" s="200"/>
      <c r="AX937" s="200"/>
      <c r="AY937" s="200"/>
      <c r="AZ937" s="200"/>
      <c r="BA937" s="200"/>
      <c r="BB937" s="200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</row>
    <row r="938" spans="1:71" ht="13.8">
      <c r="A938" s="1"/>
      <c r="B938" s="1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  <c r="AB938" s="200"/>
      <c r="AC938" s="200"/>
      <c r="AD938" s="200"/>
      <c r="AE938" s="200"/>
      <c r="AF938" s="200"/>
      <c r="AG938" s="200"/>
      <c r="AH938" s="200"/>
      <c r="AI938" s="200"/>
      <c r="AJ938" s="200"/>
      <c r="AK938" s="200"/>
      <c r="AL938" s="200"/>
      <c r="AM938" s="200"/>
      <c r="AN938" s="200"/>
      <c r="AO938" s="200"/>
      <c r="AP938" s="200"/>
      <c r="AQ938" s="200"/>
      <c r="AR938" s="200"/>
      <c r="AS938" s="200"/>
      <c r="AT938" s="200"/>
      <c r="AU938" s="200"/>
      <c r="AV938" s="200"/>
      <c r="AW938" s="200"/>
      <c r="AX938" s="200"/>
      <c r="AY938" s="200"/>
      <c r="AZ938" s="200"/>
      <c r="BA938" s="200"/>
      <c r="BB938" s="200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</row>
    <row r="939" spans="1:71" ht="13.8">
      <c r="A939" s="1"/>
      <c r="B939" s="1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  <c r="AB939" s="200"/>
      <c r="AC939" s="200"/>
      <c r="AD939" s="200"/>
      <c r="AE939" s="200"/>
      <c r="AF939" s="200"/>
      <c r="AG939" s="200"/>
      <c r="AH939" s="200"/>
      <c r="AI939" s="200"/>
      <c r="AJ939" s="200"/>
      <c r="AK939" s="200"/>
      <c r="AL939" s="200"/>
      <c r="AM939" s="200"/>
      <c r="AN939" s="200"/>
      <c r="AO939" s="200"/>
      <c r="AP939" s="200"/>
      <c r="AQ939" s="200"/>
      <c r="AR939" s="200"/>
      <c r="AS939" s="200"/>
      <c r="AT939" s="200"/>
      <c r="AU939" s="200"/>
      <c r="AV939" s="200"/>
      <c r="AW939" s="200"/>
      <c r="AX939" s="200"/>
      <c r="AY939" s="200"/>
      <c r="AZ939" s="200"/>
      <c r="BA939" s="200"/>
      <c r="BB939" s="200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</row>
    <row r="940" spans="1:71" ht="13.8">
      <c r="A940" s="1"/>
      <c r="B940" s="1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  <c r="AB940" s="200"/>
      <c r="AC940" s="200"/>
      <c r="AD940" s="200"/>
      <c r="AE940" s="200"/>
      <c r="AF940" s="200"/>
      <c r="AG940" s="200"/>
      <c r="AH940" s="200"/>
      <c r="AI940" s="200"/>
      <c r="AJ940" s="200"/>
      <c r="AK940" s="200"/>
      <c r="AL940" s="200"/>
      <c r="AM940" s="200"/>
      <c r="AN940" s="200"/>
      <c r="AO940" s="200"/>
      <c r="AP940" s="200"/>
      <c r="AQ940" s="200"/>
      <c r="AR940" s="200"/>
      <c r="AS940" s="200"/>
      <c r="AT940" s="200"/>
      <c r="AU940" s="200"/>
      <c r="AV940" s="200"/>
      <c r="AW940" s="200"/>
      <c r="AX940" s="200"/>
      <c r="AY940" s="200"/>
      <c r="AZ940" s="200"/>
      <c r="BA940" s="200"/>
      <c r="BB940" s="200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</row>
    <row r="941" spans="1:71" ht="13.8">
      <c r="A941" s="1"/>
      <c r="B941" s="1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  <c r="AB941" s="200"/>
      <c r="AC941" s="200"/>
      <c r="AD941" s="200"/>
      <c r="AE941" s="200"/>
      <c r="AF941" s="200"/>
      <c r="AG941" s="200"/>
      <c r="AH941" s="200"/>
      <c r="AI941" s="200"/>
      <c r="AJ941" s="200"/>
      <c r="AK941" s="200"/>
      <c r="AL941" s="200"/>
      <c r="AM941" s="200"/>
      <c r="AN941" s="200"/>
      <c r="AO941" s="200"/>
      <c r="AP941" s="200"/>
      <c r="AQ941" s="200"/>
      <c r="AR941" s="200"/>
      <c r="AS941" s="200"/>
      <c r="AT941" s="200"/>
      <c r="AU941" s="200"/>
      <c r="AV941" s="200"/>
      <c r="AW941" s="200"/>
      <c r="AX941" s="200"/>
      <c r="AY941" s="200"/>
      <c r="AZ941" s="200"/>
      <c r="BA941" s="200"/>
      <c r="BB941" s="200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</row>
    <row r="942" spans="1:71" ht="13.8">
      <c r="A942" s="1"/>
      <c r="B942" s="1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  <c r="AB942" s="200"/>
      <c r="AC942" s="200"/>
      <c r="AD942" s="200"/>
      <c r="AE942" s="200"/>
      <c r="AF942" s="200"/>
      <c r="AG942" s="200"/>
      <c r="AH942" s="200"/>
      <c r="AI942" s="200"/>
      <c r="AJ942" s="200"/>
      <c r="AK942" s="200"/>
      <c r="AL942" s="200"/>
      <c r="AM942" s="200"/>
      <c r="AN942" s="200"/>
      <c r="AO942" s="200"/>
      <c r="AP942" s="200"/>
      <c r="AQ942" s="200"/>
      <c r="AR942" s="200"/>
      <c r="AS942" s="200"/>
      <c r="AT942" s="200"/>
      <c r="AU942" s="200"/>
      <c r="AV942" s="200"/>
      <c r="AW942" s="200"/>
      <c r="AX942" s="200"/>
      <c r="AY942" s="200"/>
      <c r="AZ942" s="200"/>
      <c r="BA942" s="200"/>
      <c r="BB942" s="200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</row>
    <row r="943" spans="1:71" ht="13.8">
      <c r="A943" s="1"/>
      <c r="B943" s="1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  <c r="AB943" s="200"/>
      <c r="AC943" s="200"/>
      <c r="AD943" s="200"/>
      <c r="AE943" s="200"/>
      <c r="AF943" s="200"/>
      <c r="AG943" s="200"/>
      <c r="AH943" s="200"/>
      <c r="AI943" s="200"/>
      <c r="AJ943" s="200"/>
      <c r="AK943" s="200"/>
      <c r="AL943" s="200"/>
      <c r="AM943" s="200"/>
      <c r="AN943" s="200"/>
      <c r="AO943" s="200"/>
      <c r="AP943" s="200"/>
      <c r="AQ943" s="200"/>
      <c r="AR943" s="200"/>
      <c r="AS943" s="200"/>
      <c r="AT943" s="200"/>
      <c r="AU943" s="200"/>
      <c r="AV943" s="200"/>
      <c r="AW943" s="200"/>
      <c r="AX943" s="200"/>
      <c r="AY943" s="200"/>
      <c r="AZ943" s="200"/>
      <c r="BA943" s="200"/>
      <c r="BB943" s="200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</row>
    <row r="944" spans="1:71" ht="13.8">
      <c r="A944" s="1"/>
      <c r="B944" s="1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  <c r="AH944" s="200"/>
      <c r="AI944" s="200"/>
      <c r="AJ944" s="200"/>
      <c r="AK944" s="200"/>
      <c r="AL944" s="200"/>
      <c r="AM944" s="200"/>
      <c r="AN944" s="200"/>
      <c r="AO944" s="200"/>
      <c r="AP944" s="200"/>
      <c r="AQ944" s="200"/>
      <c r="AR944" s="200"/>
      <c r="AS944" s="200"/>
      <c r="AT944" s="200"/>
      <c r="AU944" s="200"/>
      <c r="AV944" s="200"/>
      <c r="AW944" s="200"/>
      <c r="AX944" s="200"/>
      <c r="AY944" s="200"/>
      <c r="AZ944" s="200"/>
      <c r="BA944" s="200"/>
      <c r="BB944" s="200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</row>
    <row r="945" spans="1:71" ht="13.8">
      <c r="A945" s="1"/>
      <c r="B945" s="1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  <c r="AB945" s="200"/>
      <c r="AC945" s="200"/>
      <c r="AD945" s="200"/>
      <c r="AE945" s="200"/>
      <c r="AF945" s="200"/>
      <c r="AG945" s="200"/>
      <c r="AH945" s="200"/>
      <c r="AI945" s="200"/>
      <c r="AJ945" s="200"/>
      <c r="AK945" s="200"/>
      <c r="AL945" s="200"/>
      <c r="AM945" s="200"/>
      <c r="AN945" s="200"/>
      <c r="AO945" s="200"/>
      <c r="AP945" s="200"/>
      <c r="AQ945" s="200"/>
      <c r="AR945" s="200"/>
      <c r="AS945" s="200"/>
      <c r="AT945" s="200"/>
      <c r="AU945" s="200"/>
      <c r="AV945" s="200"/>
      <c r="AW945" s="200"/>
      <c r="AX945" s="200"/>
      <c r="AY945" s="200"/>
      <c r="AZ945" s="200"/>
      <c r="BA945" s="200"/>
      <c r="BB945" s="200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</row>
    <row r="946" spans="1:71" ht="13.8">
      <c r="A946" s="1"/>
      <c r="B946" s="1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  <c r="AB946" s="200"/>
      <c r="AC946" s="200"/>
      <c r="AD946" s="200"/>
      <c r="AE946" s="200"/>
      <c r="AF946" s="200"/>
      <c r="AG946" s="200"/>
      <c r="AH946" s="200"/>
      <c r="AI946" s="200"/>
      <c r="AJ946" s="200"/>
      <c r="AK946" s="200"/>
      <c r="AL946" s="200"/>
      <c r="AM946" s="200"/>
      <c r="AN946" s="200"/>
      <c r="AO946" s="200"/>
      <c r="AP946" s="200"/>
      <c r="AQ946" s="200"/>
      <c r="AR946" s="200"/>
      <c r="AS946" s="200"/>
      <c r="AT946" s="200"/>
      <c r="AU946" s="200"/>
      <c r="AV946" s="200"/>
      <c r="AW946" s="200"/>
      <c r="AX946" s="200"/>
      <c r="AY946" s="200"/>
      <c r="AZ946" s="200"/>
      <c r="BA946" s="200"/>
      <c r="BB946" s="200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</row>
    <row r="947" spans="1:71" ht="13.8">
      <c r="A947" s="1"/>
      <c r="B947" s="1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  <c r="AB947" s="200"/>
      <c r="AC947" s="200"/>
      <c r="AD947" s="200"/>
      <c r="AE947" s="200"/>
      <c r="AF947" s="200"/>
      <c r="AG947" s="200"/>
      <c r="AH947" s="200"/>
      <c r="AI947" s="200"/>
      <c r="AJ947" s="200"/>
      <c r="AK947" s="200"/>
      <c r="AL947" s="200"/>
      <c r="AM947" s="200"/>
      <c r="AN947" s="200"/>
      <c r="AO947" s="200"/>
      <c r="AP947" s="200"/>
      <c r="AQ947" s="200"/>
      <c r="AR947" s="200"/>
      <c r="AS947" s="200"/>
      <c r="AT947" s="200"/>
      <c r="AU947" s="200"/>
      <c r="AV947" s="200"/>
      <c r="AW947" s="200"/>
      <c r="AX947" s="200"/>
      <c r="AY947" s="200"/>
      <c r="AZ947" s="200"/>
      <c r="BA947" s="200"/>
      <c r="BB947" s="200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</row>
    <row r="948" spans="1:71" ht="13.8">
      <c r="A948" s="1"/>
      <c r="B948" s="1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  <c r="AB948" s="200"/>
      <c r="AC948" s="200"/>
      <c r="AD948" s="200"/>
      <c r="AE948" s="200"/>
      <c r="AF948" s="200"/>
      <c r="AG948" s="200"/>
      <c r="AH948" s="200"/>
      <c r="AI948" s="200"/>
      <c r="AJ948" s="200"/>
      <c r="AK948" s="200"/>
      <c r="AL948" s="200"/>
      <c r="AM948" s="200"/>
      <c r="AN948" s="200"/>
      <c r="AO948" s="200"/>
      <c r="AP948" s="200"/>
      <c r="AQ948" s="200"/>
      <c r="AR948" s="200"/>
      <c r="AS948" s="200"/>
      <c r="AT948" s="200"/>
      <c r="AU948" s="200"/>
      <c r="AV948" s="200"/>
      <c r="AW948" s="200"/>
      <c r="AX948" s="200"/>
      <c r="AY948" s="200"/>
      <c r="AZ948" s="200"/>
      <c r="BA948" s="200"/>
      <c r="BB948" s="200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</row>
    <row r="949" spans="1:71" ht="13.8">
      <c r="A949" s="1"/>
      <c r="B949" s="1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  <c r="AB949" s="200"/>
      <c r="AC949" s="200"/>
      <c r="AD949" s="200"/>
      <c r="AE949" s="200"/>
      <c r="AF949" s="200"/>
      <c r="AG949" s="200"/>
      <c r="AH949" s="200"/>
      <c r="AI949" s="200"/>
      <c r="AJ949" s="200"/>
      <c r="AK949" s="200"/>
      <c r="AL949" s="200"/>
      <c r="AM949" s="200"/>
      <c r="AN949" s="200"/>
      <c r="AO949" s="200"/>
      <c r="AP949" s="200"/>
      <c r="AQ949" s="200"/>
      <c r="AR949" s="200"/>
      <c r="AS949" s="200"/>
      <c r="AT949" s="200"/>
      <c r="AU949" s="200"/>
      <c r="AV949" s="200"/>
      <c r="AW949" s="200"/>
      <c r="AX949" s="200"/>
      <c r="AY949" s="200"/>
      <c r="AZ949" s="200"/>
      <c r="BA949" s="200"/>
      <c r="BB949" s="200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</row>
    <row r="950" spans="1:71" ht="13.8">
      <c r="A950" s="1"/>
      <c r="B950" s="1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  <c r="AB950" s="200"/>
      <c r="AC950" s="200"/>
      <c r="AD950" s="200"/>
      <c r="AE950" s="200"/>
      <c r="AF950" s="200"/>
      <c r="AG950" s="200"/>
      <c r="AH950" s="200"/>
      <c r="AI950" s="200"/>
      <c r="AJ950" s="200"/>
      <c r="AK950" s="200"/>
      <c r="AL950" s="200"/>
      <c r="AM950" s="200"/>
      <c r="AN950" s="200"/>
      <c r="AO950" s="200"/>
      <c r="AP950" s="200"/>
      <c r="AQ950" s="200"/>
      <c r="AR950" s="200"/>
      <c r="AS950" s="200"/>
      <c r="AT950" s="200"/>
      <c r="AU950" s="200"/>
      <c r="AV950" s="200"/>
      <c r="AW950" s="200"/>
      <c r="AX950" s="200"/>
      <c r="AY950" s="200"/>
      <c r="AZ950" s="200"/>
      <c r="BA950" s="200"/>
      <c r="BB950" s="200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</row>
    <row r="951" spans="1:71" ht="13.8">
      <c r="A951" s="1"/>
      <c r="B951" s="1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  <c r="AB951" s="200"/>
      <c r="AC951" s="200"/>
      <c r="AD951" s="200"/>
      <c r="AE951" s="200"/>
      <c r="AF951" s="200"/>
      <c r="AG951" s="200"/>
      <c r="AH951" s="200"/>
      <c r="AI951" s="200"/>
      <c r="AJ951" s="200"/>
      <c r="AK951" s="200"/>
      <c r="AL951" s="200"/>
      <c r="AM951" s="200"/>
      <c r="AN951" s="200"/>
      <c r="AO951" s="200"/>
      <c r="AP951" s="200"/>
      <c r="AQ951" s="200"/>
      <c r="AR951" s="200"/>
      <c r="AS951" s="200"/>
      <c r="AT951" s="200"/>
      <c r="AU951" s="200"/>
      <c r="AV951" s="200"/>
      <c r="AW951" s="200"/>
      <c r="AX951" s="200"/>
      <c r="AY951" s="200"/>
      <c r="AZ951" s="200"/>
      <c r="BA951" s="200"/>
      <c r="BB951" s="200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</row>
    <row r="952" spans="1:71" ht="13.8">
      <c r="A952" s="1"/>
      <c r="B952" s="1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  <c r="AB952" s="200"/>
      <c r="AC952" s="200"/>
      <c r="AD952" s="200"/>
      <c r="AE952" s="200"/>
      <c r="AF952" s="200"/>
      <c r="AG952" s="200"/>
      <c r="AH952" s="200"/>
      <c r="AI952" s="200"/>
      <c r="AJ952" s="200"/>
      <c r="AK952" s="200"/>
      <c r="AL952" s="200"/>
      <c r="AM952" s="200"/>
      <c r="AN952" s="200"/>
      <c r="AO952" s="200"/>
      <c r="AP952" s="200"/>
      <c r="AQ952" s="200"/>
      <c r="AR952" s="200"/>
      <c r="AS952" s="200"/>
      <c r="AT952" s="200"/>
      <c r="AU952" s="200"/>
      <c r="AV952" s="200"/>
      <c r="AW952" s="200"/>
      <c r="AX952" s="200"/>
      <c r="AY952" s="200"/>
      <c r="AZ952" s="200"/>
      <c r="BA952" s="200"/>
      <c r="BB952" s="200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</row>
    <row r="953" spans="1:71" ht="13.8">
      <c r="A953" s="1"/>
      <c r="B953" s="1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  <c r="AB953" s="200"/>
      <c r="AC953" s="200"/>
      <c r="AD953" s="200"/>
      <c r="AE953" s="200"/>
      <c r="AF953" s="200"/>
      <c r="AG953" s="200"/>
      <c r="AH953" s="200"/>
      <c r="AI953" s="200"/>
      <c r="AJ953" s="200"/>
      <c r="AK953" s="200"/>
      <c r="AL953" s="200"/>
      <c r="AM953" s="200"/>
      <c r="AN953" s="200"/>
      <c r="AO953" s="200"/>
      <c r="AP953" s="200"/>
      <c r="AQ953" s="200"/>
      <c r="AR953" s="200"/>
      <c r="AS953" s="200"/>
      <c r="AT953" s="200"/>
      <c r="AU953" s="200"/>
      <c r="AV953" s="200"/>
      <c r="AW953" s="200"/>
      <c r="AX953" s="200"/>
      <c r="AY953" s="200"/>
      <c r="AZ953" s="200"/>
      <c r="BA953" s="200"/>
      <c r="BB953" s="200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</row>
    <row r="954" spans="1:71" ht="13.8">
      <c r="A954" s="1"/>
      <c r="B954" s="1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  <c r="AB954" s="200"/>
      <c r="AC954" s="200"/>
      <c r="AD954" s="200"/>
      <c r="AE954" s="200"/>
      <c r="AF954" s="200"/>
      <c r="AG954" s="200"/>
      <c r="AH954" s="200"/>
      <c r="AI954" s="200"/>
      <c r="AJ954" s="200"/>
      <c r="AK954" s="200"/>
      <c r="AL954" s="200"/>
      <c r="AM954" s="200"/>
      <c r="AN954" s="200"/>
      <c r="AO954" s="200"/>
      <c r="AP954" s="200"/>
      <c r="AQ954" s="200"/>
      <c r="AR954" s="200"/>
      <c r="AS954" s="200"/>
      <c r="AT954" s="200"/>
      <c r="AU954" s="200"/>
      <c r="AV954" s="200"/>
      <c r="AW954" s="200"/>
      <c r="AX954" s="200"/>
      <c r="AY954" s="200"/>
      <c r="AZ954" s="200"/>
      <c r="BA954" s="200"/>
      <c r="BB954" s="200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</row>
    <row r="955" spans="1:71" ht="13.8">
      <c r="A955" s="1"/>
      <c r="B955" s="1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  <c r="AB955" s="200"/>
      <c r="AC955" s="200"/>
      <c r="AD955" s="200"/>
      <c r="AE955" s="200"/>
      <c r="AF955" s="200"/>
      <c r="AG955" s="200"/>
      <c r="AH955" s="200"/>
      <c r="AI955" s="200"/>
      <c r="AJ955" s="200"/>
      <c r="AK955" s="200"/>
      <c r="AL955" s="200"/>
      <c r="AM955" s="200"/>
      <c r="AN955" s="200"/>
      <c r="AO955" s="200"/>
      <c r="AP955" s="200"/>
      <c r="AQ955" s="200"/>
      <c r="AR955" s="200"/>
      <c r="AS955" s="200"/>
      <c r="AT955" s="200"/>
      <c r="AU955" s="200"/>
      <c r="AV955" s="200"/>
      <c r="AW955" s="200"/>
      <c r="AX955" s="200"/>
      <c r="AY955" s="200"/>
      <c r="AZ955" s="200"/>
      <c r="BA955" s="200"/>
      <c r="BB955" s="200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</row>
    <row r="956" spans="1:71" ht="13.8">
      <c r="A956" s="1"/>
      <c r="B956" s="1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  <c r="AB956" s="200"/>
      <c r="AC956" s="200"/>
      <c r="AD956" s="200"/>
      <c r="AE956" s="200"/>
      <c r="AF956" s="200"/>
      <c r="AG956" s="200"/>
      <c r="AH956" s="200"/>
      <c r="AI956" s="200"/>
      <c r="AJ956" s="200"/>
      <c r="AK956" s="200"/>
      <c r="AL956" s="200"/>
      <c r="AM956" s="200"/>
      <c r="AN956" s="200"/>
      <c r="AO956" s="200"/>
      <c r="AP956" s="200"/>
      <c r="AQ956" s="200"/>
      <c r="AR956" s="200"/>
      <c r="AS956" s="200"/>
      <c r="AT956" s="200"/>
      <c r="AU956" s="200"/>
      <c r="AV956" s="200"/>
      <c r="AW956" s="200"/>
      <c r="AX956" s="200"/>
      <c r="AY956" s="200"/>
      <c r="AZ956" s="200"/>
      <c r="BA956" s="200"/>
      <c r="BB956" s="200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</row>
    <row r="957" spans="1:71" ht="13.8">
      <c r="A957" s="1"/>
      <c r="B957" s="1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  <c r="AB957" s="200"/>
      <c r="AC957" s="200"/>
      <c r="AD957" s="200"/>
      <c r="AE957" s="200"/>
      <c r="AF957" s="200"/>
      <c r="AG957" s="200"/>
      <c r="AH957" s="200"/>
      <c r="AI957" s="200"/>
      <c r="AJ957" s="200"/>
      <c r="AK957" s="200"/>
      <c r="AL957" s="200"/>
      <c r="AM957" s="200"/>
      <c r="AN957" s="200"/>
      <c r="AO957" s="200"/>
      <c r="AP957" s="200"/>
      <c r="AQ957" s="200"/>
      <c r="AR957" s="200"/>
      <c r="AS957" s="200"/>
      <c r="AT957" s="200"/>
      <c r="AU957" s="200"/>
      <c r="AV957" s="200"/>
      <c r="AW957" s="200"/>
      <c r="AX957" s="200"/>
      <c r="AY957" s="200"/>
      <c r="AZ957" s="200"/>
      <c r="BA957" s="200"/>
      <c r="BB957" s="200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</row>
    <row r="958" spans="1:71" ht="13.8">
      <c r="A958" s="1"/>
      <c r="B958" s="1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  <c r="AB958" s="200"/>
      <c r="AC958" s="200"/>
      <c r="AD958" s="200"/>
      <c r="AE958" s="200"/>
      <c r="AF958" s="200"/>
      <c r="AG958" s="200"/>
      <c r="AH958" s="200"/>
      <c r="AI958" s="200"/>
      <c r="AJ958" s="200"/>
      <c r="AK958" s="200"/>
      <c r="AL958" s="200"/>
      <c r="AM958" s="200"/>
      <c r="AN958" s="200"/>
      <c r="AO958" s="200"/>
      <c r="AP958" s="200"/>
      <c r="AQ958" s="200"/>
      <c r="AR958" s="200"/>
      <c r="AS958" s="200"/>
      <c r="AT958" s="200"/>
      <c r="AU958" s="200"/>
      <c r="AV958" s="200"/>
      <c r="AW958" s="200"/>
      <c r="AX958" s="200"/>
      <c r="AY958" s="200"/>
      <c r="AZ958" s="200"/>
      <c r="BA958" s="200"/>
      <c r="BB958" s="200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</row>
    <row r="959" spans="1:71" ht="13.8">
      <c r="A959" s="1"/>
      <c r="B959" s="1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  <c r="AB959" s="200"/>
      <c r="AC959" s="200"/>
      <c r="AD959" s="200"/>
      <c r="AE959" s="200"/>
      <c r="AF959" s="200"/>
      <c r="AG959" s="200"/>
      <c r="AH959" s="200"/>
      <c r="AI959" s="200"/>
      <c r="AJ959" s="200"/>
      <c r="AK959" s="200"/>
      <c r="AL959" s="200"/>
      <c r="AM959" s="200"/>
      <c r="AN959" s="200"/>
      <c r="AO959" s="200"/>
      <c r="AP959" s="200"/>
      <c r="AQ959" s="200"/>
      <c r="AR959" s="200"/>
      <c r="AS959" s="200"/>
      <c r="AT959" s="200"/>
      <c r="AU959" s="200"/>
      <c r="AV959" s="200"/>
      <c r="AW959" s="200"/>
      <c r="AX959" s="200"/>
      <c r="AY959" s="200"/>
      <c r="AZ959" s="200"/>
      <c r="BA959" s="200"/>
      <c r="BB959" s="200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</row>
    <row r="960" spans="1:71" ht="13.8">
      <c r="A960" s="1"/>
      <c r="B960" s="1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  <c r="AB960" s="200"/>
      <c r="AC960" s="200"/>
      <c r="AD960" s="200"/>
      <c r="AE960" s="200"/>
      <c r="AF960" s="200"/>
      <c r="AG960" s="200"/>
      <c r="AH960" s="200"/>
      <c r="AI960" s="200"/>
      <c r="AJ960" s="200"/>
      <c r="AK960" s="200"/>
      <c r="AL960" s="200"/>
      <c r="AM960" s="200"/>
      <c r="AN960" s="200"/>
      <c r="AO960" s="200"/>
      <c r="AP960" s="200"/>
      <c r="AQ960" s="200"/>
      <c r="AR960" s="200"/>
      <c r="AS960" s="200"/>
      <c r="AT960" s="200"/>
      <c r="AU960" s="200"/>
      <c r="AV960" s="200"/>
      <c r="AW960" s="200"/>
      <c r="AX960" s="200"/>
      <c r="AY960" s="200"/>
      <c r="AZ960" s="200"/>
      <c r="BA960" s="200"/>
      <c r="BB960" s="200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</row>
    <row r="961" spans="1:71" ht="13.8">
      <c r="A961" s="1"/>
      <c r="B961" s="1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  <c r="AB961" s="200"/>
      <c r="AC961" s="200"/>
      <c r="AD961" s="200"/>
      <c r="AE961" s="200"/>
      <c r="AF961" s="200"/>
      <c r="AG961" s="200"/>
      <c r="AH961" s="200"/>
      <c r="AI961" s="200"/>
      <c r="AJ961" s="200"/>
      <c r="AK961" s="200"/>
      <c r="AL961" s="200"/>
      <c r="AM961" s="200"/>
      <c r="AN961" s="200"/>
      <c r="AO961" s="200"/>
      <c r="AP961" s="200"/>
      <c r="AQ961" s="200"/>
      <c r="AR961" s="200"/>
      <c r="AS961" s="200"/>
      <c r="AT961" s="200"/>
      <c r="AU961" s="200"/>
      <c r="AV961" s="200"/>
      <c r="AW961" s="200"/>
      <c r="AX961" s="200"/>
      <c r="AY961" s="200"/>
      <c r="AZ961" s="200"/>
      <c r="BA961" s="200"/>
      <c r="BB961" s="200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</row>
    <row r="962" spans="1:71" ht="13.8">
      <c r="A962" s="1"/>
      <c r="B962" s="1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  <c r="AB962" s="200"/>
      <c r="AC962" s="200"/>
      <c r="AD962" s="200"/>
      <c r="AE962" s="200"/>
      <c r="AF962" s="200"/>
      <c r="AG962" s="200"/>
      <c r="AH962" s="200"/>
      <c r="AI962" s="200"/>
      <c r="AJ962" s="200"/>
      <c r="AK962" s="200"/>
      <c r="AL962" s="200"/>
      <c r="AM962" s="200"/>
      <c r="AN962" s="200"/>
      <c r="AO962" s="200"/>
      <c r="AP962" s="200"/>
      <c r="AQ962" s="200"/>
      <c r="AR962" s="200"/>
      <c r="AS962" s="200"/>
      <c r="AT962" s="200"/>
      <c r="AU962" s="200"/>
      <c r="AV962" s="200"/>
      <c r="AW962" s="200"/>
      <c r="AX962" s="200"/>
      <c r="AY962" s="200"/>
      <c r="AZ962" s="200"/>
      <c r="BA962" s="200"/>
      <c r="BB962" s="200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</row>
    <row r="963" spans="1:71" ht="13.8">
      <c r="A963" s="1"/>
      <c r="B963" s="1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  <c r="AB963" s="200"/>
      <c r="AC963" s="200"/>
      <c r="AD963" s="200"/>
      <c r="AE963" s="200"/>
      <c r="AF963" s="200"/>
      <c r="AG963" s="200"/>
      <c r="AH963" s="200"/>
      <c r="AI963" s="200"/>
      <c r="AJ963" s="200"/>
      <c r="AK963" s="200"/>
      <c r="AL963" s="200"/>
      <c r="AM963" s="200"/>
      <c r="AN963" s="200"/>
      <c r="AO963" s="200"/>
      <c r="AP963" s="200"/>
      <c r="AQ963" s="200"/>
      <c r="AR963" s="200"/>
      <c r="AS963" s="200"/>
      <c r="AT963" s="200"/>
      <c r="AU963" s="200"/>
      <c r="AV963" s="200"/>
      <c r="AW963" s="200"/>
      <c r="AX963" s="200"/>
      <c r="AY963" s="200"/>
      <c r="AZ963" s="200"/>
      <c r="BA963" s="200"/>
      <c r="BB963" s="200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</row>
    <row r="964" spans="1:71" ht="13.8">
      <c r="A964" s="1"/>
      <c r="B964" s="1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  <c r="AB964" s="200"/>
      <c r="AC964" s="200"/>
      <c r="AD964" s="200"/>
      <c r="AE964" s="200"/>
      <c r="AF964" s="200"/>
      <c r="AG964" s="200"/>
      <c r="AH964" s="200"/>
      <c r="AI964" s="200"/>
      <c r="AJ964" s="200"/>
      <c r="AK964" s="200"/>
      <c r="AL964" s="200"/>
      <c r="AM964" s="200"/>
      <c r="AN964" s="200"/>
      <c r="AO964" s="200"/>
      <c r="AP964" s="200"/>
      <c r="AQ964" s="200"/>
      <c r="AR964" s="200"/>
      <c r="AS964" s="200"/>
      <c r="AT964" s="200"/>
      <c r="AU964" s="200"/>
      <c r="AV964" s="200"/>
      <c r="AW964" s="200"/>
      <c r="AX964" s="200"/>
      <c r="AY964" s="200"/>
      <c r="AZ964" s="200"/>
      <c r="BA964" s="200"/>
      <c r="BB964" s="200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</row>
    <row r="965" spans="1:71" ht="13.8">
      <c r="A965" s="1"/>
      <c r="B965" s="1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  <c r="AB965" s="200"/>
      <c r="AC965" s="200"/>
      <c r="AD965" s="200"/>
      <c r="AE965" s="200"/>
      <c r="AF965" s="200"/>
      <c r="AG965" s="200"/>
      <c r="AH965" s="200"/>
      <c r="AI965" s="200"/>
      <c r="AJ965" s="200"/>
      <c r="AK965" s="200"/>
      <c r="AL965" s="200"/>
      <c r="AM965" s="200"/>
      <c r="AN965" s="200"/>
      <c r="AO965" s="200"/>
      <c r="AP965" s="200"/>
      <c r="AQ965" s="200"/>
      <c r="AR965" s="200"/>
      <c r="AS965" s="200"/>
      <c r="AT965" s="200"/>
      <c r="AU965" s="200"/>
      <c r="AV965" s="200"/>
      <c r="AW965" s="200"/>
      <c r="AX965" s="200"/>
      <c r="AY965" s="200"/>
      <c r="AZ965" s="200"/>
      <c r="BA965" s="200"/>
      <c r="BB965" s="200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</row>
    <row r="966" spans="1:71" ht="13.8">
      <c r="A966" s="1"/>
      <c r="B966" s="1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  <c r="AB966" s="200"/>
      <c r="AC966" s="200"/>
      <c r="AD966" s="200"/>
      <c r="AE966" s="200"/>
      <c r="AF966" s="200"/>
      <c r="AG966" s="200"/>
      <c r="AH966" s="200"/>
      <c r="AI966" s="200"/>
      <c r="AJ966" s="200"/>
      <c r="AK966" s="200"/>
      <c r="AL966" s="200"/>
      <c r="AM966" s="200"/>
      <c r="AN966" s="200"/>
      <c r="AO966" s="200"/>
      <c r="AP966" s="200"/>
      <c r="AQ966" s="200"/>
      <c r="AR966" s="200"/>
      <c r="AS966" s="200"/>
      <c r="AT966" s="200"/>
      <c r="AU966" s="200"/>
      <c r="AV966" s="200"/>
      <c r="AW966" s="200"/>
      <c r="AX966" s="200"/>
      <c r="AY966" s="200"/>
      <c r="AZ966" s="200"/>
      <c r="BA966" s="200"/>
      <c r="BB966" s="200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</row>
    <row r="967" spans="1:71" ht="13.8">
      <c r="A967" s="1"/>
      <c r="B967" s="1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  <c r="AB967" s="200"/>
      <c r="AC967" s="200"/>
      <c r="AD967" s="200"/>
      <c r="AE967" s="200"/>
      <c r="AF967" s="200"/>
      <c r="AG967" s="200"/>
      <c r="AH967" s="200"/>
      <c r="AI967" s="200"/>
      <c r="AJ967" s="200"/>
      <c r="AK967" s="200"/>
      <c r="AL967" s="200"/>
      <c r="AM967" s="200"/>
      <c r="AN967" s="200"/>
      <c r="AO967" s="200"/>
      <c r="AP967" s="200"/>
      <c r="AQ967" s="200"/>
      <c r="AR967" s="200"/>
      <c r="AS967" s="200"/>
      <c r="AT967" s="200"/>
      <c r="AU967" s="200"/>
      <c r="AV967" s="200"/>
      <c r="AW967" s="200"/>
      <c r="AX967" s="200"/>
      <c r="AY967" s="200"/>
      <c r="AZ967" s="200"/>
      <c r="BA967" s="200"/>
      <c r="BB967" s="200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</row>
    <row r="968" spans="1:71" ht="13.8">
      <c r="A968" s="1"/>
      <c r="B968" s="1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  <c r="AB968" s="200"/>
      <c r="AC968" s="200"/>
      <c r="AD968" s="200"/>
      <c r="AE968" s="200"/>
      <c r="AF968" s="200"/>
      <c r="AG968" s="200"/>
      <c r="AH968" s="200"/>
      <c r="AI968" s="200"/>
      <c r="AJ968" s="200"/>
      <c r="AK968" s="200"/>
      <c r="AL968" s="200"/>
      <c r="AM968" s="200"/>
      <c r="AN968" s="200"/>
      <c r="AO968" s="200"/>
      <c r="AP968" s="200"/>
      <c r="AQ968" s="200"/>
      <c r="AR968" s="200"/>
      <c r="AS968" s="200"/>
      <c r="AT968" s="200"/>
      <c r="AU968" s="200"/>
      <c r="AV968" s="200"/>
      <c r="AW968" s="200"/>
      <c r="AX968" s="200"/>
      <c r="AY968" s="200"/>
      <c r="AZ968" s="200"/>
      <c r="BA968" s="200"/>
      <c r="BB968" s="200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</row>
    <row r="969" spans="1:71" ht="13.8">
      <c r="A969" s="1"/>
      <c r="B969" s="1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  <c r="AB969" s="200"/>
      <c r="AC969" s="200"/>
      <c r="AD969" s="200"/>
      <c r="AE969" s="200"/>
      <c r="AF969" s="200"/>
      <c r="AG969" s="200"/>
      <c r="AH969" s="200"/>
      <c r="AI969" s="200"/>
      <c r="AJ969" s="200"/>
      <c r="AK969" s="200"/>
      <c r="AL969" s="200"/>
      <c r="AM969" s="200"/>
      <c r="AN969" s="200"/>
      <c r="AO969" s="200"/>
      <c r="AP969" s="200"/>
      <c r="AQ969" s="200"/>
      <c r="AR969" s="200"/>
      <c r="AS969" s="200"/>
      <c r="AT969" s="200"/>
      <c r="AU969" s="200"/>
      <c r="AV969" s="200"/>
      <c r="AW969" s="200"/>
      <c r="AX969" s="200"/>
      <c r="AY969" s="200"/>
      <c r="AZ969" s="200"/>
      <c r="BA969" s="200"/>
      <c r="BB969" s="200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</row>
    <row r="970" spans="1:71" ht="13.8">
      <c r="A970" s="1"/>
      <c r="B970" s="1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  <c r="AB970" s="200"/>
      <c r="AC970" s="200"/>
      <c r="AD970" s="200"/>
      <c r="AE970" s="200"/>
      <c r="AF970" s="200"/>
      <c r="AG970" s="200"/>
      <c r="AH970" s="200"/>
      <c r="AI970" s="200"/>
      <c r="AJ970" s="200"/>
      <c r="AK970" s="200"/>
      <c r="AL970" s="200"/>
      <c r="AM970" s="200"/>
      <c r="AN970" s="200"/>
      <c r="AO970" s="200"/>
      <c r="AP970" s="200"/>
      <c r="AQ970" s="200"/>
      <c r="AR970" s="200"/>
      <c r="AS970" s="200"/>
      <c r="AT970" s="200"/>
      <c r="AU970" s="200"/>
      <c r="AV970" s="200"/>
      <c r="AW970" s="200"/>
      <c r="AX970" s="200"/>
      <c r="AY970" s="200"/>
      <c r="AZ970" s="200"/>
      <c r="BA970" s="200"/>
      <c r="BB970" s="200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</row>
    <row r="971" spans="1:71" ht="13.8">
      <c r="A971" s="1"/>
      <c r="B971" s="1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  <c r="AB971" s="200"/>
      <c r="AC971" s="200"/>
      <c r="AD971" s="200"/>
      <c r="AE971" s="200"/>
      <c r="AF971" s="200"/>
      <c r="AG971" s="200"/>
      <c r="AH971" s="200"/>
      <c r="AI971" s="200"/>
      <c r="AJ971" s="200"/>
      <c r="AK971" s="200"/>
      <c r="AL971" s="200"/>
      <c r="AM971" s="200"/>
      <c r="AN971" s="200"/>
      <c r="AO971" s="200"/>
      <c r="AP971" s="200"/>
      <c r="AQ971" s="200"/>
      <c r="AR971" s="200"/>
      <c r="AS971" s="200"/>
      <c r="AT971" s="200"/>
      <c r="AU971" s="200"/>
      <c r="AV971" s="200"/>
      <c r="AW971" s="200"/>
      <c r="AX971" s="200"/>
      <c r="AY971" s="200"/>
      <c r="AZ971" s="200"/>
      <c r="BA971" s="200"/>
      <c r="BB971" s="200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</row>
    <row r="972" spans="1:71" ht="13.8">
      <c r="A972" s="1"/>
      <c r="B972" s="1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  <c r="AB972" s="200"/>
      <c r="AC972" s="200"/>
      <c r="AD972" s="200"/>
      <c r="AE972" s="200"/>
      <c r="AF972" s="200"/>
      <c r="AG972" s="200"/>
      <c r="AH972" s="200"/>
      <c r="AI972" s="200"/>
      <c r="AJ972" s="200"/>
      <c r="AK972" s="200"/>
      <c r="AL972" s="200"/>
      <c r="AM972" s="200"/>
      <c r="AN972" s="200"/>
      <c r="AO972" s="200"/>
      <c r="AP972" s="200"/>
      <c r="AQ972" s="200"/>
      <c r="AR972" s="200"/>
      <c r="AS972" s="200"/>
      <c r="AT972" s="200"/>
      <c r="AU972" s="200"/>
      <c r="AV972" s="200"/>
      <c r="AW972" s="200"/>
      <c r="AX972" s="200"/>
      <c r="AY972" s="200"/>
      <c r="AZ972" s="200"/>
      <c r="BA972" s="200"/>
      <c r="BB972" s="200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</row>
    <row r="973" spans="1:71" ht="13.8">
      <c r="A973" s="1"/>
      <c r="B973" s="1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  <c r="AB973" s="200"/>
      <c r="AC973" s="200"/>
      <c r="AD973" s="200"/>
      <c r="AE973" s="200"/>
      <c r="AF973" s="200"/>
      <c r="AG973" s="200"/>
      <c r="AH973" s="200"/>
      <c r="AI973" s="200"/>
      <c r="AJ973" s="200"/>
      <c r="AK973" s="200"/>
      <c r="AL973" s="200"/>
      <c r="AM973" s="200"/>
      <c r="AN973" s="200"/>
      <c r="AO973" s="200"/>
      <c r="AP973" s="200"/>
      <c r="AQ973" s="200"/>
      <c r="AR973" s="200"/>
      <c r="AS973" s="200"/>
      <c r="AT973" s="200"/>
      <c r="AU973" s="200"/>
      <c r="AV973" s="200"/>
      <c r="AW973" s="200"/>
      <c r="AX973" s="200"/>
      <c r="AY973" s="200"/>
      <c r="AZ973" s="200"/>
      <c r="BA973" s="200"/>
      <c r="BB973" s="200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</row>
    <row r="974" spans="1:71" ht="13.8">
      <c r="A974" s="1"/>
      <c r="B974" s="1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  <c r="AB974" s="200"/>
      <c r="AC974" s="200"/>
      <c r="AD974" s="200"/>
      <c r="AE974" s="200"/>
      <c r="AF974" s="200"/>
      <c r="AG974" s="200"/>
      <c r="AH974" s="200"/>
      <c r="AI974" s="200"/>
      <c r="AJ974" s="200"/>
      <c r="AK974" s="200"/>
      <c r="AL974" s="200"/>
      <c r="AM974" s="200"/>
      <c r="AN974" s="200"/>
      <c r="AO974" s="200"/>
      <c r="AP974" s="200"/>
      <c r="AQ974" s="200"/>
      <c r="AR974" s="200"/>
      <c r="AS974" s="200"/>
      <c r="AT974" s="200"/>
      <c r="AU974" s="200"/>
      <c r="AV974" s="200"/>
      <c r="AW974" s="200"/>
      <c r="AX974" s="200"/>
      <c r="AY974" s="200"/>
      <c r="AZ974" s="200"/>
      <c r="BA974" s="200"/>
      <c r="BB974" s="200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</row>
    <row r="975" spans="1:71" ht="13.8">
      <c r="A975" s="1"/>
      <c r="B975" s="1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  <c r="AB975" s="200"/>
      <c r="AC975" s="200"/>
      <c r="AD975" s="200"/>
      <c r="AE975" s="200"/>
      <c r="AF975" s="200"/>
      <c r="AG975" s="200"/>
      <c r="AH975" s="200"/>
      <c r="AI975" s="200"/>
      <c r="AJ975" s="200"/>
      <c r="AK975" s="200"/>
      <c r="AL975" s="200"/>
      <c r="AM975" s="200"/>
      <c r="AN975" s="200"/>
      <c r="AO975" s="200"/>
      <c r="AP975" s="200"/>
      <c r="AQ975" s="200"/>
      <c r="AR975" s="200"/>
      <c r="AS975" s="200"/>
      <c r="AT975" s="200"/>
      <c r="AU975" s="200"/>
      <c r="AV975" s="200"/>
      <c r="AW975" s="200"/>
      <c r="AX975" s="200"/>
      <c r="AY975" s="200"/>
      <c r="AZ975" s="200"/>
      <c r="BA975" s="200"/>
      <c r="BB975" s="200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</row>
    <row r="976" spans="1:71" ht="13.8">
      <c r="A976" s="1"/>
      <c r="B976" s="1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  <c r="AB976" s="200"/>
      <c r="AC976" s="200"/>
      <c r="AD976" s="200"/>
      <c r="AE976" s="200"/>
      <c r="AF976" s="200"/>
      <c r="AG976" s="200"/>
      <c r="AH976" s="200"/>
      <c r="AI976" s="200"/>
      <c r="AJ976" s="200"/>
      <c r="AK976" s="200"/>
      <c r="AL976" s="200"/>
      <c r="AM976" s="200"/>
      <c r="AN976" s="200"/>
      <c r="AO976" s="200"/>
      <c r="AP976" s="200"/>
      <c r="AQ976" s="200"/>
      <c r="AR976" s="200"/>
      <c r="AS976" s="200"/>
      <c r="AT976" s="200"/>
      <c r="AU976" s="200"/>
      <c r="AV976" s="200"/>
      <c r="AW976" s="200"/>
      <c r="AX976" s="200"/>
      <c r="AY976" s="200"/>
      <c r="AZ976" s="200"/>
      <c r="BA976" s="200"/>
      <c r="BB976" s="200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</row>
    <row r="977" spans="1:71" ht="13.8">
      <c r="A977" s="1"/>
      <c r="B977" s="1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  <c r="AB977" s="200"/>
      <c r="AC977" s="200"/>
      <c r="AD977" s="200"/>
      <c r="AE977" s="200"/>
      <c r="AF977" s="200"/>
      <c r="AG977" s="200"/>
      <c r="AH977" s="200"/>
      <c r="AI977" s="200"/>
      <c r="AJ977" s="200"/>
      <c r="AK977" s="200"/>
      <c r="AL977" s="200"/>
      <c r="AM977" s="200"/>
      <c r="AN977" s="200"/>
      <c r="AO977" s="200"/>
      <c r="AP977" s="200"/>
      <c r="AQ977" s="200"/>
      <c r="AR977" s="200"/>
      <c r="AS977" s="200"/>
      <c r="AT977" s="200"/>
      <c r="AU977" s="200"/>
      <c r="AV977" s="200"/>
      <c r="AW977" s="200"/>
      <c r="AX977" s="200"/>
      <c r="AY977" s="200"/>
      <c r="AZ977" s="200"/>
      <c r="BA977" s="200"/>
      <c r="BB977" s="200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</row>
    <row r="978" spans="1:71" ht="13.8">
      <c r="A978" s="1"/>
      <c r="B978" s="1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  <c r="AB978" s="200"/>
      <c r="AC978" s="200"/>
      <c r="AD978" s="200"/>
      <c r="AE978" s="200"/>
      <c r="AF978" s="200"/>
      <c r="AG978" s="200"/>
      <c r="AH978" s="200"/>
      <c r="AI978" s="200"/>
      <c r="AJ978" s="200"/>
      <c r="AK978" s="200"/>
      <c r="AL978" s="200"/>
      <c r="AM978" s="200"/>
      <c r="AN978" s="200"/>
      <c r="AO978" s="200"/>
      <c r="AP978" s="200"/>
      <c r="AQ978" s="200"/>
      <c r="AR978" s="200"/>
      <c r="AS978" s="200"/>
      <c r="AT978" s="200"/>
      <c r="AU978" s="200"/>
      <c r="AV978" s="200"/>
      <c r="AW978" s="200"/>
      <c r="AX978" s="200"/>
      <c r="AY978" s="200"/>
      <c r="AZ978" s="200"/>
      <c r="BA978" s="200"/>
      <c r="BB978" s="200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</row>
    <row r="979" spans="1:71" ht="13.8">
      <c r="A979" s="1"/>
      <c r="B979" s="1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  <c r="AB979" s="200"/>
      <c r="AC979" s="200"/>
      <c r="AD979" s="200"/>
      <c r="AE979" s="200"/>
      <c r="AF979" s="200"/>
      <c r="AG979" s="200"/>
      <c r="AH979" s="200"/>
      <c r="AI979" s="200"/>
      <c r="AJ979" s="200"/>
      <c r="AK979" s="200"/>
      <c r="AL979" s="200"/>
      <c r="AM979" s="200"/>
      <c r="AN979" s="200"/>
      <c r="AO979" s="200"/>
      <c r="AP979" s="200"/>
      <c r="AQ979" s="200"/>
      <c r="AR979" s="200"/>
      <c r="AS979" s="200"/>
      <c r="AT979" s="200"/>
      <c r="AU979" s="200"/>
      <c r="AV979" s="200"/>
      <c r="AW979" s="200"/>
      <c r="AX979" s="200"/>
      <c r="AY979" s="200"/>
      <c r="AZ979" s="200"/>
      <c r="BA979" s="200"/>
      <c r="BB979" s="200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</row>
    <row r="980" spans="1:71" ht="13.8">
      <c r="A980" s="1"/>
      <c r="B980" s="1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  <c r="AB980" s="200"/>
      <c r="AC980" s="200"/>
      <c r="AD980" s="200"/>
      <c r="AE980" s="200"/>
      <c r="AF980" s="200"/>
      <c r="AG980" s="200"/>
      <c r="AH980" s="200"/>
      <c r="AI980" s="200"/>
      <c r="AJ980" s="200"/>
      <c r="AK980" s="200"/>
      <c r="AL980" s="200"/>
      <c r="AM980" s="200"/>
      <c r="AN980" s="200"/>
      <c r="AO980" s="200"/>
      <c r="AP980" s="200"/>
      <c r="AQ980" s="200"/>
      <c r="AR980" s="200"/>
      <c r="AS980" s="200"/>
      <c r="AT980" s="200"/>
      <c r="AU980" s="200"/>
      <c r="AV980" s="200"/>
      <c r="AW980" s="200"/>
      <c r="AX980" s="200"/>
      <c r="AY980" s="200"/>
      <c r="AZ980" s="200"/>
      <c r="BA980" s="200"/>
      <c r="BB980" s="200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</row>
    <row r="981" spans="1:71" ht="13.8">
      <c r="A981" s="1"/>
      <c r="B981" s="1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  <c r="AB981" s="200"/>
      <c r="AC981" s="200"/>
      <c r="AD981" s="200"/>
      <c r="AE981" s="200"/>
      <c r="AF981" s="200"/>
      <c r="AG981" s="200"/>
      <c r="AH981" s="200"/>
      <c r="AI981" s="200"/>
      <c r="AJ981" s="200"/>
      <c r="AK981" s="200"/>
      <c r="AL981" s="200"/>
      <c r="AM981" s="200"/>
      <c r="AN981" s="200"/>
      <c r="AO981" s="200"/>
      <c r="AP981" s="200"/>
      <c r="AQ981" s="200"/>
      <c r="AR981" s="200"/>
      <c r="AS981" s="200"/>
      <c r="AT981" s="200"/>
      <c r="AU981" s="200"/>
      <c r="AV981" s="200"/>
      <c r="AW981" s="200"/>
      <c r="AX981" s="200"/>
      <c r="AY981" s="200"/>
      <c r="AZ981" s="200"/>
      <c r="BA981" s="200"/>
      <c r="BB981" s="200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</row>
    <row r="982" spans="1:71" ht="13.8">
      <c r="A982" s="1"/>
      <c r="B982" s="1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  <c r="AB982" s="200"/>
      <c r="AC982" s="200"/>
      <c r="AD982" s="200"/>
      <c r="AE982" s="200"/>
      <c r="AF982" s="200"/>
      <c r="AG982" s="200"/>
      <c r="AH982" s="200"/>
      <c r="AI982" s="200"/>
      <c r="AJ982" s="200"/>
      <c r="AK982" s="200"/>
      <c r="AL982" s="200"/>
      <c r="AM982" s="200"/>
      <c r="AN982" s="200"/>
      <c r="AO982" s="200"/>
      <c r="AP982" s="200"/>
      <c r="AQ982" s="200"/>
      <c r="AR982" s="200"/>
      <c r="AS982" s="200"/>
      <c r="AT982" s="200"/>
      <c r="AU982" s="200"/>
      <c r="AV982" s="200"/>
      <c r="AW982" s="200"/>
      <c r="AX982" s="200"/>
      <c r="AY982" s="200"/>
      <c r="AZ982" s="200"/>
      <c r="BA982" s="200"/>
      <c r="BB982" s="200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</row>
    <row r="983" spans="1:71" ht="13.8">
      <c r="A983" s="1"/>
      <c r="B983" s="1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  <c r="AB983" s="200"/>
      <c r="AC983" s="200"/>
      <c r="AD983" s="200"/>
      <c r="AE983" s="200"/>
      <c r="AF983" s="200"/>
      <c r="AG983" s="200"/>
      <c r="AH983" s="200"/>
      <c r="AI983" s="200"/>
      <c r="AJ983" s="200"/>
      <c r="AK983" s="200"/>
      <c r="AL983" s="200"/>
      <c r="AM983" s="200"/>
      <c r="AN983" s="200"/>
      <c r="AO983" s="200"/>
      <c r="AP983" s="200"/>
      <c r="AQ983" s="200"/>
      <c r="AR983" s="200"/>
      <c r="AS983" s="200"/>
      <c r="AT983" s="200"/>
      <c r="AU983" s="200"/>
      <c r="AV983" s="200"/>
      <c r="AW983" s="200"/>
      <c r="AX983" s="200"/>
      <c r="AY983" s="200"/>
      <c r="AZ983" s="200"/>
      <c r="BA983" s="200"/>
      <c r="BB983" s="200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</row>
    <row r="984" spans="1:71" ht="13.8">
      <c r="A984" s="1"/>
      <c r="B984" s="1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  <c r="AB984" s="200"/>
      <c r="AC984" s="200"/>
      <c r="AD984" s="200"/>
      <c r="AE984" s="200"/>
      <c r="AF984" s="200"/>
      <c r="AG984" s="200"/>
      <c r="AH984" s="200"/>
      <c r="AI984" s="200"/>
      <c r="AJ984" s="200"/>
      <c r="AK984" s="200"/>
      <c r="AL984" s="200"/>
      <c r="AM984" s="200"/>
      <c r="AN984" s="200"/>
      <c r="AO984" s="200"/>
      <c r="AP984" s="200"/>
      <c r="AQ984" s="200"/>
      <c r="AR984" s="200"/>
      <c r="AS984" s="200"/>
      <c r="AT984" s="200"/>
      <c r="AU984" s="200"/>
      <c r="AV984" s="200"/>
      <c r="AW984" s="200"/>
      <c r="AX984" s="200"/>
      <c r="AY984" s="200"/>
      <c r="AZ984" s="200"/>
      <c r="BA984" s="200"/>
      <c r="BB984" s="200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</row>
    <row r="985" spans="1:71" ht="13.8">
      <c r="A985" s="1"/>
      <c r="B985" s="1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  <c r="AB985" s="200"/>
      <c r="AC985" s="200"/>
      <c r="AD985" s="200"/>
      <c r="AE985" s="200"/>
      <c r="AF985" s="200"/>
      <c r="AG985" s="200"/>
      <c r="AH985" s="200"/>
      <c r="AI985" s="200"/>
      <c r="AJ985" s="200"/>
      <c r="AK985" s="200"/>
      <c r="AL985" s="200"/>
      <c r="AM985" s="200"/>
      <c r="AN985" s="200"/>
      <c r="AO985" s="200"/>
      <c r="AP985" s="200"/>
      <c r="AQ985" s="200"/>
      <c r="AR985" s="200"/>
      <c r="AS985" s="200"/>
      <c r="AT985" s="200"/>
      <c r="AU985" s="200"/>
      <c r="AV985" s="200"/>
      <c r="AW985" s="200"/>
      <c r="AX985" s="200"/>
      <c r="AY985" s="200"/>
      <c r="AZ985" s="200"/>
      <c r="BA985" s="200"/>
      <c r="BB985" s="200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</row>
    <row r="986" spans="1:71" ht="13.8">
      <c r="A986" s="1"/>
      <c r="B986" s="1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  <c r="AB986" s="200"/>
      <c r="AC986" s="200"/>
      <c r="AD986" s="200"/>
      <c r="AE986" s="200"/>
      <c r="AF986" s="200"/>
      <c r="AG986" s="200"/>
      <c r="AH986" s="200"/>
      <c r="AI986" s="200"/>
      <c r="AJ986" s="200"/>
      <c r="AK986" s="200"/>
      <c r="AL986" s="200"/>
      <c r="AM986" s="200"/>
      <c r="AN986" s="200"/>
      <c r="AO986" s="200"/>
      <c r="AP986" s="200"/>
      <c r="AQ986" s="200"/>
      <c r="AR986" s="200"/>
      <c r="AS986" s="200"/>
      <c r="AT986" s="200"/>
      <c r="AU986" s="200"/>
      <c r="AV986" s="200"/>
      <c r="AW986" s="200"/>
      <c r="AX986" s="200"/>
      <c r="AY986" s="200"/>
      <c r="AZ986" s="200"/>
      <c r="BA986" s="200"/>
      <c r="BB986" s="200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</row>
    <row r="987" spans="1:71" ht="13.8">
      <c r="A987" s="1"/>
      <c r="B987" s="1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  <c r="AA987" s="200"/>
      <c r="AB987" s="200"/>
      <c r="AC987" s="200"/>
      <c r="AD987" s="200"/>
      <c r="AE987" s="200"/>
      <c r="AF987" s="200"/>
      <c r="AG987" s="200"/>
      <c r="AH987" s="200"/>
      <c r="AI987" s="200"/>
      <c r="AJ987" s="200"/>
      <c r="AK987" s="200"/>
      <c r="AL987" s="200"/>
      <c r="AM987" s="200"/>
      <c r="AN987" s="200"/>
      <c r="AO987" s="200"/>
      <c r="AP987" s="200"/>
      <c r="AQ987" s="200"/>
      <c r="AR987" s="200"/>
      <c r="AS987" s="200"/>
      <c r="AT987" s="200"/>
      <c r="AU987" s="200"/>
      <c r="AV987" s="200"/>
      <c r="AW987" s="200"/>
      <c r="AX987" s="200"/>
      <c r="AY987" s="200"/>
      <c r="AZ987" s="200"/>
      <c r="BA987" s="200"/>
      <c r="BB987" s="200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</row>
    <row r="988" spans="1:71" ht="13.8">
      <c r="A988" s="1"/>
      <c r="B988" s="1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  <c r="AA988" s="200"/>
      <c r="AB988" s="200"/>
      <c r="AC988" s="200"/>
      <c r="AD988" s="200"/>
      <c r="AE988" s="200"/>
      <c r="AF988" s="200"/>
      <c r="AG988" s="200"/>
      <c r="AH988" s="200"/>
      <c r="AI988" s="200"/>
      <c r="AJ988" s="200"/>
      <c r="AK988" s="200"/>
      <c r="AL988" s="200"/>
      <c r="AM988" s="200"/>
      <c r="AN988" s="200"/>
      <c r="AO988" s="200"/>
      <c r="AP988" s="200"/>
      <c r="AQ988" s="200"/>
      <c r="AR988" s="200"/>
      <c r="AS988" s="200"/>
      <c r="AT988" s="200"/>
      <c r="AU988" s="200"/>
      <c r="AV988" s="200"/>
      <c r="AW988" s="200"/>
      <c r="AX988" s="200"/>
      <c r="AY988" s="200"/>
      <c r="AZ988" s="200"/>
      <c r="BA988" s="200"/>
      <c r="BB988" s="200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</row>
    <row r="989" spans="1:71" ht="13.8">
      <c r="A989" s="1"/>
      <c r="B989" s="1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  <c r="AA989" s="200"/>
      <c r="AB989" s="200"/>
      <c r="AC989" s="200"/>
      <c r="AD989" s="200"/>
      <c r="AE989" s="200"/>
      <c r="AF989" s="200"/>
      <c r="AG989" s="200"/>
      <c r="AH989" s="200"/>
      <c r="AI989" s="200"/>
      <c r="AJ989" s="200"/>
      <c r="AK989" s="200"/>
      <c r="AL989" s="200"/>
      <c r="AM989" s="200"/>
      <c r="AN989" s="200"/>
      <c r="AO989" s="200"/>
      <c r="AP989" s="200"/>
      <c r="AQ989" s="200"/>
      <c r="AR989" s="200"/>
      <c r="AS989" s="200"/>
      <c r="AT989" s="200"/>
      <c r="AU989" s="200"/>
      <c r="AV989" s="200"/>
      <c r="AW989" s="200"/>
      <c r="AX989" s="200"/>
      <c r="AY989" s="200"/>
      <c r="AZ989" s="200"/>
      <c r="BA989" s="200"/>
      <c r="BB989" s="200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</row>
    <row r="990" spans="1:71" ht="13.8">
      <c r="A990" s="1"/>
      <c r="B990" s="1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  <c r="AA990" s="200"/>
      <c r="AB990" s="200"/>
      <c r="AC990" s="200"/>
      <c r="AD990" s="200"/>
      <c r="AE990" s="200"/>
      <c r="AF990" s="200"/>
      <c r="AG990" s="200"/>
      <c r="AH990" s="200"/>
      <c r="AI990" s="200"/>
      <c r="AJ990" s="200"/>
      <c r="AK990" s="200"/>
      <c r="AL990" s="200"/>
      <c r="AM990" s="200"/>
      <c r="AN990" s="200"/>
      <c r="AO990" s="200"/>
      <c r="AP990" s="200"/>
      <c r="AQ990" s="200"/>
      <c r="AR990" s="200"/>
      <c r="AS990" s="200"/>
      <c r="AT990" s="200"/>
      <c r="AU990" s="200"/>
      <c r="AV990" s="200"/>
      <c r="AW990" s="200"/>
      <c r="AX990" s="200"/>
      <c r="AY990" s="200"/>
      <c r="AZ990" s="200"/>
      <c r="BA990" s="200"/>
      <c r="BB990" s="200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</row>
    <row r="991" spans="1:71" ht="13.8">
      <c r="A991" s="1"/>
      <c r="B991" s="1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  <c r="AA991" s="200"/>
      <c r="AB991" s="200"/>
      <c r="AC991" s="200"/>
      <c r="AD991" s="200"/>
      <c r="AE991" s="200"/>
      <c r="AF991" s="200"/>
      <c r="AG991" s="200"/>
      <c r="AH991" s="200"/>
      <c r="AI991" s="200"/>
      <c r="AJ991" s="200"/>
      <c r="AK991" s="200"/>
      <c r="AL991" s="200"/>
      <c r="AM991" s="200"/>
      <c r="AN991" s="200"/>
      <c r="AO991" s="200"/>
      <c r="AP991" s="200"/>
      <c r="AQ991" s="200"/>
      <c r="AR991" s="200"/>
      <c r="AS991" s="200"/>
      <c r="AT991" s="200"/>
      <c r="AU991" s="200"/>
      <c r="AV991" s="200"/>
      <c r="AW991" s="200"/>
      <c r="AX991" s="200"/>
      <c r="AY991" s="200"/>
      <c r="AZ991" s="200"/>
      <c r="BA991" s="200"/>
      <c r="BB991" s="200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</row>
    <row r="992" spans="1:71" ht="13.8">
      <c r="A992" s="1"/>
      <c r="B992" s="1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  <c r="AA992" s="200"/>
      <c r="AB992" s="200"/>
      <c r="AC992" s="200"/>
      <c r="AD992" s="200"/>
      <c r="AE992" s="200"/>
      <c r="AF992" s="200"/>
      <c r="AG992" s="200"/>
      <c r="AH992" s="200"/>
      <c r="AI992" s="200"/>
      <c r="AJ992" s="200"/>
      <c r="AK992" s="200"/>
      <c r="AL992" s="200"/>
      <c r="AM992" s="200"/>
      <c r="AN992" s="200"/>
      <c r="AO992" s="200"/>
      <c r="AP992" s="200"/>
      <c r="AQ992" s="200"/>
      <c r="AR992" s="200"/>
      <c r="AS992" s="200"/>
      <c r="AT992" s="200"/>
      <c r="AU992" s="200"/>
      <c r="AV992" s="200"/>
      <c r="AW992" s="200"/>
      <c r="AX992" s="200"/>
      <c r="AY992" s="200"/>
      <c r="AZ992" s="200"/>
      <c r="BA992" s="200"/>
      <c r="BB992" s="200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</row>
    <row r="993" spans="1:71" ht="13.8">
      <c r="A993" s="1"/>
      <c r="B993" s="1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  <c r="AA993" s="200"/>
      <c r="AB993" s="200"/>
      <c r="AC993" s="200"/>
      <c r="AD993" s="200"/>
      <c r="AE993" s="200"/>
      <c r="AF993" s="200"/>
      <c r="AG993" s="200"/>
      <c r="AH993" s="200"/>
      <c r="AI993" s="200"/>
      <c r="AJ993" s="200"/>
      <c r="AK993" s="200"/>
      <c r="AL993" s="200"/>
      <c r="AM993" s="200"/>
      <c r="AN993" s="200"/>
      <c r="AO993" s="200"/>
      <c r="AP993" s="200"/>
      <c r="AQ993" s="200"/>
      <c r="AR993" s="200"/>
      <c r="AS993" s="200"/>
      <c r="AT993" s="200"/>
      <c r="AU993" s="200"/>
      <c r="AV993" s="200"/>
      <c r="AW993" s="200"/>
      <c r="AX993" s="200"/>
      <c r="AY993" s="200"/>
      <c r="AZ993" s="200"/>
      <c r="BA993" s="200"/>
      <c r="BB993" s="200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</row>
    <row r="994" spans="1:71" ht="13.8">
      <c r="A994" s="1"/>
      <c r="B994" s="1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  <c r="AA994" s="200"/>
      <c r="AB994" s="200"/>
      <c r="AC994" s="200"/>
      <c r="AD994" s="200"/>
      <c r="AE994" s="200"/>
      <c r="AF994" s="200"/>
      <c r="AG994" s="200"/>
      <c r="AH994" s="200"/>
      <c r="AI994" s="200"/>
      <c r="AJ994" s="200"/>
      <c r="AK994" s="200"/>
      <c r="AL994" s="200"/>
      <c r="AM994" s="200"/>
      <c r="AN994" s="200"/>
      <c r="AO994" s="200"/>
      <c r="AP994" s="200"/>
      <c r="AQ994" s="200"/>
      <c r="AR994" s="200"/>
      <c r="AS994" s="200"/>
      <c r="AT994" s="200"/>
      <c r="AU994" s="200"/>
      <c r="AV994" s="200"/>
      <c r="AW994" s="200"/>
      <c r="AX994" s="200"/>
      <c r="AY994" s="200"/>
      <c r="AZ994" s="200"/>
      <c r="BA994" s="200"/>
      <c r="BB994" s="200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</row>
    <row r="995" spans="1:71" ht="13.8">
      <c r="A995" s="1"/>
      <c r="B995" s="1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  <c r="AA995" s="200"/>
      <c r="AB995" s="200"/>
      <c r="AC995" s="200"/>
      <c r="AD995" s="200"/>
      <c r="AE995" s="200"/>
      <c r="AF995" s="200"/>
      <c r="AG995" s="200"/>
      <c r="AH995" s="200"/>
      <c r="AI995" s="200"/>
      <c r="AJ995" s="200"/>
      <c r="AK995" s="200"/>
      <c r="AL995" s="200"/>
      <c r="AM995" s="200"/>
      <c r="AN995" s="200"/>
      <c r="AO995" s="200"/>
      <c r="AP995" s="200"/>
      <c r="AQ995" s="200"/>
      <c r="AR995" s="200"/>
      <c r="AS995" s="200"/>
      <c r="AT995" s="200"/>
      <c r="AU995" s="200"/>
      <c r="AV995" s="200"/>
      <c r="AW995" s="200"/>
      <c r="AX995" s="200"/>
      <c r="AY995" s="200"/>
      <c r="AZ995" s="200"/>
      <c r="BA995" s="200"/>
      <c r="BB995" s="200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</row>
    <row r="996" spans="1:71" ht="13.8">
      <c r="A996" s="1"/>
      <c r="B996" s="1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  <c r="AA996" s="200"/>
      <c r="AB996" s="200"/>
      <c r="AC996" s="200"/>
      <c r="AD996" s="200"/>
      <c r="AE996" s="200"/>
      <c r="AF996" s="200"/>
      <c r="AG996" s="200"/>
      <c r="AH996" s="200"/>
      <c r="AI996" s="200"/>
      <c r="AJ996" s="200"/>
      <c r="AK996" s="200"/>
      <c r="AL996" s="200"/>
      <c r="AM996" s="200"/>
      <c r="AN996" s="200"/>
      <c r="AO996" s="200"/>
      <c r="AP996" s="200"/>
      <c r="AQ996" s="200"/>
      <c r="AR996" s="200"/>
      <c r="AS996" s="200"/>
      <c r="AT996" s="200"/>
      <c r="AU996" s="200"/>
      <c r="AV996" s="200"/>
      <c r="AW996" s="200"/>
      <c r="AX996" s="200"/>
      <c r="AY996" s="200"/>
      <c r="AZ996" s="200"/>
      <c r="BA996" s="200"/>
      <c r="BB996" s="200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</row>
    <row r="997" spans="1:71" ht="13.8">
      <c r="A997" s="1"/>
      <c r="B997" s="1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  <c r="AA997" s="200"/>
      <c r="AB997" s="200"/>
      <c r="AC997" s="200"/>
      <c r="AD997" s="200"/>
      <c r="AE997" s="200"/>
      <c r="AF997" s="200"/>
      <c r="AG997" s="200"/>
      <c r="AH997" s="200"/>
      <c r="AI997" s="200"/>
      <c r="AJ997" s="200"/>
      <c r="AK997" s="200"/>
      <c r="AL997" s="200"/>
      <c r="AM997" s="200"/>
      <c r="AN997" s="200"/>
      <c r="AO997" s="200"/>
      <c r="AP997" s="200"/>
      <c r="AQ997" s="200"/>
      <c r="AR997" s="200"/>
      <c r="AS997" s="200"/>
      <c r="AT997" s="200"/>
      <c r="AU997" s="200"/>
      <c r="AV997" s="200"/>
      <c r="AW997" s="200"/>
      <c r="AX997" s="200"/>
      <c r="AY997" s="200"/>
      <c r="AZ997" s="200"/>
      <c r="BA997" s="200"/>
      <c r="BB997" s="200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</row>
    <row r="998" spans="1:71" ht="13.8">
      <c r="A998" s="1"/>
      <c r="B998" s="1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  <c r="AA998" s="200"/>
      <c r="AB998" s="200"/>
      <c r="AC998" s="200"/>
      <c r="AD998" s="200"/>
      <c r="AE998" s="200"/>
      <c r="AF998" s="200"/>
      <c r="AG998" s="200"/>
      <c r="AH998" s="200"/>
      <c r="AI998" s="200"/>
      <c r="AJ998" s="200"/>
      <c r="AK998" s="200"/>
      <c r="AL998" s="200"/>
      <c r="AM998" s="200"/>
      <c r="AN998" s="200"/>
      <c r="AO998" s="200"/>
      <c r="AP998" s="200"/>
      <c r="AQ998" s="200"/>
      <c r="AR998" s="200"/>
      <c r="AS998" s="200"/>
      <c r="AT998" s="200"/>
      <c r="AU998" s="200"/>
      <c r="AV998" s="200"/>
      <c r="AW998" s="200"/>
      <c r="AX998" s="200"/>
      <c r="AY998" s="200"/>
      <c r="AZ998" s="200"/>
      <c r="BA998" s="200"/>
      <c r="BB998" s="200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</row>
    <row r="999" spans="1:71" ht="13.8">
      <c r="A999" s="1"/>
      <c r="B999" s="1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  <c r="AA999" s="200"/>
      <c r="AB999" s="200"/>
      <c r="AC999" s="200"/>
      <c r="AD999" s="200"/>
      <c r="AE999" s="200"/>
      <c r="AF999" s="200"/>
      <c r="AG999" s="200"/>
      <c r="AH999" s="200"/>
      <c r="AI999" s="200"/>
      <c r="AJ999" s="200"/>
      <c r="AK999" s="200"/>
      <c r="AL999" s="200"/>
      <c r="AM999" s="200"/>
      <c r="AN999" s="200"/>
      <c r="AO999" s="200"/>
      <c r="AP999" s="200"/>
      <c r="AQ999" s="200"/>
      <c r="AR999" s="200"/>
      <c r="AS999" s="200"/>
      <c r="AT999" s="200"/>
      <c r="AU999" s="200"/>
      <c r="AV999" s="200"/>
      <c r="AW999" s="200"/>
      <c r="AX999" s="200"/>
      <c r="AY999" s="200"/>
      <c r="AZ999" s="200"/>
      <c r="BA999" s="200"/>
      <c r="BB999" s="200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</row>
    <row r="1000" spans="1:71" ht="13.8">
      <c r="A1000" s="1"/>
      <c r="B1000" s="1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  <c r="AA1000" s="200"/>
      <c r="AB1000" s="200"/>
      <c r="AC1000" s="200"/>
      <c r="AD1000" s="200"/>
      <c r="AE1000" s="200"/>
      <c r="AF1000" s="200"/>
      <c r="AG1000" s="200"/>
      <c r="AH1000" s="200"/>
      <c r="AI1000" s="200"/>
      <c r="AJ1000" s="200"/>
      <c r="AK1000" s="200"/>
      <c r="AL1000" s="200"/>
      <c r="AM1000" s="200"/>
      <c r="AN1000" s="200"/>
      <c r="AO1000" s="200"/>
      <c r="AP1000" s="200"/>
      <c r="AQ1000" s="200"/>
      <c r="AR1000" s="200"/>
      <c r="AS1000" s="200"/>
      <c r="AT1000" s="200"/>
      <c r="AU1000" s="200"/>
      <c r="AV1000" s="200"/>
      <c r="AW1000" s="200"/>
      <c r="AX1000" s="200"/>
      <c r="AY1000" s="200"/>
      <c r="AZ1000" s="200"/>
      <c r="BA1000" s="200"/>
      <c r="BB1000" s="200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</row>
    <row r="1001" spans="1:71" ht="13.8">
      <c r="A1001" s="1"/>
      <c r="B1001" s="1"/>
      <c r="C1001" s="200"/>
      <c r="D1001" s="200"/>
      <c r="E1001" s="200"/>
      <c r="F1001" s="200"/>
      <c r="G1001" s="200"/>
      <c r="H1001" s="200"/>
      <c r="I1001" s="200"/>
      <c r="J1001" s="200"/>
      <c r="K1001" s="200"/>
      <c r="L1001" s="200"/>
      <c r="M1001" s="200"/>
      <c r="N1001" s="200"/>
      <c r="O1001" s="200"/>
      <c r="P1001" s="200"/>
      <c r="Q1001" s="200"/>
      <c r="R1001" s="200"/>
      <c r="S1001" s="200"/>
      <c r="T1001" s="200"/>
      <c r="U1001" s="200"/>
      <c r="V1001" s="200"/>
      <c r="W1001" s="200"/>
      <c r="X1001" s="200"/>
      <c r="Y1001" s="200"/>
      <c r="Z1001" s="200"/>
      <c r="AA1001" s="200"/>
      <c r="AB1001" s="200"/>
      <c r="AC1001" s="200"/>
      <c r="AD1001" s="200"/>
      <c r="AE1001" s="200"/>
      <c r="AF1001" s="200"/>
      <c r="AG1001" s="200"/>
      <c r="AH1001" s="200"/>
      <c r="AI1001" s="200"/>
      <c r="AJ1001" s="200"/>
      <c r="AK1001" s="200"/>
      <c r="AL1001" s="200"/>
      <c r="AM1001" s="200"/>
      <c r="AN1001" s="200"/>
      <c r="AO1001" s="200"/>
      <c r="AP1001" s="200"/>
      <c r="AQ1001" s="200"/>
      <c r="AR1001" s="200"/>
      <c r="AS1001" s="200"/>
      <c r="AT1001" s="200"/>
      <c r="AU1001" s="200"/>
      <c r="AV1001" s="200"/>
      <c r="AW1001" s="200"/>
      <c r="AX1001" s="200"/>
      <c r="AY1001" s="200"/>
      <c r="AZ1001" s="200"/>
      <c r="BA1001" s="200"/>
      <c r="BB1001" s="200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</row>
    <row r="1002" spans="1:71" ht="13.8">
      <c r="A1002" s="1"/>
      <c r="B1002" s="1"/>
      <c r="C1002" s="200"/>
      <c r="D1002" s="200"/>
      <c r="E1002" s="200"/>
      <c r="F1002" s="200"/>
      <c r="G1002" s="200"/>
      <c r="H1002" s="200"/>
      <c r="I1002" s="200"/>
      <c r="J1002" s="200"/>
      <c r="K1002" s="200"/>
      <c r="L1002" s="200"/>
      <c r="M1002" s="200"/>
      <c r="N1002" s="200"/>
      <c r="O1002" s="200"/>
      <c r="P1002" s="200"/>
      <c r="Q1002" s="200"/>
      <c r="R1002" s="200"/>
      <c r="S1002" s="200"/>
      <c r="T1002" s="200"/>
      <c r="U1002" s="200"/>
      <c r="V1002" s="200"/>
      <c r="W1002" s="200"/>
      <c r="X1002" s="200"/>
      <c r="Y1002" s="200"/>
      <c r="Z1002" s="200"/>
      <c r="AA1002" s="200"/>
      <c r="AB1002" s="200"/>
      <c r="AC1002" s="200"/>
      <c r="AD1002" s="200"/>
      <c r="AE1002" s="200"/>
      <c r="AF1002" s="200"/>
      <c r="AG1002" s="200"/>
      <c r="AH1002" s="200"/>
      <c r="AI1002" s="200"/>
      <c r="AJ1002" s="200"/>
      <c r="AK1002" s="200"/>
      <c r="AL1002" s="200"/>
      <c r="AM1002" s="200"/>
      <c r="AN1002" s="200"/>
      <c r="AO1002" s="200"/>
      <c r="AP1002" s="200"/>
      <c r="AQ1002" s="200"/>
      <c r="AR1002" s="200"/>
      <c r="AS1002" s="200"/>
      <c r="AT1002" s="200"/>
      <c r="AU1002" s="200"/>
      <c r="AV1002" s="200"/>
      <c r="AW1002" s="200"/>
      <c r="AX1002" s="200"/>
      <c r="AY1002" s="200"/>
      <c r="AZ1002" s="200"/>
      <c r="BA1002" s="200"/>
      <c r="BB1002" s="200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</row>
    <row r="1003" spans="1:71" ht="13.8">
      <c r="A1003" s="1"/>
      <c r="B1003" s="1"/>
      <c r="C1003" s="200"/>
      <c r="D1003" s="200"/>
      <c r="E1003" s="200"/>
      <c r="F1003" s="200"/>
      <c r="G1003" s="200"/>
      <c r="H1003" s="200"/>
      <c r="I1003" s="200"/>
      <c r="J1003" s="200"/>
      <c r="K1003" s="200"/>
      <c r="L1003" s="200"/>
      <c r="M1003" s="200"/>
      <c r="N1003" s="200"/>
      <c r="O1003" s="200"/>
      <c r="P1003" s="200"/>
      <c r="Q1003" s="200"/>
      <c r="R1003" s="200"/>
      <c r="S1003" s="200"/>
      <c r="T1003" s="200"/>
      <c r="U1003" s="200"/>
      <c r="V1003" s="200"/>
      <c r="W1003" s="200"/>
      <c r="X1003" s="200"/>
      <c r="Y1003" s="200"/>
      <c r="Z1003" s="200"/>
      <c r="AA1003" s="200"/>
      <c r="AB1003" s="200"/>
      <c r="AC1003" s="200"/>
      <c r="AD1003" s="200"/>
      <c r="AE1003" s="200"/>
      <c r="AF1003" s="200"/>
      <c r="AG1003" s="200"/>
      <c r="AH1003" s="200"/>
      <c r="AI1003" s="200"/>
      <c r="AJ1003" s="200"/>
      <c r="AK1003" s="200"/>
      <c r="AL1003" s="200"/>
      <c r="AM1003" s="200"/>
      <c r="AN1003" s="200"/>
      <c r="AO1003" s="200"/>
      <c r="AP1003" s="200"/>
      <c r="AQ1003" s="200"/>
      <c r="AR1003" s="200"/>
      <c r="AS1003" s="200"/>
      <c r="AT1003" s="200"/>
      <c r="AU1003" s="200"/>
      <c r="AV1003" s="200"/>
      <c r="AW1003" s="200"/>
      <c r="AX1003" s="200"/>
      <c r="AY1003" s="200"/>
      <c r="AZ1003" s="200"/>
      <c r="BA1003" s="200"/>
      <c r="BB1003" s="200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</row>
    <row r="1004" spans="1:71" ht="13.8">
      <c r="A1004" s="1"/>
      <c r="B1004" s="1"/>
      <c r="C1004" s="200"/>
      <c r="D1004" s="200"/>
      <c r="E1004" s="200"/>
      <c r="F1004" s="200"/>
      <c r="G1004" s="200"/>
      <c r="H1004" s="200"/>
      <c r="I1004" s="200"/>
      <c r="J1004" s="200"/>
      <c r="K1004" s="200"/>
      <c r="L1004" s="200"/>
      <c r="M1004" s="200"/>
      <c r="N1004" s="200"/>
      <c r="O1004" s="200"/>
      <c r="P1004" s="200"/>
      <c r="Q1004" s="200"/>
      <c r="R1004" s="200"/>
      <c r="S1004" s="200"/>
      <c r="T1004" s="200"/>
      <c r="U1004" s="200"/>
      <c r="V1004" s="200"/>
      <c r="W1004" s="200"/>
      <c r="X1004" s="200"/>
      <c r="Y1004" s="200"/>
      <c r="Z1004" s="200"/>
      <c r="AA1004" s="200"/>
      <c r="AB1004" s="200"/>
      <c r="AC1004" s="200"/>
      <c r="AD1004" s="200"/>
      <c r="AE1004" s="200"/>
      <c r="AF1004" s="200"/>
      <c r="AG1004" s="200"/>
      <c r="AH1004" s="200"/>
      <c r="AI1004" s="200"/>
      <c r="AJ1004" s="200"/>
      <c r="AK1004" s="200"/>
      <c r="AL1004" s="200"/>
      <c r="AM1004" s="200"/>
      <c r="AN1004" s="200"/>
      <c r="AO1004" s="200"/>
      <c r="AP1004" s="200"/>
      <c r="AQ1004" s="200"/>
      <c r="AR1004" s="200"/>
      <c r="AS1004" s="200"/>
      <c r="AT1004" s="200"/>
      <c r="AU1004" s="200"/>
      <c r="AV1004" s="200"/>
      <c r="AW1004" s="200"/>
      <c r="AX1004" s="200"/>
      <c r="AY1004" s="200"/>
      <c r="AZ1004" s="200"/>
      <c r="BA1004" s="200"/>
      <c r="BB1004" s="200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</row>
    <row r="1005" spans="1:71" ht="13.8">
      <c r="A1005" s="1"/>
      <c r="B1005" s="1"/>
      <c r="C1005" s="200"/>
      <c r="D1005" s="200"/>
      <c r="E1005" s="200"/>
      <c r="F1005" s="200"/>
      <c r="G1005" s="200"/>
      <c r="H1005" s="200"/>
      <c r="I1005" s="200"/>
      <c r="J1005" s="200"/>
      <c r="K1005" s="200"/>
      <c r="L1005" s="200"/>
      <c r="M1005" s="200"/>
      <c r="N1005" s="200"/>
      <c r="O1005" s="200"/>
      <c r="P1005" s="200"/>
      <c r="Q1005" s="200"/>
      <c r="R1005" s="200"/>
      <c r="S1005" s="200"/>
      <c r="T1005" s="200"/>
      <c r="U1005" s="200"/>
      <c r="V1005" s="200"/>
      <c r="W1005" s="200"/>
      <c r="X1005" s="200"/>
      <c r="Y1005" s="200"/>
      <c r="Z1005" s="200"/>
      <c r="AA1005" s="200"/>
      <c r="AB1005" s="200"/>
      <c r="AC1005" s="200"/>
      <c r="AD1005" s="200"/>
      <c r="AE1005" s="200"/>
      <c r="AF1005" s="200"/>
      <c r="AG1005" s="200"/>
      <c r="AH1005" s="200"/>
      <c r="AI1005" s="200"/>
      <c r="AJ1005" s="200"/>
      <c r="AK1005" s="200"/>
      <c r="AL1005" s="200"/>
      <c r="AM1005" s="200"/>
      <c r="AN1005" s="200"/>
      <c r="AO1005" s="200"/>
      <c r="AP1005" s="200"/>
      <c r="AQ1005" s="200"/>
      <c r="AR1005" s="200"/>
      <c r="AS1005" s="200"/>
      <c r="AT1005" s="200"/>
      <c r="AU1005" s="200"/>
      <c r="AV1005" s="200"/>
      <c r="AW1005" s="200"/>
      <c r="AX1005" s="200"/>
      <c r="AY1005" s="200"/>
      <c r="AZ1005" s="200"/>
      <c r="BA1005" s="200"/>
      <c r="BB1005" s="200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</row>
    <row r="1006" spans="1:71" ht="13.8">
      <c r="A1006" s="1"/>
      <c r="B1006" s="1"/>
      <c r="C1006" s="200"/>
      <c r="D1006" s="200"/>
      <c r="E1006" s="200"/>
      <c r="F1006" s="200"/>
      <c r="G1006" s="200"/>
      <c r="H1006" s="200"/>
      <c r="I1006" s="200"/>
      <c r="J1006" s="200"/>
      <c r="K1006" s="200"/>
      <c r="L1006" s="200"/>
      <c r="M1006" s="200"/>
      <c r="N1006" s="200"/>
      <c r="O1006" s="200"/>
      <c r="P1006" s="200"/>
      <c r="Q1006" s="200"/>
      <c r="R1006" s="200"/>
      <c r="S1006" s="200"/>
      <c r="T1006" s="200"/>
      <c r="U1006" s="200"/>
      <c r="V1006" s="200"/>
      <c r="W1006" s="200"/>
      <c r="X1006" s="200"/>
      <c r="Y1006" s="200"/>
      <c r="Z1006" s="200"/>
      <c r="AA1006" s="200"/>
      <c r="AB1006" s="200"/>
      <c r="AC1006" s="200"/>
      <c r="AD1006" s="200"/>
      <c r="AE1006" s="200"/>
      <c r="AF1006" s="200"/>
      <c r="AG1006" s="200"/>
      <c r="AH1006" s="200"/>
      <c r="AI1006" s="200"/>
      <c r="AJ1006" s="200"/>
      <c r="AK1006" s="200"/>
      <c r="AL1006" s="200"/>
      <c r="AM1006" s="200"/>
      <c r="AN1006" s="200"/>
      <c r="AO1006" s="200"/>
      <c r="AP1006" s="200"/>
      <c r="AQ1006" s="200"/>
      <c r="AR1006" s="200"/>
      <c r="AS1006" s="200"/>
      <c r="AT1006" s="200"/>
      <c r="AU1006" s="200"/>
      <c r="AV1006" s="200"/>
      <c r="AW1006" s="200"/>
      <c r="AX1006" s="200"/>
      <c r="AY1006" s="200"/>
      <c r="AZ1006" s="200"/>
      <c r="BA1006" s="200"/>
      <c r="BB1006" s="200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</row>
    <row r="1007" spans="1:71" ht="13.8">
      <c r="A1007" s="1"/>
      <c r="B1007" s="1"/>
      <c r="C1007" s="200"/>
      <c r="D1007" s="200"/>
      <c r="E1007" s="200"/>
      <c r="F1007" s="200"/>
      <c r="G1007" s="200"/>
      <c r="H1007" s="200"/>
      <c r="I1007" s="200"/>
      <c r="J1007" s="200"/>
      <c r="K1007" s="200"/>
      <c r="L1007" s="200"/>
      <c r="M1007" s="200"/>
      <c r="N1007" s="200"/>
      <c r="O1007" s="200"/>
      <c r="P1007" s="200"/>
      <c r="Q1007" s="200"/>
      <c r="R1007" s="200"/>
      <c r="S1007" s="200"/>
      <c r="T1007" s="200"/>
      <c r="U1007" s="200"/>
      <c r="V1007" s="200"/>
      <c r="W1007" s="200"/>
      <c r="X1007" s="200"/>
      <c r="Y1007" s="200"/>
      <c r="Z1007" s="200"/>
      <c r="AA1007" s="200"/>
      <c r="AB1007" s="200"/>
      <c r="AC1007" s="200"/>
      <c r="AD1007" s="200"/>
      <c r="AE1007" s="200"/>
      <c r="AF1007" s="200"/>
      <c r="AG1007" s="200"/>
      <c r="AH1007" s="200"/>
      <c r="AI1007" s="200"/>
      <c r="AJ1007" s="200"/>
      <c r="AK1007" s="200"/>
      <c r="AL1007" s="200"/>
      <c r="AM1007" s="200"/>
      <c r="AN1007" s="200"/>
      <c r="AO1007" s="200"/>
      <c r="AP1007" s="200"/>
      <c r="AQ1007" s="200"/>
      <c r="AR1007" s="200"/>
      <c r="AS1007" s="200"/>
      <c r="AT1007" s="200"/>
      <c r="AU1007" s="200"/>
      <c r="AV1007" s="200"/>
      <c r="AW1007" s="200"/>
      <c r="AX1007" s="200"/>
      <c r="AY1007" s="200"/>
      <c r="AZ1007" s="200"/>
      <c r="BA1007" s="200"/>
      <c r="BB1007" s="200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</row>
    <row r="1008" spans="1:71" ht="13.8">
      <c r="A1008" s="1"/>
      <c r="B1008" s="1"/>
      <c r="C1008" s="200"/>
      <c r="D1008" s="200"/>
      <c r="E1008" s="200"/>
      <c r="F1008" s="200"/>
      <c r="G1008" s="200"/>
      <c r="H1008" s="200"/>
      <c r="I1008" s="200"/>
      <c r="J1008" s="200"/>
      <c r="K1008" s="200"/>
      <c r="L1008" s="200"/>
      <c r="M1008" s="200"/>
      <c r="N1008" s="200"/>
      <c r="O1008" s="200"/>
      <c r="P1008" s="200"/>
      <c r="Q1008" s="200"/>
      <c r="R1008" s="200"/>
      <c r="S1008" s="200"/>
      <c r="T1008" s="200"/>
      <c r="U1008" s="200"/>
      <c r="V1008" s="200"/>
      <c r="W1008" s="200"/>
      <c r="X1008" s="200"/>
      <c r="Y1008" s="200"/>
      <c r="Z1008" s="200"/>
      <c r="AA1008" s="200"/>
      <c r="AB1008" s="200"/>
      <c r="AC1008" s="200"/>
      <c r="AD1008" s="200"/>
      <c r="AE1008" s="200"/>
      <c r="AF1008" s="200"/>
      <c r="AG1008" s="200"/>
      <c r="AH1008" s="200"/>
      <c r="AI1008" s="200"/>
      <c r="AJ1008" s="200"/>
      <c r="AK1008" s="200"/>
      <c r="AL1008" s="200"/>
      <c r="AM1008" s="200"/>
      <c r="AN1008" s="200"/>
      <c r="AO1008" s="200"/>
      <c r="AP1008" s="200"/>
      <c r="AQ1008" s="200"/>
      <c r="AR1008" s="200"/>
      <c r="AS1008" s="200"/>
      <c r="AT1008" s="200"/>
      <c r="AU1008" s="200"/>
      <c r="AV1008" s="200"/>
      <c r="AW1008" s="200"/>
      <c r="AX1008" s="200"/>
      <c r="AY1008" s="200"/>
      <c r="AZ1008" s="200"/>
      <c r="BA1008" s="200"/>
      <c r="BB1008" s="200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</row>
    <row r="1009" spans="1:71" ht="13.8">
      <c r="A1009" s="1"/>
      <c r="B1009" s="1"/>
      <c r="C1009" s="200"/>
      <c r="D1009" s="200"/>
      <c r="E1009" s="200"/>
      <c r="F1009" s="200"/>
      <c r="G1009" s="200"/>
      <c r="H1009" s="200"/>
      <c r="I1009" s="200"/>
      <c r="J1009" s="200"/>
      <c r="K1009" s="200"/>
      <c r="L1009" s="200"/>
      <c r="M1009" s="200"/>
      <c r="N1009" s="200"/>
      <c r="O1009" s="200"/>
      <c r="P1009" s="200"/>
      <c r="Q1009" s="200"/>
      <c r="R1009" s="200"/>
      <c r="S1009" s="200"/>
      <c r="T1009" s="200"/>
      <c r="U1009" s="200"/>
      <c r="V1009" s="200"/>
      <c r="W1009" s="200"/>
      <c r="X1009" s="200"/>
      <c r="Y1009" s="200"/>
      <c r="Z1009" s="200"/>
      <c r="AA1009" s="200"/>
      <c r="AB1009" s="200"/>
      <c r="AC1009" s="200"/>
      <c r="AD1009" s="200"/>
      <c r="AE1009" s="200"/>
      <c r="AF1009" s="200"/>
      <c r="AG1009" s="200"/>
      <c r="AH1009" s="200"/>
      <c r="AI1009" s="200"/>
      <c r="AJ1009" s="200"/>
      <c r="AK1009" s="200"/>
      <c r="AL1009" s="200"/>
      <c r="AM1009" s="200"/>
      <c r="AN1009" s="200"/>
      <c r="AO1009" s="200"/>
      <c r="AP1009" s="200"/>
      <c r="AQ1009" s="200"/>
      <c r="AR1009" s="200"/>
      <c r="AS1009" s="200"/>
      <c r="AT1009" s="200"/>
      <c r="AU1009" s="200"/>
      <c r="AV1009" s="200"/>
      <c r="AW1009" s="200"/>
      <c r="AX1009" s="200"/>
      <c r="AY1009" s="200"/>
      <c r="AZ1009" s="200"/>
      <c r="BA1009" s="200"/>
      <c r="BB1009" s="200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</row>
    <row r="1010" spans="1:71" ht="13.8">
      <c r="A1010" s="1"/>
      <c r="B1010" s="1"/>
      <c r="C1010" s="200"/>
      <c r="D1010" s="200"/>
      <c r="E1010" s="200"/>
      <c r="F1010" s="200"/>
      <c r="G1010" s="200"/>
      <c r="H1010" s="200"/>
      <c r="I1010" s="200"/>
      <c r="J1010" s="200"/>
      <c r="K1010" s="200"/>
      <c r="L1010" s="200"/>
      <c r="M1010" s="200"/>
      <c r="N1010" s="200"/>
      <c r="O1010" s="200"/>
      <c r="P1010" s="200"/>
      <c r="Q1010" s="200"/>
      <c r="R1010" s="200"/>
      <c r="S1010" s="200"/>
      <c r="T1010" s="200"/>
      <c r="U1010" s="200"/>
      <c r="V1010" s="200"/>
      <c r="W1010" s="200"/>
      <c r="X1010" s="200"/>
      <c r="Y1010" s="200"/>
      <c r="Z1010" s="200"/>
      <c r="AA1010" s="200"/>
      <c r="AB1010" s="200"/>
      <c r="AC1010" s="200"/>
      <c r="AD1010" s="200"/>
      <c r="AE1010" s="200"/>
      <c r="AF1010" s="200"/>
      <c r="AG1010" s="200"/>
      <c r="AH1010" s="200"/>
      <c r="AI1010" s="200"/>
      <c r="AJ1010" s="200"/>
      <c r="AK1010" s="200"/>
      <c r="AL1010" s="200"/>
      <c r="AM1010" s="200"/>
      <c r="AN1010" s="200"/>
      <c r="AO1010" s="200"/>
      <c r="AP1010" s="200"/>
      <c r="AQ1010" s="200"/>
      <c r="AR1010" s="200"/>
      <c r="AS1010" s="200"/>
      <c r="AT1010" s="200"/>
      <c r="AU1010" s="200"/>
      <c r="AV1010" s="200"/>
      <c r="AW1010" s="200"/>
      <c r="AX1010" s="200"/>
      <c r="AY1010" s="200"/>
      <c r="AZ1010" s="200"/>
      <c r="BA1010" s="200"/>
      <c r="BB1010" s="200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</row>
    <row r="1011" spans="1:71" ht="13.8">
      <c r="A1011" s="1"/>
      <c r="B1011" s="1"/>
      <c r="C1011" s="200"/>
      <c r="D1011" s="200"/>
      <c r="E1011" s="200"/>
      <c r="F1011" s="200"/>
      <c r="G1011" s="200"/>
      <c r="H1011" s="200"/>
      <c r="I1011" s="200"/>
      <c r="J1011" s="200"/>
      <c r="K1011" s="200"/>
      <c r="L1011" s="200"/>
      <c r="M1011" s="200"/>
      <c r="N1011" s="200"/>
      <c r="O1011" s="200"/>
      <c r="P1011" s="200"/>
      <c r="Q1011" s="200"/>
      <c r="R1011" s="200"/>
      <c r="S1011" s="200"/>
      <c r="T1011" s="200"/>
      <c r="U1011" s="200"/>
      <c r="V1011" s="200"/>
      <c r="W1011" s="200"/>
      <c r="X1011" s="200"/>
      <c r="Y1011" s="200"/>
      <c r="Z1011" s="200"/>
      <c r="AA1011" s="200"/>
      <c r="AB1011" s="200"/>
      <c r="AC1011" s="200"/>
      <c r="AD1011" s="200"/>
      <c r="AE1011" s="200"/>
      <c r="AF1011" s="200"/>
      <c r="AG1011" s="200"/>
      <c r="AH1011" s="200"/>
      <c r="AI1011" s="200"/>
      <c r="AJ1011" s="200"/>
      <c r="AK1011" s="200"/>
      <c r="AL1011" s="200"/>
      <c r="AM1011" s="200"/>
      <c r="AN1011" s="200"/>
      <c r="AO1011" s="200"/>
      <c r="AP1011" s="200"/>
      <c r="AQ1011" s="200"/>
      <c r="AR1011" s="200"/>
      <c r="AS1011" s="200"/>
      <c r="AT1011" s="200"/>
      <c r="AU1011" s="200"/>
      <c r="AV1011" s="200"/>
      <c r="AW1011" s="200"/>
      <c r="AX1011" s="200"/>
      <c r="AY1011" s="200"/>
      <c r="AZ1011" s="200"/>
      <c r="BA1011" s="200"/>
      <c r="BB1011" s="200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</row>
    <row r="1012" spans="1:71" ht="13.8">
      <c r="A1012" s="1"/>
      <c r="B1012" s="1"/>
      <c r="C1012" s="200"/>
      <c r="D1012" s="200"/>
      <c r="E1012" s="200"/>
      <c r="F1012" s="200"/>
      <c r="G1012" s="200"/>
      <c r="H1012" s="200"/>
      <c r="I1012" s="200"/>
      <c r="J1012" s="200"/>
      <c r="K1012" s="200"/>
      <c r="L1012" s="200"/>
      <c r="M1012" s="200"/>
      <c r="N1012" s="200"/>
      <c r="O1012" s="200"/>
      <c r="P1012" s="200"/>
      <c r="Q1012" s="200"/>
      <c r="R1012" s="200"/>
      <c r="S1012" s="200"/>
      <c r="T1012" s="200"/>
      <c r="U1012" s="200"/>
      <c r="V1012" s="200"/>
      <c r="W1012" s="200"/>
      <c r="X1012" s="200"/>
      <c r="Y1012" s="200"/>
      <c r="Z1012" s="200"/>
      <c r="AA1012" s="200"/>
      <c r="AB1012" s="200"/>
      <c r="AC1012" s="200"/>
      <c r="AD1012" s="200"/>
      <c r="AE1012" s="200"/>
      <c r="AF1012" s="200"/>
      <c r="AG1012" s="200"/>
      <c r="AH1012" s="200"/>
      <c r="AI1012" s="200"/>
      <c r="AJ1012" s="200"/>
      <c r="AK1012" s="200"/>
      <c r="AL1012" s="200"/>
      <c r="AM1012" s="200"/>
      <c r="AN1012" s="200"/>
      <c r="AO1012" s="200"/>
      <c r="AP1012" s="200"/>
      <c r="AQ1012" s="200"/>
      <c r="AR1012" s="200"/>
      <c r="AS1012" s="200"/>
      <c r="AT1012" s="200"/>
      <c r="AU1012" s="200"/>
      <c r="AV1012" s="200"/>
      <c r="AW1012" s="200"/>
      <c r="AX1012" s="200"/>
      <c r="AY1012" s="200"/>
      <c r="AZ1012" s="200"/>
      <c r="BA1012" s="200"/>
      <c r="BB1012" s="200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</row>
    <row r="1013" spans="1:71" ht="13.8">
      <c r="A1013" s="1"/>
      <c r="B1013" s="1"/>
      <c r="C1013" s="200"/>
      <c r="D1013" s="200"/>
      <c r="E1013" s="200"/>
      <c r="F1013" s="200"/>
      <c r="G1013" s="200"/>
      <c r="H1013" s="200"/>
      <c r="I1013" s="200"/>
      <c r="J1013" s="200"/>
      <c r="K1013" s="200"/>
      <c r="L1013" s="200"/>
      <c r="M1013" s="200"/>
      <c r="N1013" s="200"/>
      <c r="O1013" s="200"/>
      <c r="P1013" s="200"/>
      <c r="Q1013" s="200"/>
      <c r="R1013" s="200"/>
      <c r="S1013" s="200"/>
      <c r="T1013" s="200"/>
      <c r="U1013" s="200"/>
      <c r="V1013" s="200"/>
      <c r="W1013" s="200"/>
      <c r="X1013" s="200"/>
      <c r="Y1013" s="200"/>
      <c r="Z1013" s="200"/>
      <c r="AA1013" s="200"/>
      <c r="AB1013" s="200"/>
      <c r="AC1013" s="200"/>
      <c r="AD1013" s="200"/>
      <c r="AE1013" s="200"/>
      <c r="AF1013" s="200"/>
      <c r="AG1013" s="200"/>
      <c r="AH1013" s="200"/>
      <c r="AI1013" s="200"/>
      <c r="AJ1013" s="200"/>
      <c r="AK1013" s="200"/>
      <c r="AL1013" s="200"/>
      <c r="AM1013" s="200"/>
      <c r="AN1013" s="200"/>
      <c r="AO1013" s="200"/>
      <c r="AP1013" s="200"/>
      <c r="AQ1013" s="200"/>
      <c r="AR1013" s="200"/>
      <c r="AS1013" s="200"/>
      <c r="AT1013" s="200"/>
      <c r="AU1013" s="200"/>
      <c r="AV1013" s="200"/>
      <c r="AW1013" s="200"/>
      <c r="AX1013" s="200"/>
      <c r="AY1013" s="200"/>
      <c r="AZ1013" s="200"/>
      <c r="BA1013" s="200"/>
      <c r="BB1013" s="200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</row>
    <row r="1014" spans="1:71" ht="13.8">
      <c r="A1014" s="1"/>
      <c r="B1014" s="1"/>
      <c r="C1014" s="200"/>
      <c r="D1014" s="200"/>
      <c r="E1014" s="200"/>
      <c r="F1014" s="200"/>
      <c r="G1014" s="200"/>
      <c r="H1014" s="200"/>
      <c r="I1014" s="200"/>
      <c r="J1014" s="200"/>
      <c r="K1014" s="200"/>
      <c r="L1014" s="200"/>
      <c r="M1014" s="200"/>
      <c r="N1014" s="200"/>
      <c r="O1014" s="200"/>
      <c r="P1014" s="200"/>
      <c r="Q1014" s="200"/>
      <c r="R1014" s="200"/>
      <c r="S1014" s="200"/>
      <c r="T1014" s="200"/>
      <c r="U1014" s="200"/>
      <c r="V1014" s="200"/>
      <c r="W1014" s="200"/>
      <c r="X1014" s="200"/>
      <c r="Y1014" s="200"/>
      <c r="Z1014" s="200"/>
      <c r="AA1014" s="200"/>
      <c r="AB1014" s="200"/>
      <c r="AC1014" s="200"/>
      <c r="AD1014" s="200"/>
      <c r="AE1014" s="200"/>
      <c r="AF1014" s="200"/>
      <c r="AG1014" s="200"/>
      <c r="AH1014" s="200"/>
      <c r="AI1014" s="200"/>
      <c r="AJ1014" s="200"/>
      <c r="AK1014" s="200"/>
      <c r="AL1014" s="200"/>
      <c r="AM1014" s="200"/>
      <c r="AN1014" s="200"/>
      <c r="AO1014" s="200"/>
      <c r="AP1014" s="200"/>
      <c r="AQ1014" s="200"/>
      <c r="AR1014" s="200"/>
      <c r="AS1014" s="200"/>
      <c r="AT1014" s="200"/>
      <c r="AU1014" s="200"/>
      <c r="AV1014" s="200"/>
      <c r="AW1014" s="200"/>
      <c r="AX1014" s="200"/>
      <c r="AY1014" s="200"/>
      <c r="AZ1014" s="200"/>
      <c r="BA1014" s="200"/>
      <c r="BB1014" s="200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</row>
    <row r="1015" spans="1:71" ht="13.8">
      <c r="A1015" s="1"/>
      <c r="B1015" s="1"/>
      <c r="C1015" s="200"/>
      <c r="D1015" s="200"/>
      <c r="E1015" s="200"/>
      <c r="F1015" s="200"/>
      <c r="G1015" s="200"/>
      <c r="H1015" s="200"/>
      <c r="I1015" s="200"/>
      <c r="J1015" s="200"/>
      <c r="K1015" s="200"/>
      <c r="L1015" s="200"/>
      <c r="M1015" s="200"/>
      <c r="N1015" s="200"/>
      <c r="O1015" s="200"/>
      <c r="P1015" s="200"/>
      <c r="Q1015" s="200"/>
      <c r="R1015" s="200"/>
      <c r="S1015" s="200"/>
      <c r="T1015" s="200"/>
      <c r="U1015" s="200"/>
      <c r="V1015" s="200"/>
      <c r="W1015" s="200"/>
      <c r="X1015" s="200"/>
      <c r="Y1015" s="200"/>
      <c r="Z1015" s="200"/>
      <c r="AA1015" s="200"/>
      <c r="AB1015" s="200"/>
      <c r="AC1015" s="200"/>
      <c r="AD1015" s="200"/>
      <c r="AE1015" s="200"/>
      <c r="AF1015" s="200"/>
      <c r="AG1015" s="200"/>
      <c r="AH1015" s="200"/>
      <c r="AI1015" s="200"/>
      <c r="AJ1015" s="200"/>
      <c r="AK1015" s="200"/>
      <c r="AL1015" s="200"/>
      <c r="AM1015" s="200"/>
      <c r="AN1015" s="200"/>
      <c r="AO1015" s="200"/>
      <c r="AP1015" s="200"/>
      <c r="AQ1015" s="200"/>
      <c r="AR1015" s="200"/>
      <c r="AS1015" s="200"/>
      <c r="AT1015" s="200"/>
      <c r="AU1015" s="200"/>
      <c r="AV1015" s="200"/>
      <c r="AW1015" s="200"/>
      <c r="AX1015" s="200"/>
      <c r="AY1015" s="200"/>
      <c r="AZ1015" s="200"/>
      <c r="BA1015" s="200"/>
      <c r="BB1015" s="200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</row>
    <row r="1016" spans="1:71" ht="13.8">
      <c r="A1016" s="1"/>
      <c r="B1016" s="1"/>
      <c r="C1016" s="200"/>
      <c r="D1016" s="200"/>
      <c r="E1016" s="200"/>
      <c r="F1016" s="200"/>
      <c r="G1016" s="200"/>
      <c r="H1016" s="200"/>
      <c r="I1016" s="200"/>
      <c r="J1016" s="200"/>
      <c r="K1016" s="200"/>
      <c r="L1016" s="200"/>
      <c r="M1016" s="200"/>
      <c r="N1016" s="200"/>
      <c r="O1016" s="200"/>
      <c r="P1016" s="200"/>
      <c r="Q1016" s="200"/>
      <c r="R1016" s="200"/>
      <c r="S1016" s="200"/>
      <c r="T1016" s="200"/>
      <c r="U1016" s="200"/>
      <c r="V1016" s="200"/>
      <c r="W1016" s="200"/>
      <c r="X1016" s="200"/>
      <c r="Y1016" s="200"/>
      <c r="Z1016" s="200"/>
      <c r="AA1016" s="200"/>
      <c r="AB1016" s="200"/>
      <c r="AC1016" s="200"/>
      <c r="AD1016" s="200"/>
      <c r="AE1016" s="200"/>
      <c r="AF1016" s="200"/>
      <c r="AG1016" s="200"/>
      <c r="AH1016" s="200"/>
      <c r="AI1016" s="200"/>
      <c r="AJ1016" s="200"/>
      <c r="AK1016" s="200"/>
      <c r="AL1016" s="200"/>
      <c r="AM1016" s="200"/>
      <c r="AN1016" s="200"/>
      <c r="AO1016" s="200"/>
      <c r="AP1016" s="200"/>
      <c r="AQ1016" s="200"/>
      <c r="AR1016" s="200"/>
      <c r="AS1016" s="200"/>
      <c r="AT1016" s="200"/>
      <c r="AU1016" s="200"/>
      <c r="AV1016" s="200"/>
      <c r="AW1016" s="200"/>
      <c r="AX1016" s="200"/>
      <c r="AY1016" s="200"/>
      <c r="AZ1016" s="200"/>
      <c r="BA1016" s="200"/>
      <c r="BB1016" s="200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</row>
    <row r="1017" spans="1:71" ht="13.8">
      <c r="A1017" s="1"/>
      <c r="B1017" s="1"/>
      <c r="C1017" s="200"/>
      <c r="D1017" s="200"/>
      <c r="E1017" s="200"/>
      <c r="F1017" s="200"/>
      <c r="G1017" s="200"/>
      <c r="H1017" s="200"/>
      <c r="I1017" s="200"/>
      <c r="J1017" s="200"/>
      <c r="K1017" s="200"/>
      <c r="L1017" s="200"/>
      <c r="M1017" s="200"/>
      <c r="N1017" s="200"/>
      <c r="O1017" s="200"/>
      <c r="P1017" s="200"/>
      <c r="Q1017" s="200"/>
      <c r="R1017" s="200"/>
      <c r="S1017" s="200"/>
      <c r="T1017" s="200"/>
      <c r="U1017" s="200"/>
      <c r="V1017" s="200"/>
      <c r="W1017" s="200"/>
      <c r="X1017" s="200"/>
      <c r="Y1017" s="200"/>
      <c r="Z1017" s="200"/>
      <c r="AA1017" s="200"/>
      <c r="AB1017" s="200"/>
      <c r="AC1017" s="200"/>
      <c r="AD1017" s="200"/>
      <c r="AE1017" s="200"/>
      <c r="AF1017" s="200"/>
      <c r="AG1017" s="200"/>
      <c r="AH1017" s="200"/>
      <c r="AI1017" s="200"/>
      <c r="AJ1017" s="200"/>
      <c r="AK1017" s="200"/>
      <c r="AL1017" s="200"/>
      <c r="AM1017" s="200"/>
      <c r="AN1017" s="200"/>
      <c r="AO1017" s="200"/>
      <c r="AP1017" s="200"/>
      <c r="AQ1017" s="200"/>
      <c r="AR1017" s="200"/>
      <c r="AS1017" s="200"/>
      <c r="AT1017" s="200"/>
      <c r="AU1017" s="200"/>
      <c r="AV1017" s="200"/>
      <c r="AW1017" s="200"/>
      <c r="AX1017" s="200"/>
      <c r="AY1017" s="200"/>
      <c r="AZ1017" s="200"/>
      <c r="BA1017" s="200"/>
      <c r="BB1017" s="200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</row>
    <row r="1018" spans="1:71" ht="13.8">
      <c r="A1018" s="1"/>
      <c r="B1018" s="1"/>
      <c r="C1018" s="200"/>
      <c r="D1018" s="200"/>
      <c r="E1018" s="200"/>
      <c r="F1018" s="200"/>
      <c r="G1018" s="200"/>
      <c r="H1018" s="200"/>
      <c r="I1018" s="200"/>
      <c r="J1018" s="200"/>
      <c r="K1018" s="200"/>
      <c r="L1018" s="200"/>
      <c r="M1018" s="200"/>
      <c r="N1018" s="200"/>
      <c r="O1018" s="200"/>
      <c r="P1018" s="200"/>
      <c r="Q1018" s="200"/>
      <c r="R1018" s="200"/>
      <c r="S1018" s="200"/>
      <c r="T1018" s="200"/>
      <c r="U1018" s="200"/>
      <c r="V1018" s="200"/>
      <c r="W1018" s="200"/>
      <c r="X1018" s="200"/>
      <c r="Y1018" s="200"/>
      <c r="Z1018" s="200"/>
      <c r="AA1018" s="200"/>
      <c r="AB1018" s="200"/>
      <c r="AC1018" s="200"/>
      <c r="AD1018" s="200"/>
      <c r="AE1018" s="200"/>
      <c r="AF1018" s="200"/>
      <c r="AG1018" s="200"/>
      <c r="AH1018" s="200"/>
      <c r="AI1018" s="200"/>
      <c r="AJ1018" s="200"/>
      <c r="AK1018" s="200"/>
      <c r="AL1018" s="200"/>
      <c r="AM1018" s="200"/>
      <c r="AN1018" s="200"/>
      <c r="AO1018" s="200"/>
      <c r="AP1018" s="200"/>
      <c r="AQ1018" s="200"/>
      <c r="AR1018" s="200"/>
      <c r="AS1018" s="200"/>
      <c r="AT1018" s="200"/>
      <c r="AU1018" s="200"/>
      <c r="AV1018" s="200"/>
      <c r="AW1018" s="200"/>
      <c r="AX1018" s="200"/>
      <c r="AY1018" s="200"/>
      <c r="AZ1018" s="200"/>
      <c r="BA1018" s="200"/>
      <c r="BB1018" s="200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</row>
    <row r="1019" spans="1:71" ht="13.8">
      <c r="A1019" s="1"/>
      <c r="B1019" s="1"/>
      <c r="C1019" s="200"/>
      <c r="D1019" s="200"/>
      <c r="E1019" s="200"/>
      <c r="F1019" s="200"/>
      <c r="G1019" s="200"/>
      <c r="H1019" s="200"/>
      <c r="I1019" s="200"/>
      <c r="J1019" s="200"/>
      <c r="K1019" s="200"/>
      <c r="L1019" s="200"/>
      <c r="M1019" s="200"/>
      <c r="N1019" s="200"/>
      <c r="O1019" s="200"/>
      <c r="P1019" s="200"/>
      <c r="Q1019" s="200"/>
      <c r="R1019" s="200"/>
      <c r="S1019" s="200"/>
      <c r="T1019" s="200"/>
      <c r="U1019" s="200"/>
      <c r="V1019" s="200"/>
      <c r="W1019" s="200"/>
      <c r="X1019" s="200"/>
      <c r="Y1019" s="200"/>
      <c r="Z1019" s="200"/>
      <c r="AA1019" s="200"/>
      <c r="AB1019" s="200"/>
      <c r="AC1019" s="200"/>
      <c r="AD1019" s="200"/>
      <c r="AE1019" s="200"/>
      <c r="AF1019" s="200"/>
      <c r="AG1019" s="200"/>
      <c r="AH1019" s="200"/>
      <c r="AI1019" s="200"/>
      <c r="AJ1019" s="200"/>
      <c r="AK1019" s="200"/>
      <c r="AL1019" s="200"/>
      <c r="AM1019" s="200"/>
      <c r="AN1019" s="200"/>
      <c r="AO1019" s="200"/>
      <c r="AP1019" s="200"/>
      <c r="AQ1019" s="200"/>
      <c r="AR1019" s="200"/>
      <c r="AS1019" s="200"/>
      <c r="AT1019" s="200"/>
      <c r="AU1019" s="200"/>
      <c r="AV1019" s="200"/>
      <c r="AW1019" s="200"/>
      <c r="AX1019" s="200"/>
      <c r="AY1019" s="200"/>
      <c r="AZ1019" s="200"/>
      <c r="BA1019" s="200"/>
      <c r="BB1019" s="200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</row>
    <row r="1020" spans="1:71" ht="13.8">
      <c r="A1020" s="1"/>
      <c r="B1020" s="1"/>
      <c r="C1020" s="200"/>
      <c r="D1020" s="200"/>
      <c r="E1020" s="200"/>
      <c r="F1020" s="200"/>
      <c r="G1020" s="200"/>
      <c r="H1020" s="200"/>
      <c r="I1020" s="200"/>
      <c r="J1020" s="200"/>
      <c r="K1020" s="200"/>
      <c r="L1020" s="200"/>
      <c r="M1020" s="200"/>
      <c r="N1020" s="200"/>
      <c r="O1020" s="200"/>
      <c r="P1020" s="200"/>
      <c r="Q1020" s="200"/>
      <c r="R1020" s="200"/>
      <c r="S1020" s="200"/>
      <c r="T1020" s="200"/>
      <c r="U1020" s="200"/>
      <c r="V1020" s="200"/>
      <c r="W1020" s="200"/>
      <c r="X1020" s="200"/>
      <c r="Y1020" s="200"/>
      <c r="Z1020" s="200"/>
      <c r="AA1020" s="200"/>
      <c r="AB1020" s="200"/>
      <c r="AC1020" s="200"/>
      <c r="AD1020" s="200"/>
      <c r="AE1020" s="200"/>
      <c r="AF1020" s="200"/>
      <c r="AG1020" s="200"/>
      <c r="AH1020" s="200"/>
      <c r="AI1020" s="200"/>
      <c r="AJ1020" s="200"/>
      <c r="AK1020" s="200"/>
      <c r="AL1020" s="200"/>
      <c r="AM1020" s="200"/>
      <c r="AN1020" s="200"/>
      <c r="AO1020" s="200"/>
      <c r="AP1020" s="200"/>
      <c r="AQ1020" s="200"/>
      <c r="AR1020" s="200"/>
      <c r="AS1020" s="200"/>
      <c r="AT1020" s="200"/>
      <c r="AU1020" s="200"/>
      <c r="AV1020" s="200"/>
      <c r="AW1020" s="200"/>
      <c r="AX1020" s="200"/>
      <c r="AY1020" s="200"/>
      <c r="AZ1020" s="200"/>
      <c r="BA1020" s="200"/>
      <c r="BB1020" s="200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</row>
    <row r="1021" spans="1:71" ht="13.8">
      <c r="A1021" s="1"/>
      <c r="B1021" s="1"/>
      <c r="C1021" s="200"/>
      <c r="D1021" s="200"/>
      <c r="E1021" s="200"/>
      <c r="F1021" s="200"/>
      <c r="G1021" s="200"/>
      <c r="H1021" s="200"/>
      <c r="I1021" s="200"/>
      <c r="J1021" s="200"/>
      <c r="K1021" s="200"/>
      <c r="L1021" s="200"/>
      <c r="M1021" s="200"/>
      <c r="N1021" s="200"/>
      <c r="O1021" s="200"/>
      <c r="P1021" s="200"/>
      <c r="Q1021" s="200"/>
      <c r="R1021" s="200"/>
      <c r="S1021" s="200"/>
      <c r="T1021" s="200"/>
      <c r="U1021" s="200"/>
      <c r="V1021" s="200"/>
      <c r="W1021" s="200"/>
      <c r="X1021" s="200"/>
      <c r="Y1021" s="200"/>
      <c r="Z1021" s="200"/>
      <c r="AA1021" s="200"/>
      <c r="AB1021" s="200"/>
      <c r="AC1021" s="200"/>
      <c r="AD1021" s="200"/>
      <c r="AE1021" s="200"/>
      <c r="AF1021" s="200"/>
      <c r="AG1021" s="200"/>
      <c r="AH1021" s="200"/>
      <c r="AI1021" s="200"/>
      <c r="AJ1021" s="200"/>
      <c r="AK1021" s="200"/>
      <c r="AL1021" s="200"/>
      <c r="AM1021" s="200"/>
      <c r="AN1021" s="200"/>
      <c r="AO1021" s="200"/>
      <c r="AP1021" s="200"/>
      <c r="AQ1021" s="200"/>
      <c r="AR1021" s="200"/>
      <c r="AS1021" s="200"/>
      <c r="AT1021" s="200"/>
      <c r="AU1021" s="200"/>
      <c r="AV1021" s="200"/>
      <c r="AW1021" s="200"/>
      <c r="AX1021" s="200"/>
      <c r="AY1021" s="200"/>
      <c r="AZ1021" s="200"/>
      <c r="BA1021" s="200"/>
      <c r="BB1021" s="200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</row>
    <row r="1022" spans="1:71" ht="13.8">
      <c r="A1022" s="1"/>
      <c r="B1022" s="1"/>
      <c r="C1022" s="200"/>
      <c r="D1022" s="200"/>
      <c r="E1022" s="200"/>
      <c r="F1022" s="200"/>
      <c r="G1022" s="200"/>
      <c r="H1022" s="200"/>
      <c r="I1022" s="200"/>
      <c r="J1022" s="200"/>
      <c r="K1022" s="200"/>
      <c r="L1022" s="200"/>
      <c r="M1022" s="200"/>
      <c r="N1022" s="200"/>
      <c r="O1022" s="200"/>
      <c r="P1022" s="200"/>
      <c r="Q1022" s="200"/>
      <c r="R1022" s="200"/>
      <c r="S1022" s="200"/>
      <c r="T1022" s="200"/>
      <c r="U1022" s="200"/>
      <c r="V1022" s="200"/>
      <c r="W1022" s="200"/>
      <c r="X1022" s="200"/>
      <c r="Y1022" s="200"/>
      <c r="Z1022" s="200"/>
      <c r="AA1022" s="200"/>
      <c r="AB1022" s="200"/>
      <c r="AC1022" s="200"/>
      <c r="AD1022" s="200"/>
      <c r="AE1022" s="200"/>
      <c r="AF1022" s="200"/>
      <c r="AG1022" s="200"/>
      <c r="AH1022" s="200"/>
      <c r="AI1022" s="200"/>
      <c r="AJ1022" s="200"/>
      <c r="AK1022" s="200"/>
      <c r="AL1022" s="200"/>
      <c r="AM1022" s="200"/>
      <c r="AN1022" s="200"/>
      <c r="AO1022" s="200"/>
      <c r="AP1022" s="200"/>
      <c r="AQ1022" s="200"/>
      <c r="AR1022" s="200"/>
      <c r="AS1022" s="200"/>
      <c r="AT1022" s="200"/>
      <c r="AU1022" s="200"/>
      <c r="AV1022" s="200"/>
      <c r="AW1022" s="200"/>
      <c r="AX1022" s="200"/>
      <c r="AY1022" s="200"/>
      <c r="AZ1022" s="200"/>
      <c r="BA1022" s="200"/>
      <c r="BB1022" s="200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</row>
    <row r="1023" spans="1:71" ht="13.8">
      <c r="A1023" s="1"/>
      <c r="B1023" s="1"/>
      <c r="C1023" s="200"/>
      <c r="D1023" s="200"/>
      <c r="E1023" s="200"/>
      <c r="F1023" s="200"/>
      <c r="G1023" s="200"/>
      <c r="H1023" s="200"/>
      <c r="I1023" s="200"/>
      <c r="J1023" s="200"/>
      <c r="K1023" s="200"/>
      <c r="L1023" s="200"/>
      <c r="M1023" s="200"/>
      <c r="N1023" s="200"/>
      <c r="O1023" s="200"/>
      <c r="P1023" s="200"/>
      <c r="Q1023" s="200"/>
      <c r="R1023" s="200"/>
      <c r="S1023" s="200"/>
      <c r="T1023" s="200"/>
      <c r="U1023" s="200"/>
      <c r="V1023" s="200"/>
      <c r="W1023" s="200"/>
      <c r="X1023" s="200"/>
      <c r="Y1023" s="200"/>
      <c r="Z1023" s="200"/>
      <c r="AA1023" s="200"/>
      <c r="AB1023" s="200"/>
      <c r="AC1023" s="200"/>
      <c r="AD1023" s="200"/>
      <c r="AE1023" s="200"/>
      <c r="AF1023" s="200"/>
      <c r="AG1023" s="200"/>
      <c r="AH1023" s="200"/>
      <c r="AI1023" s="200"/>
      <c r="AJ1023" s="200"/>
      <c r="AK1023" s="200"/>
      <c r="AL1023" s="200"/>
      <c r="AM1023" s="200"/>
      <c r="AN1023" s="200"/>
      <c r="AO1023" s="200"/>
      <c r="AP1023" s="200"/>
      <c r="AQ1023" s="200"/>
      <c r="AR1023" s="200"/>
      <c r="AS1023" s="200"/>
      <c r="AT1023" s="200"/>
      <c r="AU1023" s="200"/>
      <c r="AV1023" s="200"/>
      <c r="AW1023" s="200"/>
      <c r="AX1023" s="200"/>
      <c r="AY1023" s="200"/>
      <c r="AZ1023" s="200"/>
      <c r="BA1023" s="200"/>
      <c r="BB1023" s="200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</row>
    <row r="1024" spans="1:71" ht="13.8">
      <c r="A1024" s="1"/>
      <c r="B1024" s="1"/>
      <c r="C1024" s="200"/>
      <c r="D1024" s="200"/>
      <c r="E1024" s="200"/>
      <c r="F1024" s="200"/>
      <c r="G1024" s="200"/>
      <c r="H1024" s="200"/>
      <c r="I1024" s="200"/>
      <c r="J1024" s="200"/>
      <c r="K1024" s="200"/>
      <c r="L1024" s="200"/>
      <c r="M1024" s="200"/>
      <c r="N1024" s="200"/>
      <c r="O1024" s="200"/>
      <c r="P1024" s="200"/>
      <c r="Q1024" s="200"/>
      <c r="R1024" s="200"/>
      <c r="S1024" s="200"/>
      <c r="T1024" s="200"/>
      <c r="U1024" s="200"/>
      <c r="V1024" s="200"/>
      <c r="W1024" s="200"/>
      <c r="X1024" s="200"/>
      <c r="Y1024" s="200"/>
      <c r="Z1024" s="200"/>
      <c r="AA1024" s="200"/>
      <c r="AB1024" s="200"/>
      <c r="AC1024" s="200"/>
      <c r="AD1024" s="200"/>
      <c r="AE1024" s="200"/>
      <c r="AF1024" s="200"/>
      <c r="AG1024" s="200"/>
      <c r="AH1024" s="200"/>
      <c r="AI1024" s="200"/>
      <c r="AJ1024" s="200"/>
      <c r="AK1024" s="200"/>
      <c r="AL1024" s="200"/>
      <c r="AM1024" s="200"/>
      <c r="AN1024" s="200"/>
      <c r="AO1024" s="200"/>
      <c r="AP1024" s="200"/>
      <c r="AQ1024" s="200"/>
      <c r="AR1024" s="200"/>
      <c r="AS1024" s="200"/>
      <c r="AT1024" s="200"/>
      <c r="AU1024" s="200"/>
      <c r="AV1024" s="200"/>
      <c r="AW1024" s="200"/>
      <c r="AX1024" s="200"/>
      <c r="AY1024" s="200"/>
      <c r="AZ1024" s="200"/>
      <c r="BA1024" s="200"/>
      <c r="BB1024" s="200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</row>
    <row r="1025" spans="1:71" ht="13.8">
      <c r="A1025" s="1"/>
      <c r="B1025" s="1"/>
      <c r="C1025" s="200"/>
      <c r="D1025" s="200"/>
      <c r="E1025" s="200"/>
      <c r="F1025" s="200"/>
      <c r="G1025" s="200"/>
      <c r="H1025" s="200"/>
      <c r="I1025" s="200"/>
      <c r="J1025" s="200"/>
      <c r="K1025" s="200"/>
      <c r="L1025" s="200"/>
      <c r="M1025" s="200"/>
      <c r="N1025" s="200"/>
      <c r="O1025" s="200"/>
      <c r="P1025" s="200"/>
      <c r="Q1025" s="200"/>
      <c r="R1025" s="200"/>
      <c r="S1025" s="200"/>
      <c r="T1025" s="200"/>
      <c r="U1025" s="200"/>
      <c r="V1025" s="200"/>
      <c r="W1025" s="200"/>
      <c r="X1025" s="200"/>
      <c r="Y1025" s="200"/>
      <c r="Z1025" s="200"/>
      <c r="AA1025" s="200"/>
      <c r="AB1025" s="200"/>
      <c r="AC1025" s="200"/>
      <c r="AD1025" s="200"/>
      <c r="AE1025" s="200"/>
      <c r="AF1025" s="200"/>
      <c r="AG1025" s="200"/>
      <c r="AH1025" s="200"/>
      <c r="AI1025" s="200"/>
      <c r="AJ1025" s="200"/>
      <c r="AK1025" s="200"/>
      <c r="AL1025" s="200"/>
      <c r="AM1025" s="200"/>
      <c r="AN1025" s="200"/>
      <c r="AO1025" s="200"/>
      <c r="AP1025" s="200"/>
      <c r="AQ1025" s="200"/>
      <c r="AR1025" s="200"/>
      <c r="AS1025" s="200"/>
      <c r="AT1025" s="200"/>
      <c r="AU1025" s="200"/>
      <c r="AV1025" s="200"/>
      <c r="AW1025" s="200"/>
      <c r="AX1025" s="200"/>
      <c r="AY1025" s="200"/>
      <c r="AZ1025" s="200"/>
      <c r="BA1025" s="200"/>
      <c r="BB1025" s="200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</row>
    <row r="1026" spans="1:71" ht="13.8">
      <c r="A1026" s="1"/>
      <c r="B1026" s="1"/>
      <c r="C1026" s="200"/>
      <c r="D1026" s="200"/>
      <c r="E1026" s="200"/>
      <c r="F1026" s="200"/>
      <c r="G1026" s="200"/>
      <c r="H1026" s="200"/>
      <c r="I1026" s="200"/>
      <c r="J1026" s="200"/>
      <c r="K1026" s="200"/>
      <c r="L1026" s="200"/>
      <c r="M1026" s="200"/>
      <c r="N1026" s="200"/>
      <c r="O1026" s="200"/>
      <c r="P1026" s="200"/>
      <c r="Q1026" s="200"/>
      <c r="R1026" s="200"/>
      <c r="S1026" s="200"/>
      <c r="T1026" s="200"/>
      <c r="U1026" s="200"/>
      <c r="V1026" s="200"/>
      <c r="W1026" s="200"/>
      <c r="X1026" s="200"/>
      <c r="Y1026" s="200"/>
      <c r="Z1026" s="200"/>
      <c r="AA1026" s="200"/>
      <c r="AB1026" s="200"/>
      <c r="AC1026" s="200"/>
      <c r="AD1026" s="200"/>
      <c r="AE1026" s="200"/>
      <c r="AF1026" s="200"/>
      <c r="AG1026" s="200"/>
      <c r="AH1026" s="200"/>
      <c r="AI1026" s="200"/>
      <c r="AJ1026" s="200"/>
      <c r="AK1026" s="200"/>
      <c r="AL1026" s="200"/>
      <c r="AM1026" s="200"/>
      <c r="AN1026" s="200"/>
      <c r="AO1026" s="200"/>
      <c r="AP1026" s="200"/>
      <c r="AQ1026" s="200"/>
      <c r="AR1026" s="200"/>
      <c r="AS1026" s="200"/>
      <c r="AT1026" s="200"/>
      <c r="AU1026" s="200"/>
      <c r="AV1026" s="200"/>
      <c r="AW1026" s="200"/>
      <c r="AX1026" s="200"/>
      <c r="AY1026" s="200"/>
      <c r="AZ1026" s="200"/>
      <c r="BA1026" s="200"/>
      <c r="BB1026" s="200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</row>
    <row r="1027" spans="1:71" ht="13.8">
      <c r="A1027" s="1"/>
      <c r="B1027" s="1"/>
      <c r="C1027" s="200"/>
      <c r="D1027" s="200"/>
      <c r="E1027" s="200"/>
      <c r="F1027" s="200"/>
      <c r="G1027" s="200"/>
      <c r="H1027" s="200"/>
      <c r="I1027" s="200"/>
      <c r="J1027" s="200"/>
      <c r="K1027" s="200"/>
      <c r="L1027" s="200"/>
      <c r="M1027" s="200"/>
      <c r="N1027" s="200"/>
      <c r="O1027" s="200"/>
      <c r="P1027" s="200"/>
      <c r="Q1027" s="200"/>
      <c r="R1027" s="200"/>
      <c r="S1027" s="200"/>
      <c r="T1027" s="200"/>
      <c r="U1027" s="200"/>
      <c r="V1027" s="200"/>
      <c r="W1027" s="200"/>
      <c r="X1027" s="200"/>
      <c r="Y1027" s="200"/>
      <c r="Z1027" s="200"/>
      <c r="AA1027" s="200"/>
      <c r="AB1027" s="200"/>
      <c r="AC1027" s="200"/>
      <c r="AD1027" s="200"/>
      <c r="AE1027" s="200"/>
      <c r="AF1027" s="200"/>
      <c r="AG1027" s="200"/>
      <c r="AH1027" s="200"/>
      <c r="AI1027" s="200"/>
      <c r="AJ1027" s="200"/>
      <c r="AK1027" s="200"/>
      <c r="AL1027" s="200"/>
      <c r="AM1027" s="200"/>
      <c r="AN1027" s="200"/>
      <c r="AO1027" s="200"/>
      <c r="AP1027" s="200"/>
      <c r="AQ1027" s="200"/>
      <c r="AR1027" s="200"/>
      <c r="AS1027" s="200"/>
      <c r="AT1027" s="200"/>
      <c r="AU1027" s="200"/>
      <c r="AV1027" s="200"/>
      <c r="AW1027" s="200"/>
      <c r="AX1027" s="200"/>
      <c r="AY1027" s="200"/>
      <c r="AZ1027" s="200"/>
      <c r="BA1027" s="200"/>
      <c r="BB1027" s="200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</row>
    <row r="1028" spans="1:71" ht="13.8">
      <c r="A1028" s="1"/>
      <c r="B1028" s="1"/>
      <c r="C1028" s="200"/>
      <c r="D1028" s="200"/>
      <c r="E1028" s="200"/>
      <c r="F1028" s="200"/>
      <c r="G1028" s="200"/>
      <c r="H1028" s="200"/>
      <c r="I1028" s="200"/>
      <c r="J1028" s="200"/>
      <c r="K1028" s="200"/>
      <c r="L1028" s="200"/>
      <c r="M1028" s="200"/>
      <c r="N1028" s="200"/>
      <c r="O1028" s="200"/>
      <c r="P1028" s="200"/>
      <c r="Q1028" s="200"/>
      <c r="R1028" s="200"/>
      <c r="S1028" s="200"/>
      <c r="T1028" s="200"/>
      <c r="U1028" s="200"/>
      <c r="V1028" s="200"/>
      <c r="W1028" s="200"/>
      <c r="X1028" s="200"/>
      <c r="Y1028" s="200"/>
      <c r="Z1028" s="200"/>
      <c r="AA1028" s="200"/>
      <c r="AB1028" s="200"/>
      <c r="AC1028" s="200"/>
      <c r="AD1028" s="200"/>
      <c r="AE1028" s="200"/>
      <c r="AF1028" s="200"/>
      <c r="AG1028" s="200"/>
      <c r="AH1028" s="200"/>
      <c r="AI1028" s="200"/>
      <c r="AJ1028" s="200"/>
      <c r="AK1028" s="200"/>
      <c r="AL1028" s="200"/>
      <c r="AM1028" s="200"/>
      <c r="AN1028" s="200"/>
      <c r="AO1028" s="200"/>
      <c r="AP1028" s="200"/>
      <c r="AQ1028" s="200"/>
      <c r="AR1028" s="200"/>
      <c r="AS1028" s="200"/>
      <c r="AT1028" s="200"/>
      <c r="AU1028" s="200"/>
      <c r="AV1028" s="200"/>
      <c r="AW1028" s="200"/>
      <c r="AX1028" s="200"/>
      <c r="AY1028" s="200"/>
      <c r="AZ1028" s="200"/>
      <c r="BA1028" s="200"/>
      <c r="BB1028" s="200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</row>
    <row r="1029" spans="1:71" ht="13.8">
      <c r="A1029" s="1"/>
      <c r="B1029" s="1"/>
      <c r="C1029" s="200"/>
      <c r="D1029" s="200"/>
      <c r="E1029" s="200"/>
      <c r="F1029" s="200"/>
      <c r="G1029" s="200"/>
      <c r="H1029" s="200"/>
      <c r="I1029" s="200"/>
      <c r="J1029" s="200"/>
      <c r="K1029" s="200"/>
      <c r="L1029" s="200"/>
      <c r="M1029" s="200"/>
      <c r="N1029" s="200"/>
      <c r="O1029" s="200"/>
      <c r="P1029" s="200"/>
      <c r="Q1029" s="200"/>
      <c r="R1029" s="200"/>
      <c r="S1029" s="200"/>
      <c r="T1029" s="200"/>
      <c r="U1029" s="200"/>
      <c r="V1029" s="200"/>
      <c r="W1029" s="200"/>
      <c r="X1029" s="200"/>
      <c r="Y1029" s="200"/>
      <c r="Z1029" s="200"/>
      <c r="AA1029" s="200"/>
      <c r="AB1029" s="200"/>
      <c r="AC1029" s="200"/>
      <c r="AD1029" s="200"/>
      <c r="AE1029" s="200"/>
      <c r="AF1029" s="200"/>
      <c r="AG1029" s="200"/>
      <c r="AH1029" s="200"/>
      <c r="AI1029" s="200"/>
      <c r="AJ1029" s="200"/>
      <c r="AK1029" s="200"/>
      <c r="AL1029" s="200"/>
      <c r="AM1029" s="200"/>
      <c r="AN1029" s="200"/>
      <c r="AO1029" s="200"/>
      <c r="AP1029" s="200"/>
      <c r="AQ1029" s="200"/>
      <c r="AR1029" s="200"/>
      <c r="AS1029" s="200"/>
      <c r="AT1029" s="200"/>
      <c r="AU1029" s="200"/>
      <c r="AV1029" s="200"/>
      <c r="AW1029" s="200"/>
      <c r="AX1029" s="200"/>
      <c r="AY1029" s="200"/>
      <c r="AZ1029" s="200"/>
      <c r="BA1029" s="200"/>
      <c r="BB1029" s="200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</row>
    <row r="1030" spans="1:71" ht="13.8">
      <c r="A1030" s="1"/>
      <c r="B1030" s="1"/>
      <c r="C1030" s="200"/>
      <c r="D1030" s="200"/>
      <c r="E1030" s="200"/>
      <c r="F1030" s="200"/>
      <c r="G1030" s="200"/>
      <c r="H1030" s="200"/>
      <c r="I1030" s="200"/>
      <c r="J1030" s="200"/>
      <c r="K1030" s="200"/>
      <c r="L1030" s="200"/>
      <c r="M1030" s="200"/>
      <c r="N1030" s="200"/>
      <c r="O1030" s="200"/>
      <c r="P1030" s="200"/>
      <c r="Q1030" s="200"/>
      <c r="R1030" s="200"/>
      <c r="S1030" s="200"/>
      <c r="T1030" s="200"/>
      <c r="U1030" s="200"/>
      <c r="V1030" s="200"/>
      <c r="W1030" s="200"/>
      <c r="X1030" s="200"/>
      <c r="Y1030" s="200"/>
      <c r="Z1030" s="200"/>
      <c r="AA1030" s="200"/>
      <c r="AB1030" s="200"/>
      <c r="AC1030" s="200"/>
      <c r="AD1030" s="200"/>
      <c r="AE1030" s="200"/>
      <c r="AF1030" s="200"/>
      <c r="AG1030" s="200"/>
      <c r="AH1030" s="200"/>
      <c r="AI1030" s="200"/>
      <c r="AJ1030" s="200"/>
      <c r="AK1030" s="200"/>
      <c r="AL1030" s="200"/>
      <c r="AM1030" s="200"/>
      <c r="AN1030" s="200"/>
      <c r="AO1030" s="200"/>
      <c r="AP1030" s="200"/>
      <c r="AQ1030" s="200"/>
      <c r="AR1030" s="200"/>
      <c r="AS1030" s="200"/>
      <c r="AT1030" s="200"/>
      <c r="AU1030" s="200"/>
      <c r="AV1030" s="200"/>
      <c r="AW1030" s="200"/>
      <c r="AX1030" s="200"/>
      <c r="AY1030" s="200"/>
      <c r="AZ1030" s="200"/>
      <c r="BA1030" s="200"/>
      <c r="BB1030" s="200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</row>
    <row r="1031" spans="1:71" ht="13.8">
      <c r="A1031" s="1"/>
      <c r="B1031" s="1"/>
      <c r="C1031" s="200"/>
      <c r="D1031" s="200"/>
      <c r="E1031" s="200"/>
      <c r="F1031" s="200"/>
      <c r="G1031" s="200"/>
      <c r="H1031" s="200"/>
      <c r="I1031" s="200"/>
      <c r="J1031" s="200"/>
      <c r="K1031" s="200"/>
      <c r="L1031" s="200"/>
      <c r="M1031" s="200"/>
      <c r="N1031" s="200"/>
      <c r="O1031" s="200"/>
      <c r="P1031" s="200"/>
      <c r="Q1031" s="200"/>
      <c r="R1031" s="200"/>
      <c r="S1031" s="200"/>
      <c r="T1031" s="200"/>
      <c r="U1031" s="200"/>
      <c r="V1031" s="200"/>
      <c r="W1031" s="200"/>
      <c r="X1031" s="200"/>
      <c r="Y1031" s="200"/>
      <c r="Z1031" s="200"/>
      <c r="AA1031" s="200"/>
      <c r="AB1031" s="200"/>
      <c r="AC1031" s="200"/>
      <c r="AD1031" s="200"/>
      <c r="AE1031" s="200"/>
      <c r="AF1031" s="200"/>
      <c r="AG1031" s="200"/>
      <c r="AH1031" s="200"/>
      <c r="AI1031" s="200"/>
      <c r="AJ1031" s="200"/>
      <c r="AK1031" s="200"/>
      <c r="AL1031" s="200"/>
      <c r="AM1031" s="200"/>
      <c r="AN1031" s="200"/>
      <c r="AO1031" s="200"/>
      <c r="AP1031" s="200"/>
      <c r="AQ1031" s="200"/>
      <c r="AR1031" s="200"/>
      <c r="AS1031" s="200"/>
      <c r="AT1031" s="200"/>
      <c r="AU1031" s="200"/>
      <c r="AV1031" s="200"/>
      <c r="AW1031" s="200"/>
      <c r="AX1031" s="200"/>
      <c r="AY1031" s="200"/>
      <c r="AZ1031" s="200"/>
      <c r="BA1031" s="200"/>
      <c r="BB1031" s="200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</row>
    <row r="1032" spans="1:71" ht="13.8">
      <c r="A1032" s="1"/>
      <c r="B1032" s="1"/>
      <c r="C1032" s="200"/>
      <c r="D1032" s="200"/>
      <c r="E1032" s="200"/>
      <c r="F1032" s="200"/>
      <c r="G1032" s="200"/>
      <c r="H1032" s="200"/>
      <c r="I1032" s="200"/>
      <c r="J1032" s="200"/>
      <c r="K1032" s="200"/>
      <c r="L1032" s="200"/>
      <c r="M1032" s="200"/>
      <c r="N1032" s="200"/>
      <c r="O1032" s="200"/>
      <c r="P1032" s="200"/>
      <c r="Q1032" s="200"/>
      <c r="R1032" s="200"/>
      <c r="S1032" s="200"/>
      <c r="T1032" s="200"/>
      <c r="U1032" s="200"/>
      <c r="V1032" s="200"/>
      <c r="W1032" s="200"/>
      <c r="X1032" s="200"/>
      <c r="Y1032" s="200"/>
      <c r="Z1032" s="200"/>
      <c r="AA1032" s="200"/>
      <c r="AB1032" s="200"/>
      <c r="AC1032" s="200"/>
      <c r="AD1032" s="200"/>
      <c r="AE1032" s="200"/>
      <c r="AF1032" s="200"/>
      <c r="AG1032" s="200"/>
      <c r="AH1032" s="200"/>
      <c r="AI1032" s="200"/>
      <c r="AJ1032" s="200"/>
      <c r="AK1032" s="200"/>
      <c r="AL1032" s="200"/>
      <c r="AM1032" s="200"/>
      <c r="AN1032" s="200"/>
      <c r="AO1032" s="200"/>
      <c r="AP1032" s="200"/>
      <c r="AQ1032" s="200"/>
      <c r="AR1032" s="200"/>
      <c r="AS1032" s="200"/>
      <c r="AT1032" s="200"/>
      <c r="AU1032" s="200"/>
      <c r="AV1032" s="200"/>
      <c r="AW1032" s="200"/>
      <c r="AX1032" s="200"/>
      <c r="AY1032" s="200"/>
      <c r="AZ1032" s="200"/>
      <c r="BA1032" s="200"/>
      <c r="BB1032" s="200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</row>
    <row r="1033" spans="1:71" ht="13.8">
      <c r="A1033" s="1"/>
      <c r="B1033" s="1"/>
      <c r="C1033" s="200"/>
      <c r="D1033" s="200"/>
      <c r="E1033" s="200"/>
      <c r="F1033" s="200"/>
      <c r="G1033" s="200"/>
      <c r="H1033" s="200"/>
      <c r="I1033" s="200"/>
      <c r="J1033" s="200"/>
      <c r="K1033" s="200"/>
      <c r="L1033" s="200"/>
      <c r="M1033" s="200"/>
      <c r="N1033" s="200"/>
      <c r="O1033" s="200"/>
      <c r="P1033" s="200"/>
      <c r="Q1033" s="200"/>
      <c r="R1033" s="200"/>
      <c r="S1033" s="200"/>
      <c r="T1033" s="200"/>
      <c r="U1033" s="200"/>
      <c r="V1033" s="200"/>
      <c r="W1033" s="200"/>
      <c r="X1033" s="200"/>
      <c r="Y1033" s="200"/>
      <c r="Z1033" s="200"/>
      <c r="AA1033" s="200"/>
      <c r="AB1033" s="200"/>
      <c r="AC1033" s="200"/>
      <c r="AD1033" s="200"/>
      <c r="AE1033" s="200"/>
      <c r="AF1033" s="200"/>
      <c r="AG1033" s="200"/>
      <c r="AH1033" s="200"/>
      <c r="AI1033" s="200"/>
      <c r="AJ1033" s="200"/>
      <c r="AK1033" s="200"/>
      <c r="AL1033" s="200"/>
      <c r="AM1033" s="200"/>
      <c r="AN1033" s="200"/>
      <c r="AO1033" s="200"/>
      <c r="AP1033" s="200"/>
      <c r="AQ1033" s="200"/>
      <c r="AR1033" s="200"/>
      <c r="AS1033" s="200"/>
      <c r="AT1033" s="200"/>
      <c r="AU1033" s="200"/>
      <c r="AV1033" s="200"/>
      <c r="AW1033" s="200"/>
      <c r="AX1033" s="200"/>
      <c r="AY1033" s="200"/>
      <c r="AZ1033" s="200"/>
      <c r="BA1033" s="200"/>
      <c r="BB1033" s="200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</row>
    <row r="1034" spans="1:71" ht="13.8">
      <c r="A1034" s="1"/>
      <c r="B1034" s="1"/>
      <c r="C1034" s="200"/>
      <c r="D1034" s="200"/>
      <c r="E1034" s="200"/>
      <c r="F1034" s="200"/>
      <c r="G1034" s="200"/>
      <c r="H1034" s="200"/>
      <c r="I1034" s="200"/>
      <c r="J1034" s="200"/>
      <c r="K1034" s="200"/>
      <c r="L1034" s="200"/>
      <c r="M1034" s="200"/>
      <c r="N1034" s="200"/>
      <c r="O1034" s="200"/>
      <c r="P1034" s="200"/>
      <c r="Q1034" s="200"/>
      <c r="R1034" s="200"/>
      <c r="S1034" s="200"/>
      <c r="T1034" s="200"/>
      <c r="U1034" s="200"/>
      <c r="V1034" s="200"/>
      <c r="W1034" s="200"/>
      <c r="X1034" s="200"/>
      <c r="Y1034" s="200"/>
      <c r="Z1034" s="200"/>
      <c r="AA1034" s="200"/>
      <c r="AB1034" s="200"/>
      <c r="AC1034" s="200"/>
      <c r="AD1034" s="200"/>
      <c r="AE1034" s="200"/>
      <c r="AF1034" s="200"/>
      <c r="AG1034" s="200"/>
      <c r="AH1034" s="200"/>
      <c r="AI1034" s="200"/>
      <c r="AJ1034" s="200"/>
      <c r="AK1034" s="200"/>
      <c r="AL1034" s="200"/>
      <c r="AM1034" s="200"/>
      <c r="AN1034" s="200"/>
      <c r="AO1034" s="200"/>
      <c r="AP1034" s="200"/>
      <c r="AQ1034" s="200"/>
      <c r="AR1034" s="200"/>
      <c r="AS1034" s="200"/>
      <c r="AT1034" s="200"/>
      <c r="AU1034" s="200"/>
      <c r="AV1034" s="200"/>
      <c r="AW1034" s="200"/>
      <c r="AX1034" s="200"/>
      <c r="AY1034" s="200"/>
      <c r="AZ1034" s="200"/>
      <c r="BA1034" s="200"/>
      <c r="BB1034" s="200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</row>
    <row r="1035" spans="1:71" ht="13.8">
      <c r="A1035" s="1"/>
      <c r="B1035" s="1"/>
      <c r="C1035" s="200"/>
      <c r="D1035" s="200"/>
      <c r="E1035" s="200"/>
      <c r="F1035" s="200"/>
      <c r="G1035" s="200"/>
      <c r="H1035" s="200"/>
      <c r="I1035" s="200"/>
      <c r="J1035" s="200"/>
      <c r="K1035" s="200"/>
      <c r="L1035" s="200"/>
      <c r="M1035" s="200"/>
      <c r="N1035" s="200"/>
      <c r="O1035" s="200"/>
      <c r="P1035" s="200"/>
      <c r="Q1035" s="200"/>
      <c r="R1035" s="200"/>
      <c r="S1035" s="200"/>
      <c r="T1035" s="200"/>
      <c r="U1035" s="200"/>
      <c r="V1035" s="200"/>
      <c r="W1035" s="200"/>
      <c r="X1035" s="200"/>
      <c r="Y1035" s="200"/>
      <c r="Z1035" s="200"/>
      <c r="AA1035" s="200"/>
      <c r="AB1035" s="200"/>
      <c r="AC1035" s="200"/>
      <c r="AD1035" s="200"/>
      <c r="AE1035" s="200"/>
      <c r="AF1035" s="200"/>
      <c r="AG1035" s="200"/>
      <c r="AH1035" s="200"/>
      <c r="AI1035" s="200"/>
      <c r="AJ1035" s="200"/>
      <c r="AK1035" s="200"/>
      <c r="AL1035" s="200"/>
      <c r="AM1035" s="200"/>
      <c r="AN1035" s="200"/>
      <c r="AO1035" s="200"/>
      <c r="AP1035" s="200"/>
      <c r="AQ1035" s="200"/>
      <c r="AR1035" s="200"/>
      <c r="AS1035" s="200"/>
      <c r="AT1035" s="200"/>
      <c r="AU1035" s="200"/>
      <c r="AV1035" s="200"/>
      <c r="AW1035" s="200"/>
      <c r="AX1035" s="200"/>
      <c r="AY1035" s="200"/>
      <c r="AZ1035" s="200"/>
      <c r="BA1035" s="200"/>
      <c r="BB1035" s="200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</row>
    <row r="1036" spans="1:71" ht="13.8">
      <c r="A1036" s="1"/>
      <c r="B1036" s="1"/>
      <c r="C1036" s="200"/>
      <c r="D1036" s="200"/>
      <c r="E1036" s="200"/>
      <c r="F1036" s="200"/>
      <c r="G1036" s="200"/>
      <c r="H1036" s="200"/>
      <c r="I1036" s="200"/>
      <c r="J1036" s="200"/>
      <c r="K1036" s="200"/>
      <c r="L1036" s="200"/>
      <c r="M1036" s="200"/>
      <c r="N1036" s="200"/>
      <c r="O1036" s="200"/>
      <c r="P1036" s="200"/>
      <c r="Q1036" s="200"/>
      <c r="R1036" s="200"/>
      <c r="S1036" s="200"/>
      <c r="T1036" s="200"/>
      <c r="U1036" s="200"/>
      <c r="V1036" s="200"/>
      <c r="W1036" s="200"/>
      <c r="X1036" s="200"/>
      <c r="Y1036" s="200"/>
      <c r="Z1036" s="200"/>
      <c r="AA1036" s="200"/>
      <c r="AB1036" s="200"/>
      <c r="AC1036" s="200"/>
      <c r="AD1036" s="200"/>
      <c r="AE1036" s="200"/>
      <c r="AF1036" s="200"/>
      <c r="AG1036" s="200"/>
      <c r="AH1036" s="200"/>
      <c r="AI1036" s="200"/>
      <c r="AJ1036" s="200"/>
      <c r="AK1036" s="200"/>
      <c r="AL1036" s="200"/>
      <c r="AM1036" s="200"/>
      <c r="AN1036" s="200"/>
      <c r="AO1036" s="200"/>
      <c r="AP1036" s="200"/>
      <c r="AQ1036" s="200"/>
      <c r="AR1036" s="200"/>
      <c r="AS1036" s="200"/>
      <c r="AT1036" s="200"/>
      <c r="AU1036" s="200"/>
      <c r="AV1036" s="200"/>
      <c r="AW1036" s="200"/>
      <c r="AX1036" s="200"/>
      <c r="AY1036" s="200"/>
      <c r="AZ1036" s="200"/>
      <c r="BA1036" s="200"/>
      <c r="BB1036" s="200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</row>
    <row r="1037" spans="1:71" ht="13.8">
      <c r="A1037" s="1"/>
      <c r="B1037" s="1"/>
      <c r="C1037" s="200"/>
      <c r="D1037" s="200"/>
      <c r="E1037" s="200"/>
      <c r="F1037" s="200"/>
      <c r="G1037" s="200"/>
      <c r="H1037" s="200"/>
      <c r="I1037" s="200"/>
      <c r="J1037" s="200"/>
      <c r="K1037" s="200"/>
      <c r="L1037" s="200"/>
      <c r="M1037" s="200"/>
      <c r="N1037" s="200"/>
      <c r="O1037" s="200"/>
      <c r="P1037" s="200"/>
      <c r="Q1037" s="200"/>
      <c r="R1037" s="200"/>
      <c r="S1037" s="200"/>
      <c r="T1037" s="200"/>
      <c r="U1037" s="200"/>
      <c r="V1037" s="200"/>
      <c r="W1037" s="200"/>
      <c r="X1037" s="200"/>
      <c r="Y1037" s="200"/>
      <c r="Z1037" s="200"/>
      <c r="AA1037" s="200"/>
      <c r="AB1037" s="200"/>
      <c r="AC1037" s="200"/>
      <c r="AD1037" s="200"/>
      <c r="AE1037" s="200"/>
      <c r="AF1037" s="200"/>
      <c r="AG1037" s="200"/>
      <c r="AH1037" s="200"/>
      <c r="AI1037" s="200"/>
      <c r="AJ1037" s="200"/>
      <c r="AK1037" s="200"/>
      <c r="AL1037" s="200"/>
      <c r="AM1037" s="200"/>
      <c r="AN1037" s="200"/>
      <c r="AO1037" s="200"/>
      <c r="AP1037" s="200"/>
      <c r="AQ1037" s="200"/>
      <c r="AR1037" s="200"/>
      <c r="AS1037" s="200"/>
      <c r="AT1037" s="200"/>
      <c r="AU1037" s="200"/>
      <c r="AV1037" s="200"/>
      <c r="AW1037" s="200"/>
      <c r="AX1037" s="200"/>
      <c r="AY1037" s="200"/>
      <c r="AZ1037" s="200"/>
      <c r="BA1037" s="200"/>
      <c r="BB1037" s="200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</row>
    <row r="1038" spans="1:71" ht="13.8">
      <c r="A1038" s="1"/>
      <c r="B1038" s="1"/>
      <c r="C1038" s="200"/>
      <c r="D1038" s="200"/>
      <c r="E1038" s="200"/>
      <c r="F1038" s="200"/>
      <c r="G1038" s="200"/>
      <c r="H1038" s="200"/>
      <c r="I1038" s="200"/>
      <c r="J1038" s="200"/>
      <c r="K1038" s="200"/>
      <c r="L1038" s="200"/>
      <c r="M1038" s="200"/>
      <c r="N1038" s="200"/>
      <c r="O1038" s="200"/>
      <c r="P1038" s="200"/>
      <c r="Q1038" s="200"/>
      <c r="R1038" s="200"/>
      <c r="S1038" s="200"/>
      <c r="T1038" s="200"/>
      <c r="U1038" s="200"/>
      <c r="V1038" s="200"/>
      <c r="W1038" s="200"/>
      <c r="X1038" s="200"/>
      <c r="Y1038" s="200"/>
      <c r="Z1038" s="200"/>
      <c r="AA1038" s="200"/>
      <c r="AB1038" s="200"/>
      <c r="AC1038" s="200"/>
      <c r="AD1038" s="200"/>
      <c r="AE1038" s="200"/>
      <c r="AF1038" s="200"/>
      <c r="AG1038" s="200"/>
      <c r="AH1038" s="200"/>
      <c r="AI1038" s="200"/>
      <c r="AJ1038" s="200"/>
      <c r="AK1038" s="200"/>
      <c r="AL1038" s="200"/>
      <c r="AM1038" s="200"/>
      <c r="AN1038" s="200"/>
      <c r="AO1038" s="200"/>
      <c r="AP1038" s="200"/>
      <c r="AQ1038" s="200"/>
      <c r="AR1038" s="200"/>
      <c r="AS1038" s="200"/>
      <c r="AT1038" s="200"/>
      <c r="AU1038" s="200"/>
      <c r="AV1038" s="200"/>
      <c r="AW1038" s="200"/>
      <c r="AX1038" s="200"/>
      <c r="AY1038" s="200"/>
      <c r="AZ1038" s="200"/>
      <c r="BA1038" s="200"/>
      <c r="BB1038" s="200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</row>
    <row r="1039" spans="1:71" ht="13.8">
      <c r="A1039" s="1"/>
      <c r="B1039" s="1"/>
      <c r="C1039" s="200"/>
      <c r="D1039" s="200"/>
      <c r="E1039" s="200"/>
      <c r="F1039" s="200"/>
      <c r="G1039" s="200"/>
      <c r="H1039" s="200"/>
      <c r="I1039" s="200"/>
      <c r="J1039" s="200"/>
      <c r="K1039" s="200"/>
      <c r="L1039" s="200"/>
      <c r="M1039" s="200"/>
      <c r="N1039" s="200"/>
      <c r="O1039" s="200"/>
      <c r="P1039" s="200"/>
      <c r="Q1039" s="200"/>
      <c r="R1039" s="200"/>
      <c r="S1039" s="200"/>
      <c r="T1039" s="200"/>
      <c r="U1039" s="200"/>
      <c r="V1039" s="200"/>
      <c r="W1039" s="200"/>
      <c r="X1039" s="200"/>
      <c r="Y1039" s="200"/>
      <c r="Z1039" s="200"/>
      <c r="AA1039" s="200"/>
      <c r="AB1039" s="200"/>
      <c r="AC1039" s="200"/>
      <c r="AD1039" s="200"/>
      <c r="AE1039" s="200"/>
      <c r="AF1039" s="200"/>
      <c r="AG1039" s="200"/>
      <c r="AH1039" s="200"/>
      <c r="AI1039" s="200"/>
      <c r="AJ1039" s="200"/>
      <c r="AK1039" s="200"/>
      <c r="AL1039" s="200"/>
      <c r="AM1039" s="200"/>
      <c r="AN1039" s="200"/>
      <c r="AO1039" s="200"/>
      <c r="AP1039" s="200"/>
      <c r="AQ1039" s="200"/>
      <c r="AR1039" s="200"/>
      <c r="AS1039" s="200"/>
      <c r="AT1039" s="200"/>
      <c r="AU1039" s="200"/>
      <c r="AV1039" s="200"/>
      <c r="AW1039" s="200"/>
      <c r="AX1039" s="200"/>
      <c r="AY1039" s="200"/>
      <c r="AZ1039" s="200"/>
      <c r="BA1039" s="200"/>
      <c r="BB1039" s="200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</row>
    <row r="1040" spans="1:71" ht="13.8">
      <c r="A1040" s="1"/>
      <c r="B1040" s="1"/>
      <c r="C1040" s="200"/>
      <c r="D1040" s="200"/>
      <c r="E1040" s="200"/>
      <c r="F1040" s="200"/>
      <c r="G1040" s="200"/>
      <c r="H1040" s="200"/>
      <c r="I1040" s="200"/>
      <c r="J1040" s="200"/>
      <c r="K1040" s="200"/>
      <c r="L1040" s="200"/>
      <c r="M1040" s="200"/>
      <c r="N1040" s="200"/>
      <c r="O1040" s="200"/>
      <c r="P1040" s="200"/>
      <c r="Q1040" s="200"/>
      <c r="R1040" s="200"/>
      <c r="S1040" s="200"/>
      <c r="T1040" s="200"/>
      <c r="U1040" s="200"/>
      <c r="V1040" s="200"/>
      <c r="W1040" s="200"/>
      <c r="X1040" s="200"/>
      <c r="Y1040" s="200"/>
      <c r="Z1040" s="200"/>
      <c r="AA1040" s="200"/>
      <c r="AB1040" s="200"/>
      <c r="AC1040" s="200"/>
      <c r="AD1040" s="200"/>
      <c r="AE1040" s="200"/>
      <c r="AF1040" s="200"/>
      <c r="AG1040" s="200"/>
      <c r="AH1040" s="200"/>
      <c r="AI1040" s="200"/>
      <c r="AJ1040" s="200"/>
      <c r="AK1040" s="200"/>
      <c r="AL1040" s="200"/>
      <c r="AM1040" s="200"/>
      <c r="AN1040" s="200"/>
      <c r="AO1040" s="200"/>
      <c r="AP1040" s="200"/>
      <c r="AQ1040" s="200"/>
      <c r="AR1040" s="200"/>
      <c r="AS1040" s="200"/>
      <c r="AT1040" s="200"/>
      <c r="AU1040" s="200"/>
      <c r="AV1040" s="200"/>
      <c r="AW1040" s="200"/>
      <c r="AX1040" s="200"/>
      <c r="AY1040" s="200"/>
      <c r="AZ1040" s="200"/>
      <c r="BA1040" s="200"/>
      <c r="BB1040" s="200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</row>
    <row r="1041" spans="1:71" ht="13.8">
      <c r="A1041" s="1"/>
      <c r="B1041" s="1"/>
      <c r="C1041" s="200"/>
      <c r="D1041" s="200"/>
      <c r="E1041" s="200"/>
      <c r="F1041" s="200"/>
      <c r="G1041" s="200"/>
      <c r="H1041" s="200"/>
      <c r="I1041" s="200"/>
      <c r="J1041" s="200"/>
      <c r="K1041" s="200"/>
      <c r="L1041" s="200"/>
      <c r="M1041" s="200"/>
      <c r="N1041" s="200"/>
      <c r="O1041" s="200"/>
      <c r="P1041" s="200"/>
      <c r="Q1041" s="200"/>
      <c r="R1041" s="200"/>
      <c r="S1041" s="200"/>
      <c r="T1041" s="200"/>
      <c r="U1041" s="200"/>
      <c r="V1041" s="200"/>
      <c r="W1041" s="200"/>
      <c r="X1041" s="200"/>
      <c r="Y1041" s="200"/>
      <c r="Z1041" s="200"/>
      <c r="AA1041" s="200"/>
      <c r="AB1041" s="200"/>
      <c r="AC1041" s="200"/>
      <c r="AD1041" s="200"/>
      <c r="AE1041" s="200"/>
      <c r="AF1041" s="200"/>
      <c r="AG1041" s="200"/>
      <c r="AH1041" s="200"/>
      <c r="AI1041" s="200"/>
      <c r="AJ1041" s="200"/>
      <c r="AK1041" s="200"/>
      <c r="AL1041" s="200"/>
      <c r="AM1041" s="200"/>
      <c r="AN1041" s="200"/>
      <c r="AO1041" s="200"/>
      <c r="AP1041" s="200"/>
      <c r="AQ1041" s="200"/>
      <c r="AR1041" s="200"/>
      <c r="AS1041" s="200"/>
      <c r="AT1041" s="200"/>
      <c r="AU1041" s="200"/>
      <c r="AV1041" s="200"/>
      <c r="AW1041" s="200"/>
      <c r="AX1041" s="200"/>
      <c r="AY1041" s="200"/>
      <c r="AZ1041" s="200"/>
      <c r="BA1041" s="200"/>
      <c r="BB1041" s="200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</row>
    <row r="1042" spans="1:71" ht="13.8">
      <c r="A1042" s="1"/>
      <c r="B1042" s="1"/>
      <c r="C1042" s="200"/>
      <c r="D1042" s="200"/>
      <c r="E1042" s="200"/>
      <c r="F1042" s="200"/>
      <c r="G1042" s="200"/>
      <c r="H1042" s="200"/>
      <c r="I1042" s="200"/>
      <c r="J1042" s="200"/>
      <c r="K1042" s="200"/>
      <c r="L1042" s="200"/>
      <c r="M1042" s="200"/>
      <c r="N1042" s="200"/>
      <c r="O1042" s="200"/>
      <c r="P1042" s="200"/>
      <c r="Q1042" s="200"/>
      <c r="R1042" s="200"/>
      <c r="S1042" s="200"/>
      <c r="T1042" s="200"/>
      <c r="U1042" s="200"/>
      <c r="V1042" s="200"/>
      <c r="W1042" s="200"/>
      <c r="X1042" s="200"/>
      <c r="Y1042" s="200"/>
      <c r="Z1042" s="200"/>
      <c r="AA1042" s="200"/>
      <c r="AB1042" s="200"/>
      <c r="AC1042" s="200"/>
      <c r="AD1042" s="200"/>
      <c r="AE1042" s="200"/>
      <c r="AF1042" s="200"/>
      <c r="AG1042" s="200"/>
      <c r="AH1042" s="200"/>
      <c r="AI1042" s="200"/>
      <c r="AJ1042" s="200"/>
      <c r="AK1042" s="200"/>
      <c r="AL1042" s="200"/>
      <c r="AM1042" s="200"/>
      <c r="AN1042" s="200"/>
      <c r="AO1042" s="200"/>
      <c r="AP1042" s="200"/>
      <c r="AQ1042" s="200"/>
      <c r="AR1042" s="200"/>
      <c r="AS1042" s="200"/>
      <c r="AT1042" s="200"/>
      <c r="AU1042" s="200"/>
      <c r="AV1042" s="200"/>
      <c r="AW1042" s="200"/>
      <c r="AX1042" s="200"/>
      <c r="AY1042" s="200"/>
      <c r="AZ1042" s="200"/>
      <c r="BA1042" s="200"/>
      <c r="BB1042" s="200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</row>
    <row r="1043" spans="1:71" ht="13.8">
      <c r="A1043" s="1"/>
      <c r="B1043" s="1"/>
      <c r="C1043" s="200"/>
      <c r="D1043" s="200"/>
      <c r="E1043" s="200"/>
      <c r="F1043" s="200"/>
      <c r="G1043" s="200"/>
      <c r="H1043" s="200"/>
      <c r="I1043" s="200"/>
      <c r="J1043" s="200"/>
      <c r="K1043" s="200"/>
      <c r="L1043" s="200"/>
      <c r="M1043" s="200"/>
      <c r="N1043" s="200"/>
      <c r="O1043" s="200"/>
      <c r="P1043" s="200"/>
      <c r="Q1043" s="200"/>
      <c r="R1043" s="200"/>
      <c r="S1043" s="200"/>
      <c r="T1043" s="200"/>
      <c r="U1043" s="200"/>
      <c r="V1043" s="200"/>
      <c r="W1043" s="200"/>
      <c r="X1043" s="200"/>
      <c r="Y1043" s="200"/>
      <c r="Z1043" s="200"/>
      <c r="AA1043" s="200"/>
      <c r="AB1043" s="200"/>
      <c r="AC1043" s="200"/>
      <c r="AD1043" s="200"/>
      <c r="AE1043" s="200"/>
      <c r="AF1043" s="200"/>
      <c r="AG1043" s="200"/>
      <c r="AH1043" s="200"/>
      <c r="AI1043" s="200"/>
      <c r="AJ1043" s="200"/>
      <c r="AK1043" s="200"/>
      <c r="AL1043" s="200"/>
      <c r="AM1043" s="200"/>
      <c r="AN1043" s="200"/>
      <c r="AO1043" s="200"/>
      <c r="AP1043" s="200"/>
      <c r="AQ1043" s="200"/>
      <c r="AR1043" s="200"/>
      <c r="AS1043" s="200"/>
      <c r="AT1043" s="200"/>
      <c r="AU1043" s="200"/>
      <c r="AV1043" s="200"/>
      <c r="AW1043" s="200"/>
      <c r="AX1043" s="200"/>
      <c r="AY1043" s="200"/>
      <c r="AZ1043" s="200"/>
      <c r="BA1043" s="200"/>
      <c r="BB1043" s="200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</row>
    <row r="1044" spans="1:71" ht="13.8">
      <c r="A1044" s="1"/>
      <c r="B1044" s="1"/>
      <c r="C1044" s="200"/>
      <c r="D1044" s="200"/>
      <c r="E1044" s="200"/>
      <c r="F1044" s="200"/>
      <c r="G1044" s="200"/>
      <c r="H1044" s="200"/>
      <c r="I1044" s="200"/>
      <c r="J1044" s="200"/>
      <c r="K1044" s="200"/>
      <c r="L1044" s="200"/>
      <c r="M1044" s="200"/>
      <c r="N1044" s="200"/>
      <c r="O1044" s="200"/>
      <c r="P1044" s="200"/>
      <c r="Q1044" s="200"/>
      <c r="R1044" s="200"/>
      <c r="S1044" s="200"/>
      <c r="T1044" s="200"/>
      <c r="U1044" s="200"/>
      <c r="V1044" s="200"/>
      <c r="W1044" s="200"/>
      <c r="X1044" s="200"/>
      <c r="Y1044" s="200"/>
      <c r="Z1044" s="200"/>
      <c r="AA1044" s="200"/>
      <c r="AB1044" s="200"/>
      <c r="AC1044" s="200"/>
      <c r="AD1044" s="200"/>
      <c r="AE1044" s="200"/>
      <c r="AF1044" s="200"/>
      <c r="AG1044" s="200"/>
      <c r="AH1044" s="200"/>
      <c r="AI1044" s="200"/>
      <c r="AJ1044" s="200"/>
      <c r="AK1044" s="200"/>
      <c r="AL1044" s="200"/>
      <c r="AM1044" s="200"/>
      <c r="AN1044" s="200"/>
      <c r="AO1044" s="200"/>
      <c r="AP1044" s="200"/>
      <c r="AQ1044" s="200"/>
      <c r="AR1044" s="200"/>
      <c r="AS1044" s="200"/>
      <c r="AT1044" s="200"/>
      <c r="AU1044" s="200"/>
      <c r="AV1044" s="200"/>
      <c r="AW1044" s="200"/>
      <c r="AX1044" s="200"/>
      <c r="AY1044" s="200"/>
      <c r="AZ1044" s="200"/>
      <c r="BA1044" s="200"/>
      <c r="BB1044" s="200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</row>
    <row r="1045" spans="1:71" ht="13.8">
      <c r="A1045" s="1"/>
      <c r="B1045" s="1"/>
      <c r="C1045" s="200"/>
      <c r="D1045" s="200"/>
      <c r="E1045" s="200"/>
      <c r="F1045" s="200"/>
      <c r="G1045" s="200"/>
      <c r="H1045" s="200"/>
      <c r="I1045" s="200"/>
      <c r="J1045" s="200"/>
      <c r="K1045" s="200"/>
      <c r="L1045" s="200"/>
      <c r="M1045" s="200"/>
      <c r="N1045" s="200"/>
      <c r="O1045" s="200"/>
      <c r="P1045" s="200"/>
      <c r="Q1045" s="200"/>
      <c r="R1045" s="200"/>
      <c r="S1045" s="200"/>
      <c r="T1045" s="200"/>
      <c r="U1045" s="200"/>
      <c r="V1045" s="200"/>
      <c r="W1045" s="200"/>
      <c r="X1045" s="200"/>
      <c r="Y1045" s="200"/>
      <c r="Z1045" s="200"/>
      <c r="AA1045" s="200"/>
      <c r="AB1045" s="200"/>
      <c r="AC1045" s="200"/>
      <c r="AD1045" s="200"/>
      <c r="AE1045" s="200"/>
      <c r="AF1045" s="200"/>
      <c r="AG1045" s="200"/>
      <c r="AH1045" s="200"/>
      <c r="AI1045" s="200"/>
      <c r="AJ1045" s="200"/>
      <c r="AK1045" s="200"/>
      <c r="AL1045" s="200"/>
      <c r="AM1045" s="200"/>
      <c r="AN1045" s="200"/>
      <c r="AO1045" s="200"/>
      <c r="AP1045" s="200"/>
      <c r="AQ1045" s="200"/>
      <c r="AR1045" s="200"/>
      <c r="AS1045" s="200"/>
      <c r="AT1045" s="200"/>
      <c r="AU1045" s="200"/>
      <c r="AV1045" s="200"/>
      <c r="AW1045" s="200"/>
      <c r="AX1045" s="200"/>
      <c r="AY1045" s="200"/>
      <c r="AZ1045" s="200"/>
      <c r="BA1045" s="200"/>
      <c r="BB1045" s="200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</row>
    <row r="1046" spans="1:71" ht="13.8">
      <c r="A1046" s="1"/>
      <c r="B1046" s="1"/>
      <c r="C1046" s="200"/>
      <c r="D1046" s="200"/>
      <c r="E1046" s="200"/>
      <c r="F1046" s="200"/>
      <c r="G1046" s="200"/>
      <c r="H1046" s="200"/>
      <c r="I1046" s="200"/>
      <c r="J1046" s="200"/>
      <c r="K1046" s="200"/>
      <c r="L1046" s="200"/>
      <c r="M1046" s="200"/>
      <c r="N1046" s="200"/>
      <c r="O1046" s="200"/>
      <c r="P1046" s="200"/>
      <c r="Q1046" s="200"/>
      <c r="R1046" s="200"/>
      <c r="S1046" s="200"/>
      <c r="T1046" s="200"/>
      <c r="U1046" s="200"/>
      <c r="V1046" s="200"/>
      <c r="W1046" s="200"/>
      <c r="X1046" s="200"/>
      <c r="Y1046" s="200"/>
      <c r="Z1046" s="200"/>
      <c r="AA1046" s="200"/>
      <c r="AB1046" s="200"/>
      <c r="AC1046" s="200"/>
      <c r="AD1046" s="200"/>
      <c r="AE1046" s="200"/>
      <c r="AF1046" s="200"/>
      <c r="AG1046" s="200"/>
      <c r="AH1046" s="200"/>
      <c r="AI1046" s="200"/>
      <c r="AJ1046" s="200"/>
      <c r="AK1046" s="200"/>
      <c r="AL1046" s="200"/>
      <c r="AM1046" s="200"/>
      <c r="AN1046" s="200"/>
      <c r="AO1046" s="200"/>
      <c r="AP1046" s="200"/>
      <c r="AQ1046" s="200"/>
      <c r="AR1046" s="200"/>
      <c r="AS1046" s="200"/>
      <c r="AT1046" s="200"/>
      <c r="AU1046" s="200"/>
      <c r="AV1046" s="200"/>
      <c r="AW1046" s="200"/>
      <c r="AX1046" s="200"/>
      <c r="AY1046" s="200"/>
      <c r="AZ1046" s="200"/>
      <c r="BA1046" s="200"/>
      <c r="BB1046" s="200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</row>
    <row r="1047" spans="1:71" ht="13.8">
      <c r="A1047" s="1"/>
      <c r="B1047" s="1"/>
      <c r="C1047" s="200"/>
      <c r="D1047" s="200"/>
      <c r="E1047" s="200"/>
      <c r="F1047" s="200"/>
      <c r="G1047" s="200"/>
      <c r="H1047" s="200"/>
      <c r="I1047" s="200"/>
      <c r="J1047" s="200"/>
      <c r="K1047" s="200"/>
      <c r="L1047" s="200"/>
      <c r="M1047" s="200"/>
      <c r="N1047" s="200"/>
      <c r="O1047" s="200"/>
      <c r="P1047" s="200"/>
      <c r="Q1047" s="200"/>
      <c r="R1047" s="200"/>
      <c r="S1047" s="200"/>
      <c r="T1047" s="200"/>
      <c r="U1047" s="200"/>
      <c r="V1047" s="200"/>
      <c r="W1047" s="200"/>
      <c r="X1047" s="200"/>
      <c r="Y1047" s="200"/>
      <c r="Z1047" s="200"/>
      <c r="AA1047" s="200"/>
      <c r="AB1047" s="200"/>
      <c r="AC1047" s="200"/>
      <c r="AD1047" s="200"/>
      <c r="AE1047" s="200"/>
      <c r="AF1047" s="200"/>
      <c r="AG1047" s="200"/>
      <c r="AH1047" s="200"/>
      <c r="AI1047" s="200"/>
      <c r="AJ1047" s="200"/>
      <c r="AK1047" s="200"/>
      <c r="AL1047" s="200"/>
      <c r="AM1047" s="200"/>
      <c r="AN1047" s="200"/>
      <c r="AO1047" s="200"/>
      <c r="AP1047" s="200"/>
      <c r="AQ1047" s="200"/>
      <c r="AR1047" s="200"/>
      <c r="AS1047" s="200"/>
      <c r="AT1047" s="200"/>
      <c r="AU1047" s="200"/>
      <c r="AV1047" s="200"/>
      <c r="AW1047" s="200"/>
      <c r="AX1047" s="200"/>
      <c r="AY1047" s="200"/>
      <c r="AZ1047" s="200"/>
      <c r="BA1047" s="200"/>
      <c r="BB1047" s="200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</row>
    <row r="1048" spans="1:71" ht="13.8">
      <c r="A1048" s="1"/>
      <c r="B1048" s="1"/>
      <c r="C1048" s="200"/>
      <c r="D1048" s="200"/>
      <c r="E1048" s="200"/>
      <c r="F1048" s="200"/>
      <c r="G1048" s="200"/>
      <c r="H1048" s="200"/>
      <c r="I1048" s="200"/>
      <c r="J1048" s="200"/>
      <c r="K1048" s="200"/>
      <c r="L1048" s="200"/>
      <c r="M1048" s="200"/>
      <c r="N1048" s="200"/>
      <c r="O1048" s="200"/>
      <c r="P1048" s="200"/>
      <c r="Q1048" s="200"/>
      <c r="R1048" s="200"/>
      <c r="S1048" s="200"/>
      <c r="T1048" s="200"/>
      <c r="U1048" s="200"/>
      <c r="V1048" s="200"/>
      <c r="W1048" s="200"/>
      <c r="X1048" s="200"/>
      <c r="Y1048" s="200"/>
      <c r="Z1048" s="200"/>
      <c r="AA1048" s="200"/>
      <c r="AB1048" s="200"/>
      <c r="AC1048" s="200"/>
      <c r="AD1048" s="200"/>
      <c r="AE1048" s="200"/>
      <c r="AF1048" s="200"/>
      <c r="AG1048" s="200"/>
      <c r="AH1048" s="200"/>
      <c r="AI1048" s="200"/>
      <c r="AJ1048" s="200"/>
      <c r="AK1048" s="200"/>
      <c r="AL1048" s="200"/>
      <c r="AM1048" s="200"/>
      <c r="AN1048" s="200"/>
      <c r="AO1048" s="200"/>
      <c r="AP1048" s="200"/>
      <c r="AQ1048" s="200"/>
      <c r="AR1048" s="200"/>
      <c r="AS1048" s="200"/>
      <c r="AT1048" s="200"/>
      <c r="AU1048" s="200"/>
      <c r="AV1048" s="200"/>
      <c r="AW1048" s="200"/>
      <c r="AX1048" s="200"/>
      <c r="AY1048" s="200"/>
      <c r="AZ1048" s="200"/>
      <c r="BA1048" s="200"/>
      <c r="BB1048" s="200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</row>
    <row r="1049" spans="1:71" ht="13.8">
      <c r="A1049" s="1"/>
      <c r="B1049" s="1"/>
      <c r="C1049" s="200"/>
      <c r="D1049" s="200"/>
      <c r="E1049" s="200"/>
      <c r="F1049" s="200"/>
      <c r="G1049" s="200"/>
      <c r="H1049" s="200"/>
      <c r="I1049" s="200"/>
      <c r="J1049" s="200"/>
      <c r="K1049" s="200"/>
      <c r="L1049" s="200"/>
      <c r="M1049" s="200"/>
      <c r="N1049" s="200"/>
      <c r="O1049" s="200"/>
      <c r="P1049" s="200"/>
      <c r="Q1049" s="200"/>
      <c r="R1049" s="200"/>
      <c r="S1049" s="200"/>
      <c r="T1049" s="200"/>
      <c r="U1049" s="200"/>
      <c r="V1049" s="200"/>
      <c r="W1049" s="200"/>
      <c r="X1049" s="200"/>
      <c r="Y1049" s="200"/>
      <c r="Z1049" s="200"/>
      <c r="AA1049" s="200"/>
      <c r="AB1049" s="200"/>
      <c r="AC1049" s="200"/>
      <c r="AD1049" s="200"/>
      <c r="AE1049" s="200"/>
      <c r="AF1049" s="200"/>
      <c r="AG1049" s="200"/>
      <c r="AH1049" s="200"/>
      <c r="AI1049" s="200"/>
      <c r="AJ1049" s="200"/>
      <c r="AK1049" s="200"/>
      <c r="AL1049" s="200"/>
      <c r="AM1049" s="200"/>
      <c r="AN1049" s="200"/>
      <c r="AO1049" s="200"/>
      <c r="AP1049" s="200"/>
      <c r="AQ1049" s="200"/>
      <c r="AR1049" s="200"/>
      <c r="AS1049" s="200"/>
      <c r="AT1049" s="200"/>
      <c r="AU1049" s="200"/>
      <c r="AV1049" s="200"/>
      <c r="AW1049" s="200"/>
      <c r="AX1049" s="200"/>
      <c r="AY1049" s="200"/>
      <c r="AZ1049" s="200"/>
      <c r="BA1049" s="200"/>
      <c r="BB1049" s="200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</row>
    <row r="1050" spans="1:71" ht="13.8">
      <c r="A1050" s="1"/>
      <c r="B1050" s="1"/>
      <c r="C1050" s="200"/>
      <c r="D1050" s="200"/>
      <c r="E1050" s="200"/>
      <c r="F1050" s="200"/>
      <c r="G1050" s="200"/>
      <c r="H1050" s="200"/>
      <c r="I1050" s="200"/>
      <c r="J1050" s="200"/>
      <c r="K1050" s="200"/>
      <c r="L1050" s="200"/>
      <c r="M1050" s="200"/>
      <c r="N1050" s="200"/>
      <c r="O1050" s="200"/>
      <c r="P1050" s="200"/>
      <c r="Q1050" s="200"/>
      <c r="R1050" s="200"/>
      <c r="S1050" s="200"/>
      <c r="T1050" s="200"/>
      <c r="U1050" s="200"/>
      <c r="V1050" s="200"/>
      <c r="W1050" s="200"/>
      <c r="X1050" s="200"/>
      <c r="Y1050" s="200"/>
      <c r="Z1050" s="200"/>
      <c r="AA1050" s="200"/>
      <c r="AB1050" s="200"/>
      <c r="AC1050" s="200"/>
      <c r="AD1050" s="200"/>
      <c r="AE1050" s="200"/>
      <c r="AF1050" s="200"/>
      <c r="AG1050" s="200"/>
      <c r="AH1050" s="200"/>
      <c r="AI1050" s="200"/>
      <c r="AJ1050" s="200"/>
      <c r="AK1050" s="200"/>
      <c r="AL1050" s="200"/>
      <c r="AM1050" s="200"/>
      <c r="AN1050" s="200"/>
      <c r="AO1050" s="200"/>
      <c r="AP1050" s="200"/>
      <c r="AQ1050" s="200"/>
      <c r="AR1050" s="200"/>
      <c r="AS1050" s="200"/>
      <c r="AT1050" s="200"/>
      <c r="AU1050" s="200"/>
      <c r="AV1050" s="200"/>
      <c r="AW1050" s="200"/>
      <c r="AX1050" s="200"/>
      <c r="AY1050" s="200"/>
      <c r="AZ1050" s="200"/>
      <c r="BA1050" s="200"/>
      <c r="BB1050" s="200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</row>
    <row r="1051" spans="1:71" ht="13.8">
      <c r="A1051" s="1"/>
      <c r="B1051" s="1"/>
      <c r="C1051" s="200"/>
      <c r="D1051" s="200"/>
      <c r="E1051" s="200"/>
      <c r="F1051" s="200"/>
      <c r="G1051" s="200"/>
      <c r="H1051" s="200"/>
      <c r="I1051" s="200"/>
      <c r="J1051" s="200"/>
      <c r="K1051" s="200"/>
      <c r="L1051" s="200"/>
      <c r="M1051" s="200"/>
      <c r="N1051" s="200"/>
      <c r="O1051" s="200"/>
      <c r="P1051" s="200"/>
      <c r="Q1051" s="200"/>
      <c r="R1051" s="200"/>
      <c r="S1051" s="200"/>
      <c r="T1051" s="200"/>
      <c r="U1051" s="200"/>
      <c r="V1051" s="200"/>
      <c r="W1051" s="200"/>
      <c r="X1051" s="200"/>
      <c r="Y1051" s="200"/>
      <c r="Z1051" s="200"/>
      <c r="AA1051" s="200"/>
      <c r="AB1051" s="200"/>
      <c r="AC1051" s="200"/>
      <c r="AD1051" s="200"/>
      <c r="AE1051" s="200"/>
      <c r="AF1051" s="200"/>
      <c r="AG1051" s="200"/>
      <c r="AH1051" s="200"/>
      <c r="AI1051" s="200"/>
      <c r="AJ1051" s="200"/>
      <c r="AK1051" s="200"/>
      <c r="AL1051" s="200"/>
      <c r="AM1051" s="200"/>
      <c r="AN1051" s="200"/>
      <c r="AO1051" s="200"/>
      <c r="AP1051" s="200"/>
      <c r="AQ1051" s="200"/>
      <c r="AR1051" s="200"/>
      <c r="AS1051" s="200"/>
      <c r="AT1051" s="200"/>
      <c r="AU1051" s="200"/>
      <c r="AV1051" s="200"/>
      <c r="AW1051" s="200"/>
      <c r="AX1051" s="200"/>
      <c r="AY1051" s="200"/>
      <c r="AZ1051" s="200"/>
      <c r="BA1051" s="200"/>
      <c r="BB1051" s="200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</row>
    <row r="1052" spans="1:71" ht="13.8">
      <c r="A1052" s="1"/>
      <c r="B1052" s="1"/>
      <c r="C1052" s="200"/>
      <c r="D1052" s="200"/>
      <c r="E1052" s="200"/>
      <c r="F1052" s="200"/>
      <c r="G1052" s="200"/>
      <c r="H1052" s="200"/>
      <c r="I1052" s="200"/>
      <c r="J1052" s="200"/>
      <c r="K1052" s="200"/>
      <c r="L1052" s="200"/>
      <c r="M1052" s="200"/>
      <c r="N1052" s="200"/>
      <c r="O1052" s="200"/>
      <c r="P1052" s="200"/>
      <c r="Q1052" s="200"/>
      <c r="R1052" s="200"/>
      <c r="S1052" s="200"/>
      <c r="T1052" s="200"/>
      <c r="U1052" s="200"/>
      <c r="V1052" s="200"/>
      <c r="W1052" s="200"/>
      <c r="X1052" s="200"/>
      <c r="Y1052" s="200"/>
      <c r="Z1052" s="200"/>
      <c r="AA1052" s="200"/>
      <c r="AB1052" s="200"/>
      <c r="AC1052" s="200"/>
      <c r="AD1052" s="200"/>
      <c r="AE1052" s="200"/>
      <c r="AF1052" s="200"/>
      <c r="AG1052" s="200"/>
      <c r="AH1052" s="200"/>
      <c r="AI1052" s="200"/>
      <c r="AJ1052" s="200"/>
      <c r="AK1052" s="200"/>
      <c r="AL1052" s="200"/>
      <c r="AM1052" s="200"/>
      <c r="AN1052" s="200"/>
      <c r="AO1052" s="200"/>
      <c r="AP1052" s="200"/>
      <c r="AQ1052" s="200"/>
      <c r="AR1052" s="200"/>
      <c r="AS1052" s="200"/>
      <c r="AT1052" s="200"/>
      <c r="AU1052" s="200"/>
      <c r="AV1052" s="200"/>
      <c r="AW1052" s="200"/>
      <c r="AX1052" s="200"/>
      <c r="AY1052" s="200"/>
      <c r="AZ1052" s="200"/>
      <c r="BA1052" s="200"/>
      <c r="BB1052" s="200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</row>
    <row r="1053" spans="1:71" ht="13.8">
      <c r="A1053" s="1"/>
      <c r="B1053" s="1"/>
      <c r="C1053" s="200"/>
      <c r="D1053" s="200"/>
      <c r="E1053" s="200"/>
      <c r="F1053" s="200"/>
      <c r="G1053" s="200"/>
      <c r="H1053" s="200"/>
      <c r="I1053" s="200"/>
      <c r="J1053" s="200"/>
      <c r="K1053" s="200"/>
      <c r="L1053" s="200"/>
      <c r="M1053" s="200"/>
      <c r="N1053" s="200"/>
      <c r="O1053" s="200"/>
      <c r="P1053" s="200"/>
      <c r="Q1053" s="200"/>
      <c r="R1053" s="200"/>
      <c r="S1053" s="200"/>
      <c r="T1053" s="200"/>
      <c r="U1053" s="200"/>
      <c r="V1053" s="200"/>
      <c r="W1053" s="200"/>
      <c r="X1053" s="200"/>
      <c r="Y1053" s="200"/>
      <c r="Z1053" s="200"/>
      <c r="AA1053" s="200"/>
      <c r="AB1053" s="200"/>
      <c r="AC1053" s="200"/>
      <c r="AD1053" s="200"/>
      <c r="AE1053" s="200"/>
      <c r="AF1053" s="200"/>
      <c r="AG1053" s="200"/>
      <c r="AH1053" s="200"/>
      <c r="AI1053" s="200"/>
      <c r="AJ1053" s="200"/>
      <c r="AK1053" s="200"/>
      <c r="AL1053" s="200"/>
      <c r="AM1053" s="200"/>
      <c r="AN1053" s="200"/>
      <c r="AO1053" s="200"/>
      <c r="AP1053" s="200"/>
      <c r="AQ1053" s="200"/>
      <c r="AR1053" s="200"/>
      <c r="AS1053" s="200"/>
      <c r="AT1053" s="200"/>
      <c r="AU1053" s="200"/>
      <c r="AV1053" s="200"/>
      <c r="AW1053" s="200"/>
      <c r="AX1053" s="200"/>
      <c r="AY1053" s="200"/>
      <c r="AZ1053" s="200"/>
      <c r="BA1053" s="200"/>
      <c r="BB1053" s="200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</row>
    <row r="1054" spans="1:71" ht="13.8">
      <c r="A1054" s="1"/>
      <c r="B1054" s="1"/>
      <c r="C1054" s="200"/>
      <c r="D1054" s="200"/>
      <c r="E1054" s="200"/>
      <c r="F1054" s="200"/>
      <c r="G1054" s="200"/>
      <c r="H1054" s="200"/>
      <c r="I1054" s="200"/>
      <c r="J1054" s="200"/>
      <c r="K1054" s="200"/>
      <c r="L1054" s="200"/>
      <c r="M1054" s="200"/>
      <c r="N1054" s="200"/>
      <c r="O1054" s="200"/>
      <c r="P1054" s="200"/>
      <c r="Q1054" s="200"/>
      <c r="R1054" s="200"/>
      <c r="S1054" s="200"/>
      <c r="T1054" s="200"/>
      <c r="U1054" s="200"/>
      <c r="V1054" s="200"/>
      <c r="W1054" s="200"/>
      <c r="X1054" s="200"/>
      <c r="Y1054" s="200"/>
      <c r="Z1054" s="200"/>
      <c r="AA1054" s="200"/>
      <c r="AB1054" s="200"/>
      <c r="AC1054" s="200"/>
      <c r="AD1054" s="200"/>
      <c r="AE1054" s="200"/>
      <c r="AF1054" s="200"/>
      <c r="AG1054" s="200"/>
      <c r="AH1054" s="200"/>
      <c r="AI1054" s="200"/>
      <c r="AJ1054" s="200"/>
      <c r="AK1054" s="200"/>
      <c r="AL1054" s="200"/>
      <c r="AM1054" s="200"/>
      <c r="AN1054" s="200"/>
      <c r="AO1054" s="200"/>
      <c r="AP1054" s="200"/>
      <c r="AQ1054" s="200"/>
      <c r="AR1054" s="200"/>
      <c r="AS1054" s="200"/>
      <c r="AT1054" s="200"/>
      <c r="AU1054" s="200"/>
      <c r="AV1054" s="200"/>
      <c r="AW1054" s="200"/>
      <c r="AX1054" s="200"/>
      <c r="AY1054" s="200"/>
      <c r="AZ1054" s="200"/>
      <c r="BA1054" s="200"/>
      <c r="BB1054" s="200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</row>
    <row r="1055" spans="1:71" ht="13.8">
      <c r="A1055" s="1"/>
      <c r="B1055" s="1"/>
      <c r="C1055" s="200"/>
      <c r="D1055" s="200"/>
      <c r="E1055" s="200"/>
      <c r="F1055" s="200"/>
      <c r="G1055" s="200"/>
      <c r="H1055" s="200"/>
      <c r="I1055" s="200"/>
      <c r="J1055" s="200"/>
      <c r="K1055" s="200"/>
      <c r="L1055" s="200"/>
      <c r="M1055" s="200"/>
      <c r="N1055" s="200"/>
      <c r="O1055" s="200"/>
      <c r="P1055" s="200"/>
      <c r="Q1055" s="200"/>
      <c r="R1055" s="200"/>
      <c r="S1055" s="200"/>
      <c r="T1055" s="200"/>
      <c r="U1055" s="200"/>
      <c r="V1055" s="200"/>
      <c r="W1055" s="200"/>
      <c r="X1055" s="200"/>
      <c r="Y1055" s="200"/>
      <c r="Z1055" s="200"/>
      <c r="AA1055" s="200"/>
      <c r="AB1055" s="200"/>
      <c r="AC1055" s="200"/>
      <c r="AD1055" s="200"/>
      <c r="AE1055" s="200"/>
      <c r="AF1055" s="200"/>
      <c r="AG1055" s="200"/>
      <c r="AH1055" s="200"/>
      <c r="AI1055" s="200"/>
      <c r="AJ1055" s="200"/>
      <c r="AK1055" s="200"/>
      <c r="AL1055" s="200"/>
      <c r="AM1055" s="200"/>
      <c r="AN1055" s="200"/>
      <c r="AO1055" s="200"/>
      <c r="AP1055" s="200"/>
      <c r="AQ1055" s="200"/>
      <c r="AR1055" s="200"/>
      <c r="AS1055" s="200"/>
      <c r="AT1055" s="200"/>
      <c r="AU1055" s="200"/>
      <c r="AV1055" s="200"/>
      <c r="AW1055" s="200"/>
      <c r="AX1055" s="200"/>
      <c r="AY1055" s="200"/>
      <c r="AZ1055" s="200"/>
      <c r="BA1055" s="200"/>
      <c r="BB1055" s="200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</row>
    <row r="1056" spans="1:71" ht="13.8">
      <c r="A1056" s="1"/>
      <c r="B1056" s="1"/>
      <c r="C1056" s="200"/>
      <c r="D1056" s="200"/>
      <c r="E1056" s="200"/>
      <c r="F1056" s="200"/>
      <c r="G1056" s="200"/>
      <c r="H1056" s="200"/>
      <c r="I1056" s="200"/>
      <c r="J1056" s="200"/>
      <c r="K1056" s="200"/>
      <c r="L1056" s="200"/>
      <c r="M1056" s="200"/>
      <c r="N1056" s="200"/>
      <c r="O1056" s="200"/>
      <c r="P1056" s="200"/>
      <c r="Q1056" s="200"/>
      <c r="R1056" s="200"/>
      <c r="S1056" s="200"/>
      <c r="T1056" s="200"/>
      <c r="U1056" s="200"/>
      <c r="V1056" s="200"/>
      <c r="W1056" s="200"/>
      <c r="X1056" s="200"/>
      <c r="Y1056" s="200"/>
      <c r="Z1056" s="200"/>
      <c r="AA1056" s="200"/>
      <c r="AB1056" s="200"/>
      <c r="AC1056" s="200"/>
      <c r="AD1056" s="200"/>
      <c r="AE1056" s="200"/>
      <c r="AF1056" s="200"/>
      <c r="AG1056" s="200"/>
      <c r="AH1056" s="200"/>
      <c r="AI1056" s="200"/>
      <c r="AJ1056" s="200"/>
      <c r="AK1056" s="200"/>
      <c r="AL1056" s="200"/>
      <c r="AM1056" s="200"/>
      <c r="AN1056" s="200"/>
      <c r="AO1056" s="200"/>
      <c r="AP1056" s="200"/>
      <c r="AQ1056" s="200"/>
      <c r="AR1056" s="200"/>
      <c r="AS1056" s="200"/>
      <c r="AT1056" s="200"/>
      <c r="AU1056" s="200"/>
      <c r="AV1056" s="200"/>
      <c r="AW1056" s="200"/>
      <c r="AX1056" s="200"/>
      <c r="AY1056" s="200"/>
      <c r="AZ1056" s="200"/>
      <c r="BA1056" s="200"/>
      <c r="BB1056" s="200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</row>
    <row r="1057" spans="1:71" ht="13.8">
      <c r="A1057" s="1"/>
      <c r="B1057" s="1"/>
      <c r="C1057" s="200"/>
      <c r="D1057" s="200"/>
      <c r="E1057" s="200"/>
      <c r="F1057" s="200"/>
      <c r="G1057" s="200"/>
      <c r="H1057" s="200"/>
      <c r="I1057" s="200"/>
      <c r="J1057" s="200"/>
      <c r="K1057" s="200"/>
      <c r="L1057" s="200"/>
      <c r="M1057" s="200"/>
      <c r="N1057" s="200"/>
      <c r="O1057" s="200"/>
      <c r="P1057" s="200"/>
      <c r="Q1057" s="200"/>
      <c r="R1057" s="200"/>
      <c r="S1057" s="200"/>
      <c r="T1057" s="200"/>
      <c r="U1057" s="200"/>
      <c r="V1057" s="200"/>
      <c r="W1057" s="200"/>
      <c r="X1057" s="200"/>
      <c r="Y1057" s="200"/>
      <c r="Z1057" s="200"/>
      <c r="AA1057" s="200"/>
      <c r="AB1057" s="200"/>
      <c r="AC1057" s="200"/>
      <c r="AD1057" s="200"/>
      <c r="AE1057" s="200"/>
      <c r="AF1057" s="200"/>
      <c r="AG1057" s="200"/>
      <c r="AH1057" s="200"/>
      <c r="AI1057" s="200"/>
      <c r="AJ1057" s="200"/>
      <c r="AK1057" s="200"/>
      <c r="AL1057" s="200"/>
      <c r="AM1057" s="200"/>
      <c r="AN1057" s="200"/>
      <c r="AO1057" s="200"/>
      <c r="AP1057" s="200"/>
      <c r="AQ1057" s="200"/>
      <c r="AR1057" s="200"/>
      <c r="AS1057" s="200"/>
      <c r="AT1057" s="200"/>
      <c r="AU1057" s="200"/>
      <c r="AV1057" s="200"/>
      <c r="AW1057" s="200"/>
      <c r="AX1057" s="200"/>
      <c r="AY1057" s="200"/>
      <c r="AZ1057" s="200"/>
      <c r="BA1057" s="200"/>
      <c r="BB1057" s="200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</row>
    <row r="1058" spans="1:71" ht="13.8">
      <c r="A1058" s="1"/>
      <c r="B1058" s="1"/>
      <c r="C1058" s="200"/>
      <c r="D1058" s="200"/>
      <c r="E1058" s="200"/>
      <c r="F1058" s="200"/>
      <c r="G1058" s="200"/>
      <c r="H1058" s="200"/>
      <c r="I1058" s="200"/>
      <c r="J1058" s="200"/>
      <c r="K1058" s="200"/>
      <c r="L1058" s="200"/>
      <c r="M1058" s="200"/>
      <c r="N1058" s="200"/>
      <c r="O1058" s="200"/>
      <c r="P1058" s="200"/>
      <c r="Q1058" s="200"/>
      <c r="R1058" s="200"/>
      <c r="S1058" s="200"/>
      <c r="T1058" s="200"/>
      <c r="U1058" s="200"/>
      <c r="V1058" s="200"/>
      <c r="W1058" s="200"/>
      <c r="X1058" s="200"/>
      <c r="Y1058" s="200"/>
      <c r="Z1058" s="200"/>
      <c r="AA1058" s="200"/>
      <c r="AB1058" s="200"/>
      <c r="AC1058" s="200"/>
      <c r="AD1058" s="200"/>
      <c r="AE1058" s="200"/>
      <c r="AF1058" s="200"/>
      <c r="AG1058" s="200"/>
      <c r="AH1058" s="200"/>
      <c r="AI1058" s="200"/>
      <c r="AJ1058" s="200"/>
      <c r="AK1058" s="200"/>
      <c r="AL1058" s="200"/>
      <c r="AM1058" s="200"/>
      <c r="AN1058" s="200"/>
      <c r="AO1058" s="200"/>
      <c r="AP1058" s="200"/>
      <c r="AQ1058" s="200"/>
      <c r="AR1058" s="200"/>
      <c r="AS1058" s="200"/>
      <c r="AT1058" s="200"/>
      <c r="AU1058" s="200"/>
      <c r="AV1058" s="200"/>
      <c r="AW1058" s="200"/>
      <c r="AX1058" s="200"/>
      <c r="AY1058" s="200"/>
      <c r="AZ1058" s="200"/>
      <c r="BA1058" s="200"/>
      <c r="BB1058" s="200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</row>
    <row r="1059" spans="1:71" ht="13.8">
      <c r="A1059" s="1"/>
      <c r="B1059" s="1"/>
      <c r="C1059" s="200"/>
      <c r="D1059" s="200"/>
      <c r="E1059" s="200"/>
      <c r="F1059" s="200"/>
      <c r="G1059" s="200"/>
      <c r="H1059" s="200"/>
      <c r="I1059" s="200"/>
      <c r="J1059" s="200"/>
      <c r="K1059" s="200"/>
      <c r="L1059" s="200"/>
      <c r="M1059" s="200"/>
      <c r="N1059" s="200"/>
      <c r="O1059" s="200"/>
      <c r="P1059" s="200"/>
      <c r="Q1059" s="200"/>
      <c r="R1059" s="200"/>
      <c r="S1059" s="200"/>
      <c r="T1059" s="200"/>
      <c r="U1059" s="200"/>
      <c r="V1059" s="200"/>
      <c r="W1059" s="200"/>
      <c r="X1059" s="200"/>
      <c r="Y1059" s="200"/>
      <c r="Z1059" s="200"/>
      <c r="AA1059" s="200"/>
      <c r="AB1059" s="200"/>
      <c r="AC1059" s="200"/>
      <c r="AD1059" s="200"/>
      <c r="AE1059" s="200"/>
      <c r="AF1059" s="200"/>
      <c r="AG1059" s="200"/>
      <c r="AH1059" s="200"/>
      <c r="AI1059" s="200"/>
      <c r="AJ1059" s="200"/>
      <c r="AK1059" s="200"/>
      <c r="AL1059" s="200"/>
      <c r="AM1059" s="200"/>
      <c r="AN1059" s="200"/>
      <c r="AO1059" s="200"/>
      <c r="AP1059" s="200"/>
      <c r="AQ1059" s="200"/>
      <c r="AR1059" s="200"/>
      <c r="AS1059" s="200"/>
      <c r="AT1059" s="200"/>
      <c r="AU1059" s="200"/>
      <c r="AV1059" s="200"/>
      <c r="AW1059" s="200"/>
      <c r="AX1059" s="200"/>
      <c r="AY1059" s="200"/>
      <c r="AZ1059" s="200"/>
      <c r="BA1059" s="200"/>
      <c r="BB1059" s="200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</row>
    <row r="1060" spans="1:71" ht="13.8">
      <c r="A1060" s="1"/>
      <c r="B1060" s="1"/>
      <c r="C1060" s="200"/>
      <c r="D1060" s="200"/>
      <c r="E1060" s="200"/>
      <c r="F1060" s="200"/>
      <c r="G1060" s="200"/>
      <c r="H1060" s="200"/>
      <c r="I1060" s="200"/>
      <c r="J1060" s="200"/>
      <c r="K1060" s="200"/>
      <c r="L1060" s="200"/>
      <c r="M1060" s="200"/>
      <c r="N1060" s="200"/>
      <c r="O1060" s="200"/>
      <c r="P1060" s="200"/>
      <c r="Q1060" s="200"/>
      <c r="R1060" s="200"/>
      <c r="S1060" s="200"/>
      <c r="T1060" s="200"/>
      <c r="U1060" s="200"/>
      <c r="V1060" s="200"/>
      <c r="W1060" s="200"/>
      <c r="X1060" s="200"/>
      <c r="Y1060" s="200"/>
      <c r="Z1060" s="200"/>
      <c r="AA1060" s="200"/>
      <c r="AB1060" s="200"/>
      <c r="AC1060" s="200"/>
      <c r="AD1060" s="200"/>
      <c r="AE1060" s="200"/>
      <c r="AF1060" s="200"/>
      <c r="AG1060" s="200"/>
      <c r="AH1060" s="200"/>
      <c r="AI1060" s="200"/>
      <c r="AJ1060" s="200"/>
      <c r="AK1060" s="200"/>
      <c r="AL1060" s="200"/>
      <c r="AM1060" s="200"/>
      <c r="AN1060" s="200"/>
      <c r="AO1060" s="200"/>
      <c r="AP1060" s="200"/>
      <c r="AQ1060" s="200"/>
      <c r="AR1060" s="200"/>
      <c r="AS1060" s="200"/>
      <c r="AT1060" s="200"/>
      <c r="AU1060" s="200"/>
      <c r="AV1060" s="200"/>
      <c r="AW1060" s="200"/>
      <c r="AX1060" s="200"/>
      <c r="AY1060" s="200"/>
      <c r="AZ1060" s="200"/>
      <c r="BA1060" s="200"/>
      <c r="BB1060" s="200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</row>
    <row r="1061" spans="1:71" ht="13.8">
      <c r="A1061" s="1"/>
      <c r="B1061" s="1"/>
      <c r="C1061" s="200"/>
      <c r="D1061" s="200"/>
      <c r="E1061" s="200"/>
      <c r="F1061" s="200"/>
      <c r="G1061" s="200"/>
      <c r="H1061" s="200"/>
      <c r="I1061" s="200"/>
      <c r="J1061" s="200"/>
      <c r="K1061" s="200"/>
      <c r="L1061" s="200"/>
      <c r="M1061" s="200"/>
      <c r="N1061" s="200"/>
      <c r="O1061" s="200"/>
      <c r="P1061" s="200"/>
      <c r="Q1061" s="200"/>
      <c r="R1061" s="200"/>
      <c r="S1061" s="200"/>
      <c r="T1061" s="200"/>
      <c r="U1061" s="200"/>
      <c r="V1061" s="200"/>
      <c r="W1061" s="200"/>
      <c r="X1061" s="200"/>
      <c r="Y1061" s="200"/>
      <c r="Z1061" s="200"/>
      <c r="AA1061" s="200"/>
      <c r="AB1061" s="200"/>
      <c r="AC1061" s="200"/>
      <c r="AD1061" s="200"/>
      <c r="AE1061" s="200"/>
      <c r="AF1061" s="200"/>
      <c r="AG1061" s="200"/>
      <c r="AH1061" s="200"/>
      <c r="AI1061" s="200"/>
      <c r="AJ1061" s="200"/>
      <c r="AK1061" s="200"/>
      <c r="AL1061" s="200"/>
      <c r="AM1061" s="200"/>
      <c r="AN1061" s="200"/>
      <c r="AO1061" s="200"/>
      <c r="AP1061" s="200"/>
      <c r="AQ1061" s="200"/>
      <c r="AR1061" s="200"/>
      <c r="AS1061" s="200"/>
      <c r="AT1061" s="200"/>
      <c r="AU1061" s="200"/>
      <c r="AV1061" s="200"/>
      <c r="AW1061" s="200"/>
      <c r="AX1061" s="200"/>
      <c r="AY1061" s="200"/>
      <c r="AZ1061" s="200"/>
      <c r="BA1061" s="200"/>
      <c r="BB1061" s="200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</row>
    <row r="1062" spans="1:71" ht="13.8">
      <c r="A1062" s="1"/>
      <c r="B1062" s="1"/>
      <c r="C1062" s="200"/>
      <c r="D1062" s="200"/>
      <c r="E1062" s="200"/>
      <c r="F1062" s="200"/>
      <c r="G1062" s="200"/>
      <c r="H1062" s="200"/>
      <c r="I1062" s="200"/>
      <c r="J1062" s="200"/>
      <c r="K1062" s="200"/>
      <c r="L1062" s="200"/>
      <c r="M1062" s="200"/>
      <c r="N1062" s="200"/>
      <c r="O1062" s="200"/>
      <c r="P1062" s="200"/>
      <c r="Q1062" s="200"/>
      <c r="R1062" s="200"/>
      <c r="S1062" s="200"/>
      <c r="T1062" s="200"/>
      <c r="U1062" s="200"/>
      <c r="V1062" s="200"/>
      <c r="W1062" s="200"/>
      <c r="X1062" s="200"/>
      <c r="Y1062" s="200"/>
      <c r="Z1062" s="200"/>
      <c r="AA1062" s="200"/>
      <c r="AB1062" s="200"/>
      <c r="AC1062" s="200"/>
      <c r="AD1062" s="200"/>
      <c r="AE1062" s="200"/>
      <c r="AF1062" s="200"/>
      <c r="AG1062" s="200"/>
      <c r="AH1062" s="200"/>
      <c r="AI1062" s="200"/>
      <c r="AJ1062" s="200"/>
      <c r="AK1062" s="200"/>
      <c r="AL1062" s="200"/>
      <c r="AM1062" s="200"/>
      <c r="AN1062" s="200"/>
      <c r="AO1062" s="200"/>
      <c r="AP1062" s="200"/>
      <c r="AQ1062" s="200"/>
      <c r="AR1062" s="200"/>
      <c r="AS1062" s="200"/>
      <c r="AT1062" s="200"/>
      <c r="AU1062" s="200"/>
      <c r="AV1062" s="200"/>
      <c r="AW1062" s="200"/>
      <c r="AX1062" s="200"/>
      <c r="AY1062" s="200"/>
      <c r="AZ1062" s="200"/>
      <c r="BA1062" s="200"/>
      <c r="BB1062" s="200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</row>
    <row r="1063" spans="1:71" ht="13.8">
      <c r="A1063" s="1"/>
      <c r="B1063" s="1"/>
      <c r="C1063" s="200"/>
      <c r="D1063" s="200"/>
      <c r="E1063" s="200"/>
      <c r="F1063" s="200"/>
      <c r="G1063" s="200"/>
      <c r="H1063" s="200"/>
      <c r="I1063" s="200"/>
      <c r="J1063" s="200"/>
      <c r="K1063" s="200"/>
      <c r="L1063" s="200"/>
      <c r="M1063" s="200"/>
      <c r="N1063" s="200"/>
      <c r="O1063" s="200"/>
      <c r="P1063" s="200"/>
      <c r="Q1063" s="200"/>
      <c r="R1063" s="200"/>
      <c r="S1063" s="200"/>
      <c r="T1063" s="200"/>
      <c r="U1063" s="200"/>
      <c r="V1063" s="200"/>
      <c r="W1063" s="200"/>
      <c r="X1063" s="200"/>
      <c r="Y1063" s="200"/>
      <c r="Z1063" s="200"/>
      <c r="AA1063" s="200"/>
      <c r="AB1063" s="200"/>
      <c r="AC1063" s="200"/>
      <c r="AD1063" s="200"/>
      <c r="AE1063" s="200"/>
      <c r="AF1063" s="200"/>
      <c r="AG1063" s="200"/>
      <c r="AH1063" s="200"/>
      <c r="AI1063" s="200"/>
      <c r="AJ1063" s="200"/>
      <c r="AK1063" s="200"/>
      <c r="AL1063" s="200"/>
      <c r="AM1063" s="200"/>
      <c r="AN1063" s="200"/>
      <c r="AO1063" s="200"/>
      <c r="AP1063" s="200"/>
      <c r="AQ1063" s="200"/>
      <c r="AR1063" s="200"/>
      <c r="AS1063" s="200"/>
      <c r="AT1063" s="200"/>
      <c r="AU1063" s="200"/>
      <c r="AV1063" s="200"/>
      <c r="AW1063" s="200"/>
      <c r="AX1063" s="200"/>
      <c r="AY1063" s="200"/>
      <c r="AZ1063" s="200"/>
      <c r="BA1063" s="200"/>
      <c r="BB1063" s="200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</row>
    <row r="1064" spans="1:71" ht="13.8">
      <c r="A1064" s="1"/>
      <c r="B1064" s="1"/>
      <c r="C1064" s="200"/>
      <c r="D1064" s="200"/>
      <c r="E1064" s="200"/>
      <c r="F1064" s="200"/>
      <c r="G1064" s="200"/>
      <c r="H1064" s="200"/>
      <c r="I1064" s="200"/>
      <c r="J1064" s="200"/>
      <c r="K1064" s="200"/>
      <c r="L1064" s="200"/>
      <c r="M1064" s="200"/>
      <c r="N1064" s="200"/>
      <c r="O1064" s="200"/>
      <c r="P1064" s="200"/>
      <c r="Q1064" s="200"/>
      <c r="R1064" s="200"/>
      <c r="S1064" s="200"/>
      <c r="T1064" s="200"/>
      <c r="U1064" s="200"/>
      <c r="V1064" s="200"/>
      <c r="W1064" s="200"/>
      <c r="X1064" s="200"/>
      <c r="Y1064" s="200"/>
      <c r="Z1064" s="200"/>
      <c r="AA1064" s="200"/>
      <c r="AB1064" s="200"/>
      <c r="AC1064" s="200"/>
      <c r="AD1064" s="200"/>
      <c r="AE1064" s="200"/>
      <c r="AF1064" s="200"/>
      <c r="AG1064" s="200"/>
      <c r="AH1064" s="200"/>
      <c r="AI1064" s="200"/>
      <c r="AJ1064" s="200"/>
      <c r="AK1064" s="200"/>
      <c r="AL1064" s="200"/>
      <c r="AM1064" s="200"/>
      <c r="AN1064" s="200"/>
      <c r="AO1064" s="200"/>
      <c r="AP1064" s="200"/>
      <c r="AQ1064" s="200"/>
      <c r="AR1064" s="200"/>
      <c r="AS1064" s="200"/>
      <c r="AT1064" s="200"/>
      <c r="AU1064" s="200"/>
      <c r="AV1064" s="200"/>
      <c r="AW1064" s="200"/>
      <c r="AX1064" s="200"/>
      <c r="AY1064" s="200"/>
      <c r="AZ1064" s="200"/>
      <c r="BA1064" s="200"/>
      <c r="BB1064" s="200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</row>
    <row r="1065" spans="1:71" ht="13.8">
      <c r="A1065" s="1"/>
      <c r="B1065" s="1"/>
      <c r="C1065" s="200"/>
      <c r="D1065" s="200"/>
      <c r="E1065" s="200"/>
      <c r="F1065" s="200"/>
      <c r="G1065" s="200"/>
      <c r="H1065" s="200"/>
      <c r="I1065" s="200"/>
      <c r="J1065" s="200"/>
      <c r="K1065" s="200"/>
      <c r="L1065" s="200"/>
      <c r="M1065" s="200"/>
      <c r="N1065" s="200"/>
      <c r="O1065" s="200"/>
      <c r="P1065" s="200"/>
      <c r="Q1065" s="200"/>
      <c r="R1065" s="200"/>
      <c r="S1065" s="200"/>
      <c r="T1065" s="200"/>
      <c r="U1065" s="200"/>
      <c r="V1065" s="200"/>
      <c r="W1065" s="200"/>
      <c r="X1065" s="200"/>
      <c r="Y1065" s="200"/>
      <c r="Z1065" s="200"/>
      <c r="AA1065" s="200"/>
      <c r="AB1065" s="200"/>
      <c r="AC1065" s="200"/>
      <c r="AD1065" s="200"/>
      <c r="AE1065" s="200"/>
      <c r="AF1065" s="200"/>
      <c r="AG1065" s="200"/>
      <c r="AH1065" s="200"/>
      <c r="AI1065" s="200"/>
      <c r="AJ1065" s="200"/>
      <c r="AK1065" s="200"/>
      <c r="AL1065" s="200"/>
      <c r="AM1065" s="200"/>
      <c r="AN1065" s="200"/>
      <c r="AO1065" s="200"/>
      <c r="AP1065" s="200"/>
      <c r="AQ1065" s="200"/>
      <c r="AR1065" s="200"/>
      <c r="AS1065" s="200"/>
      <c r="AT1065" s="200"/>
      <c r="AU1065" s="200"/>
      <c r="AV1065" s="200"/>
      <c r="AW1065" s="200"/>
      <c r="AX1065" s="200"/>
      <c r="AY1065" s="200"/>
      <c r="AZ1065" s="200"/>
      <c r="BA1065" s="200"/>
      <c r="BB1065" s="200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</row>
    <row r="1066" spans="1:71" ht="13.8">
      <c r="A1066" s="1"/>
      <c r="B1066" s="1"/>
      <c r="C1066" s="200"/>
      <c r="D1066" s="200"/>
      <c r="E1066" s="200"/>
      <c r="F1066" s="200"/>
      <c r="G1066" s="200"/>
      <c r="H1066" s="200"/>
      <c r="I1066" s="200"/>
      <c r="J1066" s="200"/>
      <c r="K1066" s="200"/>
      <c r="L1066" s="200"/>
      <c r="M1066" s="200"/>
      <c r="N1066" s="200"/>
      <c r="O1066" s="200"/>
      <c r="P1066" s="200"/>
      <c r="Q1066" s="200"/>
      <c r="R1066" s="200"/>
      <c r="S1066" s="200"/>
      <c r="T1066" s="200"/>
      <c r="U1066" s="200"/>
      <c r="V1066" s="200"/>
      <c r="W1066" s="200"/>
      <c r="X1066" s="200"/>
      <c r="Y1066" s="200"/>
      <c r="Z1066" s="200"/>
      <c r="AA1066" s="200"/>
      <c r="AB1066" s="200"/>
      <c r="AC1066" s="200"/>
      <c r="AD1066" s="200"/>
      <c r="AE1066" s="200"/>
      <c r="AF1066" s="200"/>
      <c r="AG1066" s="200"/>
      <c r="AH1066" s="200"/>
      <c r="AI1066" s="200"/>
      <c r="AJ1066" s="200"/>
      <c r="AK1066" s="200"/>
      <c r="AL1066" s="200"/>
      <c r="AM1066" s="200"/>
      <c r="AN1066" s="200"/>
      <c r="AO1066" s="200"/>
      <c r="AP1066" s="200"/>
      <c r="AQ1066" s="200"/>
      <c r="AR1066" s="200"/>
      <c r="AS1066" s="200"/>
      <c r="AT1066" s="200"/>
      <c r="AU1066" s="200"/>
      <c r="AV1066" s="200"/>
      <c r="AW1066" s="200"/>
      <c r="AX1066" s="200"/>
      <c r="AY1066" s="200"/>
      <c r="AZ1066" s="200"/>
      <c r="BA1066" s="200"/>
      <c r="BB1066" s="200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</row>
    <row r="1067" spans="1:71" ht="13.8">
      <c r="A1067" s="1"/>
      <c r="B1067" s="1"/>
      <c r="C1067" s="200"/>
      <c r="D1067" s="200"/>
      <c r="E1067" s="200"/>
      <c r="F1067" s="200"/>
      <c r="G1067" s="200"/>
      <c r="H1067" s="200"/>
      <c r="I1067" s="200"/>
      <c r="J1067" s="200"/>
      <c r="K1067" s="200"/>
      <c r="L1067" s="200"/>
      <c r="M1067" s="200"/>
      <c r="N1067" s="200"/>
      <c r="O1067" s="200"/>
      <c r="P1067" s="200"/>
      <c r="Q1067" s="200"/>
      <c r="R1067" s="200"/>
      <c r="S1067" s="200"/>
      <c r="T1067" s="200"/>
      <c r="U1067" s="200"/>
      <c r="V1067" s="200"/>
      <c r="W1067" s="200"/>
      <c r="X1067" s="200"/>
      <c r="Y1067" s="200"/>
      <c r="Z1067" s="200"/>
      <c r="AA1067" s="200"/>
      <c r="AB1067" s="200"/>
      <c r="AC1067" s="200"/>
      <c r="AD1067" s="200"/>
      <c r="AE1067" s="200"/>
      <c r="AF1067" s="200"/>
      <c r="AG1067" s="200"/>
      <c r="AH1067" s="200"/>
      <c r="AI1067" s="200"/>
      <c r="AJ1067" s="200"/>
      <c r="AK1067" s="200"/>
      <c r="AL1067" s="200"/>
      <c r="AM1067" s="200"/>
      <c r="AN1067" s="200"/>
      <c r="AO1067" s="200"/>
      <c r="AP1067" s="200"/>
      <c r="AQ1067" s="200"/>
      <c r="AR1067" s="200"/>
      <c r="AS1067" s="200"/>
      <c r="AT1067" s="200"/>
      <c r="AU1067" s="200"/>
      <c r="AV1067" s="200"/>
      <c r="AW1067" s="200"/>
      <c r="AX1067" s="200"/>
      <c r="AY1067" s="200"/>
      <c r="AZ1067" s="200"/>
      <c r="BA1067" s="200"/>
      <c r="BB1067" s="200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</row>
    <row r="1068" spans="1:71" ht="13.8">
      <c r="A1068" s="1"/>
      <c r="B1068" s="1"/>
      <c r="C1068" s="200"/>
      <c r="D1068" s="200"/>
      <c r="E1068" s="200"/>
      <c r="F1068" s="200"/>
      <c r="G1068" s="200"/>
      <c r="H1068" s="200"/>
      <c r="I1068" s="200"/>
      <c r="J1068" s="200"/>
      <c r="K1068" s="200"/>
      <c r="L1068" s="200"/>
      <c r="M1068" s="200"/>
      <c r="N1068" s="200"/>
      <c r="O1068" s="200"/>
      <c r="P1068" s="200"/>
      <c r="Q1068" s="200"/>
      <c r="R1068" s="200"/>
      <c r="S1068" s="200"/>
      <c r="T1068" s="200"/>
      <c r="U1068" s="200"/>
      <c r="V1068" s="200"/>
      <c r="W1068" s="200"/>
      <c r="X1068" s="200"/>
      <c r="Y1068" s="200"/>
      <c r="Z1068" s="200"/>
      <c r="AA1068" s="200"/>
      <c r="AB1068" s="200"/>
      <c r="AC1068" s="200"/>
      <c r="AD1068" s="200"/>
      <c r="AE1068" s="200"/>
      <c r="AF1068" s="200"/>
      <c r="AG1068" s="200"/>
      <c r="AH1068" s="200"/>
      <c r="AI1068" s="200"/>
      <c r="AJ1068" s="200"/>
      <c r="AK1068" s="200"/>
      <c r="AL1068" s="200"/>
      <c r="AM1068" s="200"/>
      <c r="AN1068" s="200"/>
      <c r="AO1068" s="200"/>
      <c r="AP1068" s="200"/>
      <c r="AQ1068" s="200"/>
      <c r="AR1068" s="200"/>
      <c r="AS1068" s="200"/>
      <c r="AT1068" s="200"/>
      <c r="AU1068" s="200"/>
      <c r="AV1068" s="200"/>
      <c r="AW1068" s="200"/>
      <c r="AX1068" s="200"/>
      <c r="AY1068" s="200"/>
      <c r="AZ1068" s="200"/>
      <c r="BA1068" s="200"/>
      <c r="BB1068" s="200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</row>
    <row r="1069" spans="1:71" ht="13.8">
      <c r="A1069" s="1"/>
      <c r="B1069" s="1"/>
      <c r="C1069" s="200"/>
      <c r="D1069" s="200"/>
      <c r="E1069" s="200"/>
      <c r="F1069" s="200"/>
      <c r="G1069" s="200"/>
      <c r="H1069" s="200"/>
      <c r="I1069" s="200"/>
      <c r="J1069" s="200"/>
      <c r="K1069" s="200"/>
      <c r="L1069" s="200"/>
      <c r="M1069" s="200"/>
      <c r="N1069" s="200"/>
      <c r="O1069" s="200"/>
      <c r="P1069" s="200"/>
      <c r="Q1069" s="200"/>
      <c r="R1069" s="200"/>
      <c r="S1069" s="200"/>
      <c r="T1069" s="200"/>
      <c r="U1069" s="200"/>
      <c r="V1069" s="200"/>
      <c r="W1069" s="200"/>
      <c r="X1069" s="200"/>
      <c r="Y1069" s="200"/>
      <c r="Z1069" s="200"/>
      <c r="AA1069" s="200"/>
      <c r="AB1069" s="200"/>
      <c r="AC1069" s="200"/>
      <c r="AD1069" s="200"/>
      <c r="AE1069" s="200"/>
      <c r="AF1069" s="200"/>
      <c r="AG1069" s="200"/>
      <c r="AH1069" s="200"/>
      <c r="AI1069" s="200"/>
      <c r="AJ1069" s="200"/>
      <c r="AK1069" s="200"/>
      <c r="AL1069" s="200"/>
      <c r="AM1069" s="200"/>
      <c r="AN1069" s="200"/>
      <c r="AO1069" s="200"/>
      <c r="AP1069" s="200"/>
      <c r="AQ1069" s="200"/>
      <c r="AR1069" s="200"/>
      <c r="AS1069" s="200"/>
      <c r="AT1069" s="200"/>
      <c r="AU1069" s="200"/>
      <c r="AV1069" s="200"/>
      <c r="AW1069" s="200"/>
      <c r="AX1069" s="200"/>
      <c r="AY1069" s="200"/>
      <c r="AZ1069" s="200"/>
      <c r="BA1069" s="200"/>
      <c r="BB1069" s="200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</row>
    <row r="1070" spans="1:71" ht="13.8">
      <c r="A1070" s="1"/>
      <c r="B1070" s="1"/>
      <c r="C1070" s="200"/>
      <c r="D1070" s="200"/>
      <c r="E1070" s="200"/>
      <c r="F1070" s="200"/>
      <c r="G1070" s="200"/>
      <c r="H1070" s="200"/>
      <c r="I1070" s="200"/>
      <c r="J1070" s="200"/>
      <c r="K1070" s="200"/>
      <c r="L1070" s="200"/>
      <c r="M1070" s="200"/>
      <c r="N1070" s="200"/>
      <c r="O1070" s="200"/>
      <c r="P1070" s="200"/>
      <c r="Q1070" s="200"/>
      <c r="R1070" s="200"/>
      <c r="S1070" s="200"/>
      <c r="T1070" s="200"/>
      <c r="U1070" s="200"/>
      <c r="V1070" s="200"/>
      <c r="W1070" s="200"/>
      <c r="X1070" s="200"/>
      <c r="Y1070" s="200"/>
      <c r="Z1070" s="200"/>
      <c r="AA1070" s="200"/>
      <c r="AB1070" s="200"/>
      <c r="AC1070" s="200"/>
      <c r="AD1070" s="200"/>
      <c r="AE1070" s="200"/>
      <c r="AF1070" s="200"/>
      <c r="AG1070" s="200"/>
      <c r="AH1070" s="200"/>
      <c r="AI1070" s="200"/>
      <c r="AJ1070" s="200"/>
      <c r="AK1070" s="200"/>
      <c r="AL1070" s="200"/>
      <c r="AM1070" s="200"/>
      <c r="AN1070" s="200"/>
      <c r="AO1070" s="200"/>
      <c r="AP1070" s="200"/>
      <c r="AQ1070" s="200"/>
      <c r="AR1070" s="200"/>
      <c r="AS1070" s="200"/>
      <c r="AT1070" s="200"/>
      <c r="AU1070" s="200"/>
      <c r="AV1070" s="200"/>
      <c r="AW1070" s="200"/>
      <c r="AX1070" s="200"/>
      <c r="AY1070" s="200"/>
      <c r="AZ1070" s="200"/>
      <c r="BA1070" s="200"/>
      <c r="BB1070" s="200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</row>
    <row r="1071" spans="1:71" ht="13.8">
      <c r="A1071" s="1"/>
      <c r="B1071" s="1"/>
      <c r="C1071" s="200"/>
      <c r="D1071" s="200"/>
      <c r="E1071" s="200"/>
      <c r="F1071" s="200"/>
      <c r="G1071" s="200"/>
      <c r="H1071" s="200"/>
      <c r="I1071" s="200"/>
      <c r="J1071" s="200"/>
      <c r="K1071" s="200"/>
      <c r="L1071" s="200"/>
      <c r="M1071" s="200"/>
      <c r="N1071" s="200"/>
      <c r="O1071" s="200"/>
      <c r="P1071" s="200"/>
      <c r="Q1071" s="200"/>
      <c r="R1071" s="200"/>
      <c r="S1071" s="200"/>
      <c r="T1071" s="200"/>
      <c r="U1071" s="200"/>
      <c r="V1071" s="200"/>
      <c r="W1071" s="200"/>
      <c r="X1071" s="200"/>
      <c r="Y1071" s="200"/>
      <c r="Z1071" s="200"/>
      <c r="AA1071" s="200"/>
      <c r="AB1071" s="200"/>
      <c r="AC1071" s="200"/>
      <c r="AD1071" s="200"/>
      <c r="AE1071" s="200"/>
      <c r="AF1071" s="200"/>
      <c r="AG1071" s="200"/>
      <c r="AH1071" s="200"/>
      <c r="AI1071" s="200"/>
      <c r="AJ1071" s="200"/>
      <c r="AK1071" s="200"/>
      <c r="AL1071" s="200"/>
      <c r="AM1071" s="200"/>
      <c r="AN1071" s="200"/>
      <c r="AO1071" s="200"/>
      <c r="AP1071" s="200"/>
      <c r="AQ1071" s="200"/>
      <c r="AR1071" s="200"/>
      <c r="AS1071" s="200"/>
      <c r="AT1071" s="200"/>
      <c r="AU1071" s="200"/>
      <c r="AV1071" s="200"/>
      <c r="AW1071" s="200"/>
      <c r="AX1071" s="200"/>
      <c r="AY1071" s="200"/>
      <c r="AZ1071" s="200"/>
      <c r="BA1071" s="200"/>
      <c r="BB1071" s="200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</row>
    <row r="1072" spans="1:71" ht="13.8">
      <c r="A1072" s="1"/>
      <c r="B1072" s="1"/>
      <c r="C1072" s="200"/>
      <c r="D1072" s="200"/>
      <c r="E1072" s="200"/>
      <c r="F1072" s="200"/>
      <c r="G1072" s="200"/>
      <c r="H1072" s="200"/>
      <c r="I1072" s="200"/>
      <c r="J1072" s="200"/>
      <c r="K1072" s="200"/>
      <c r="L1072" s="200"/>
      <c r="M1072" s="200"/>
      <c r="N1072" s="200"/>
      <c r="O1072" s="200"/>
      <c r="P1072" s="200"/>
      <c r="Q1072" s="200"/>
      <c r="R1072" s="200"/>
      <c r="S1072" s="200"/>
      <c r="T1072" s="200"/>
      <c r="U1072" s="200"/>
      <c r="V1072" s="200"/>
      <c r="W1072" s="200"/>
      <c r="X1072" s="200"/>
      <c r="Y1072" s="200"/>
      <c r="Z1072" s="200"/>
      <c r="AA1072" s="200"/>
      <c r="AB1072" s="200"/>
      <c r="AC1072" s="200"/>
      <c r="AD1072" s="200"/>
      <c r="AE1072" s="200"/>
      <c r="AF1072" s="200"/>
      <c r="AG1072" s="200"/>
      <c r="AH1072" s="200"/>
      <c r="AI1072" s="200"/>
      <c r="AJ1072" s="200"/>
      <c r="AK1072" s="200"/>
      <c r="AL1072" s="200"/>
      <c r="AM1072" s="200"/>
      <c r="AN1072" s="200"/>
      <c r="AO1072" s="200"/>
      <c r="AP1072" s="200"/>
      <c r="AQ1072" s="200"/>
      <c r="AR1072" s="200"/>
      <c r="AS1072" s="200"/>
      <c r="AT1072" s="200"/>
      <c r="AU1072" s="200"/>
      <c r="AV1072" s="200"/>
      <c r="AW1072" s="200"/>
      <c r="AX1072" s="200"/>
      <c r="AY1072" s="200"/>
      <c r="AZ1072" s="200"/>
      <c r="BA1072" s="200"/>
      <c r="BB1072" s="200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</row>
    <row r="1073" spans="1:71" ht="13.8">
      <c r="A1073" s="1"/>
      <c r="B1073" s="1"/>
      <c r="C1073" s="200"/>
      <c r="D1073" s="200"/>
      <c r="E1073" s="200"/>
      <c r="F1073" s="200"/>
      <c r="G1073" s="200"/>
      <c r="H1073" s="200"/>
      <c r="I1073" s="200"/>
      <c r="J1073" s="200"/>
      <c r="K1073" s="200"/>
      <c r="L1073" s="200"/>
      <c r="M1073" s="200"/>
      <c r="N1073" s="200"/>
      <c r="O1073" s="200"/>
      <c r="P1073" s="200"/>
      <c r="Q1073" s="200"/>
      <c r="R1073" s="200"/>
      <c r="S1073" s="200"/>
      <c r="T1073" s="200"/>
      <c r="U1073" s="200"/>
      <c r="V1073" s="200"/>
      <c r="W1073" s="200"/>
      <c r="X1073" s="200"/>
      <c r="Y1073" s="200"/>
      <c r="Z1073" s="200"/>
      <c r="AA1073" s="200"/>
      <c r="AB1073" s="200"/>
      <c r="AC1073" s="200"/>
      <c r="AD1073" s="200"/>
      <c r="AE1073" s="200"/>
      <c r="AF1073" s="200"/>
      <c r="AG1073" s="200"/>
      <c r="AH1073" s="200"/>
      <c r="AI1073" s="200"/>
      <c r="AJ1073" s="200"/>
      <c r="AK1073" s="200"/>
      <c r="AL1073" s="200"/>
      <c r="AM1073" s="200"/>
      <c r="AN1073" s="200"/>
      <c r="AO1073" s="200"/>
      <c r="AP1073" s="200"/>
      <c r="AQ1073" s="200"/>
      <c r="AR1073" s="200"/>
      <c r="AS1073" s="200"/>
      <c r="AT1073" s="200"/>
      <c r="AU1073" s="200"/>
      <c r="AV1073" s="200"/>
      <c r="AW1073" s="200"/>
      <c r="AX1073" s="200"/>
      <c r="AY1073" s="200"/>
      <c r="AZ1073" s="200"/>
      <c r="BA1073" s="200"/>
      <c r="BB1073" s="200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</row>
    <row r="1074" spans="1:71" ht="13.8">
      <c r="A1074" s="1"/>
      <c r="B1074" s="1"/>
      <c r="C1074" s="200"/>
      <c r="D1074" s="200"/>
      <c r="E1074" s="200"/>
      <c r="F1074" s="200"/>
      <c r="G1074" s="200"/>
      <c r="H1074" s="200"/>
      <c r="I1074" s="200"/>
      <c r="J1074" s="200"/>
      <c r="K1074" s="200"/>
      <c r="L1074" s="200"/>
      <c r="M1074" s="200"/>
      <c r="N1074" s="200"/>
      <c r="O1074" s="200"/>
      <c r="P1074" s="200"/>
      <c r="Q1074" s="200"/>
      <c r="R1074" s="200"/>
      <c r="S1074" s="200"/>
      <c r="T1074" s="200"/>
      <c r="U1074" s="200"/>
      <c r="V1074" s="200"/>
      <c r="W1074" s="200"/>
      <c r="X1074" s="200"/>
      <c r="Y1074" s="200"/>
      <c r="Z1074" s="200"/>
      <c r="AA1074" s="200"/>
      <c r="AB1074" s="200"/>
      <c r="AC1074" s="200"/>
      <c r="AD1074" s="200"/>
      <c r="AE1074" s="200"/>
      <c r="AF1074" s="200"/>
      <c r="AG1074" s="200"/>
      <c r="AH1074" s="200"/>
      <c r="AI1074" s="200"/>
      <c r="AJ1074" s="200"/>
      <c r="AK1074" s="200"/>
      <c r="AL1074" s="200"/>
      <c r="AM1074" s="200"/>
      <c r="AN1074" s="200"/>
      <c r="AO1074" s="200"/>
      <c r="AP1074" s="200"/>
      <c r="AQ1074" s="200"/>
      <c r="AR1074" s="200"/>
      <c r="AS1074" s="200"/>
      <c r="AT1074" s="200"/>
      <c r="AU1074" s="200"/>
      <c r="AV1074" s="200"/>
      <c r="AW1074" s="200"/>
      <c r="AX1074" s="200"/>
      <c r="AY1074" s="200"/>
      <c r="AZ1074" s="200"/>
      <c r="BA1074" s="200"/>
      <c r="BB1074" s="200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</row>
    <row r="1075" spans="1:71" ht="13.8">
      <c r="A1075" s="1"/>
      <c r="B1075" s="1"/>
      <c r="C1075" s="200"/>
      <c r="D1075" s="200"/>
      <c r="E1075" s="200"/>
      <c r="F1075" s="200"/>
      <c r="G1075" s="200"/>
      <c r="H1075" s="200"/>
      <c r="I1075" s="200"/>
      <c r="J1075" s="200"/>
      <c r="K1075" s="200"/>
      <c r="L1075" s="200"/>
      <c r="M1075" s="200"/>
      <c r="N1075" s="200"/>
      <c r="O1075" s="200"/>
      <c r="P1075" s="200"/>
      <c r="Q1075" s="200"/>
      <c r="R1075" s="200"/>
      <c r="S1075" s="200"/>
      <c r="T1075" s="200"/>
      <c r="U1075" s="200"/>
      <c r="V1075" s="200"/>
      <c r="W1075" s="200"/>
      <c r="X1075" s="200"/>
      <c r="Y1075" s="200"/>
      <c r="Z1075" s="200"/>
      <c r="AA1075" s="200"/>
      <c r="AB1075" s="200"/>
      <c r="AC1075" s="200"/>
      <c r="AD1075" s="200"/>
      <c r="AE1075" s="200"/>
      <c r="AF1075" s="200"/>
      <c r="AG1075" s="200"/>
      <c r="AH1075" s="200"/>
      <c r="AI1075" s="200"/>
      <c r="AJ1075" s="200"/>
      <c r="AK1075" s="200"/>
      <c r="AL1075" s="200"/>
      <c r="AM1075" s="200"/>
      <c r="AN1075" s="200"/>
      <c r="AO1075" s="200"/>
      <c r="AP1075" s="200"/>
      <c r="AQ1075" s="200"/>
      <c r="AR1075" s="200"/>
      <c r="AS1075" s="200"/>
      <c r="AT1075" s="200"/>
      <c r="AU1075" s="200"/>
      <c r="AV1075" s="200"/>
      <c r="AW1075" s="200"/>
      <c r="AX1075" s="200"/>
      <c r="AY1075" s="200"/>
      <c r="AZ1075" s="200"/>
      <c r="BA1075" s="200"/>
      <c r="BB1075" s="200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</row>
    <row r="1076" spans="1:71" ht="13.8">
      <c r="A1076" s="1"/>
      <c r="B1076" s="1"/>
      <c r="C1076" s="200"/>
      <c r="D1076" s="200"/>
      <c r="E1076" s="200"/>
      <c r="F1076" s="200"/>
      <c r="G1076" s="200"/>
      <c r="H1076" s="200"/>
      <c r="I1076" s="200"/>
      <c r="J1076" s="200"/>
      <c r="K1076" s="200"/>
      <c r="L1076" s="200"/>
      <c r="M1076" s="200"/>
      <c r="N1076" s="200"/>
      <c r="O1076" s="200"/>
      <c r="P1076" s="200"/>
      <c r="Q1076" s="200"/>
      <c r="R1076" s="200"/>
      <c r="S1076" s="200"/>
      <c r="T1076" s="200"/>
      <c r="U1076" s="200"/>
      <c r="V1076" s="200"/>
      <c r="W1076" s="200"/>
      <c r="X1076" s="200"/>
      <c r="Y1076" s="200"/>
      <c r="Z1076" s="200"/>
      <c r="AA1076" s="200"/>
      <c r="AB1076" s="200"/>
      <c r="AC1076" s="200"/>
      <c r="AD1076" s="200"/>
      <c r="AE1076" s="200"/>
      <c r="AF1076" s="200"/>
      <c r="AG1076" s="200"/>
      <c r="AH1076" s="200"/>
      <c r="AI1076" s="200"/>
      <c r="AJ1076" s="200"/>
      <c r="AK1076" s="200"/>
      <c r="AL1076" s="200"/>
      <c r="AM1076" s="200"/>
      <c r="AN1076" s="200"/>
      <c r="AO1076" s="200"/>
      <c r="AP1076" s="200"/>
      <c r="AQ1076" s="200"/>
      <c r="AR1076" s="200"/>
      <c r="AS1076" s="200"/>
      <c r="AT1076" s="200"/>
      <c r="AU1076" s="200"/>
      <c r="AV1076" s="200"/>
      <c r="AW1076" s="200"/>
      <c r="AX1076" s="200"/>
      <c r="AY1076" s="200"/>
      <c r="AZ1076" s="200"/>
      <c r="BA1076" s="200"/>
      <c r="BB1076" s="200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</row>
    <row r="1077" spans="1:71" ht="13.8">
      <c r="A1077" s="1"/>
      <c r="B1077" s="1"/>
      <c r="C1077" s="200"/>
      <c r="D1077" s="200"/>
      <c r="E1077" s="200"/>
      <c r="F1077" s="200"/>
      <c r="G1077" s="200"/>
      <c r="H1077" s="200"/>
      <c r="I1077" s="200"/>
      <c r="J1077" s="200"/>
      <c r="K1077" s="200"/>
      <c r="L1077" s="200"/>
      <c r="M1077" s="200"/>
      <c r="N1077" s="200"/>
      <c r="O1077" s="200"/>
      <c r="P1077" s="200"/>
      <c r="Q1077" s="200"/>
      <c r="R1077" s="200"/>
      <c r="S1077" s="200"/>
      <c r="T1077" s="200"/>
      <c r="U1077" s="200"/>
      <c r="V1077" s="200"/>
      <c r="W1077" s="200"/>
      <c r="X1077" s="200"/>
      <c r="Y1077" s="200"/>
      <c r="Z1077" s="200"/>
      <c r="AA1077" s="200"/>
      <c r="AB1077" s="200"/>
      <c r="AC1077" s="200"/>
      <c r="AD1077" s="200"/>
      <c r="AE1077" s="200"/>
      <c r="AF1077" s="200"/>
      <c r="AG1077" s="200"/>
      <c r="AH1077" s="200"/>
      <c r="AI1077" s="200"/>
      <c r="AJ1077" s="200"/>
      <c r="AK1077" s="200"/>
      <c r="AL1077" s="200"/>
      <c r="AM1077" s="200"/>
      <c r="AN1077" s="200"/>
      <c r="AO1077" s="200"/>
      <c r="AP1077" s="200"/>
      <c r="AQ1077" s="200"/>
      <c r="AR1077" s="200"/>
      <c r="AS1077" s="200"/>
      <c r="AT1077" s="200"/>
      <c r="AU1077" s="200"/>
      <c r="AV1077" s="200"/>
      <c r="AW1077" s="200"/>
      <c r="AX1077" s="200"/>
      <c r="AY1077" s="200"/>
      <c r="AZ1077" s="200"/>
      <c r="BA1077" s="200"/>
      <c r="BB1077" s="200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</row>
    <row r="1078" spans="1:71" ht="13.8">
      <c r="A1078" s="1"/>
      <c r="B1078" s="1"/>
      <c r="C1078" s="200"/>
      <c r="D1078" s="200"/>
      <c r="E1078" s="200"/>
      <c r="F1078" s="200"/>
      <c r="G1078" s="200"/>
      <c r="H1078" s="200"/>
      <c r="I1078" s="200"/>
      <c r="J1078" s="200"/>
      <c r="K1078" s="200"/>
      <c r="L1078" s="200"/>
      <c r="M1078" s="200"/>
      <c r="N1078" s="200"/>
      <c r="O1078" s="200"/>
      <c r="P1078" s="200"/>
      <c r="Q1078" s="200"/>
      <c r="R1078" s="200"/>
      <c r="S1078" s="200"/>
      <c r="T1078" s="200"/>
      <c r="U1078" s="200"/>
      <c r="V1078" s="200"/>
      <c r="W1078" s="200"/>
      <c r="X1078" s="200"/>
      <c r="Y1078" s="200"/>
      <c r="Z1078" s="200"/>
      <c r="AA1078" s="200"/>
      <c r="AB1078" s="200"/>
      <c r="AC1078" s="200"/>
      <c r="AD1078" s="200"/>
      <c r="AE1078" s="200"/>
      <c r="AF1078" s="200"/>
      <c r="AG1078" s="200"/>
      <c r="AH1078" s="200"/>
      <c r="AI1078" s="200"/>
      <c r="AJ1078" s="200"/>
      <c r="AK1078" s="200"/>
      <c r="AL1078" s="200"/>
      <c r="AM1078" s="200"/>
      <c r="AN1078" s="200"/>
      <c r="AO1078" s="200"/>
      <c r="AP1078" s="200"/>
      <c r="AQ1078" s="200"/>
      <c r="AR1078" s="200"/>
      <c r="AS1078" s="200"/>
      <c r="AT1078" s="200"/>
      <c r="AU1078" s="200"/>
      <c r="AV1078" s="200"/>
      <c r="AW1078" s="200"/>
      <c r="AX1078" s="200"/>
      <c r="AY1078" s="200"/>
      <c r="AZ1078" s="200"/>
      <c r="BA1078" s="200"/>
      <c r="BB1078" s="200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</row>
    <row r="1079" spans="1:71" ht="13.8">
      <c r="A1079" s="1"/>
      <c r="B1079" s="1"/>
      <c r="C1079" s="200"/>
      <c r="D1079" s="200"/>
      <c r="E1079" s="200"/>
      <c r="F1079" s="200"/>
      <c r="G1079" s="200"/>
      <c r="H1079" s="200"/>
      <c r="I1079" s="200"/>
      <c r="J1079" s="200"/>
      <c r="K1079" s="200"/>
      <c r="L1079" s="200"/>
      <c r="M1079" s="200"/>
      <c r="N1079" s="200"/>
      <c r="O1079" s="200"/>
      <c r="P1079" s="200"/>
      <c r="Q1079" s="200"/>
      <c r="R1079" s="200"/>
      <c r="S1079" s="200"/>
      <c r="T1079" s="200"/>
      <c r="U1079" s="200"/>
      <c r="V1079" s="200"/>
      <c r="W1079" s="200"/>
      <c r="X1079" s="200"/>
      <c r="Y1079" s="200"/>
      <c r="Z1079" s="200"/>
      <c r="AA1079" s="200"/>
      <c r="AB1079" s="200"/>
      <c r="AC1079" s="200"/>
      <c r="AD1079" s="200"/>
      <c r="AE1079" s="200"/>
      <c r="AF1079" s="200"/>
      <c r="AG1079" s="200"/>
      <c r="AH1079" s="200"/>
      <c r="AI1079" s="200"/>
      <c r="AJ1079" s="200"/>
      <c r="AK1079" s="200"/>
      <c r="AL1079" s="200"/>
      <c r="AM1079" s="200"/>
      <c r="AN1079" s="200"/>
      <c r="AO1079" s="200"/>
      <c r="AP1079" s="200"/>
      <c r="AQ1079" s="200"/>
      <c r="AR1079" s="200"/>
      <c r="AS1079" s="200"/>
      <c r="AT1079" s="200"/>
      <c r="AU1079" s="200"/>
      <c r="AV1079" s="200"/>
      <c r="AW1079" s="200"/>
      <c r="AX1079" s="200"/>
      <c r="AY1079" s="200"/>
      <c r="AZ1079" s="200"/>
      <c r="BA1079" s="200"/>
      <c r="BB1079" s="200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</row>
    <row r="1080" spans="1:71" ht="13.8">
      <c r="A1080" s="1"/>
      <c r="B1080" s="1"/>
      <c r="C1080" s="200"/>
      <c r="D1080" s="200"/>
      <c r="E1080" s="200"/>
      <c r="F1080" s="200"/>
      <c r="G1080" s="200"/>
      <c r="H1080" s="200"/>
      <c r="I1080" s="200"/>
      <c r="J1080" s="200"/>
      <c r="K1080" s="200"/>
      <c r="L1080" s="200"/>
      <c r="M1080" s="200"/>
      <c r="N1080" s="200"/>
      <c r="O1080" s="200"/>
      <c r="P1080" s="200"/>
      <c r="Q1080" s="200"/>
      <c r="R1080" s="200"/>
      <c r="S1080" s="200"/>
      <c r="T1080" s="200"/>
      <c r="U1080" s="200"/>
      <c r="V1080" s="200"/>
      <c r="W1080" s="200"/>
      <c r="X1080" s="200"/>
      <c r="Y1080" s="200"/>
      <c r="Z1080" s="200"/>
      <c r="AA1080" s="200"/>
      <c r="AB1080" s="200"/>
      <c r="AC1080" s="200"/>
      <c r="AD1080" s="200"/>
      <c r="AE1080" s="200"/>
      <c r="AF1080" s="200"/>
      <c r="AG1080" s="200"/>
      <c r="AH1080" s="200"/>
      <c r="AI1080" s="200"/>
      <c r="AJ1080" s="200"/>
      <c r="AK1080" s="200"/>
      <c r="AL1080" s="200"/>
      <c r="AM1080" s="200"/>
      <c r="AN1080" s="200"/>
      <c r="AO1080" s="200"/>
      <c r="AP1080" s="200"/>
      <c r="AQ1080" s="200"/>
      <c r="AR1080" s="200"/>
      <c r="AS1080" s="200"/>
      <c r="AT1080" s="200"/>
      <c r="AU1080" s="200"/>
      <c r="AV1080" s="200"/>
      <c r="AW1080" s="200"/>
      <c r="AX1080" s="200"/>
      <c r="AY1080" s="200"/>
      <c r="AZ1080" s="200"/>
      <c r="BA1080" s="200"/>
      <c r="BB1080" s="200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</row>
    <row r="1081" spans="1:71" ht="13.8">
      <c r="A1081" s="1"/>
      <c r="B1081" s="1"/>
      <c r="C1081" s="200"/>
      <c r="D1081" s="200"/>
      <c r="E1081" s="200"/>
      <c r="F1081" s="200"/>
      <c r="G1081" s="200"/>
      <c r="H1081" s="200"/>
      <c r="I1081" s="200"/>
      <c r="J1081" s="200"/>
      <c r="K1081" s="200"/>
      <c r="L1081" s="200"/>
      <c r="M1081" s="200"/>
      <c r="N1081" s="200"/>
      <c r="O1081" s="200"/>
      <c r="P1081" s="200"/>
      <c r="Q1081" s="200"/>
      <c r="R1081" s="200"/>
      <c r="S1081" s="200"/>
      <c r="T1081" s="200"/>
      <c r="U1081" s="200"/>
      <c r="V1081" s="200"/>
      <c r="W1081" s="200"/>
      <c r="X1081" s="200"/>
      <c r="Y1081" s="200"/>
      <c r="Z1081" s="200"/>
      <c r="AA1081" s="200"/>
      <c r="AB1081" s="200"/>
      <c r="AC1081" s="200"/>
      <c r="AD1081" s="200"/>
      <c r="AE1081" s="200"/>
      <c r="AF1081" s="200"/>
      <c r="AG1081" s="200"/>
      <c r="AH1081" s="200"/>
      <c r="AI1081" s="200"/>
      <c r="AJ1081" s="200"/>
      <c r="AK1081" s="200"/>
      <c r="AL1081" s="200"/>
      <c r="AM1081" s="200"/>
      <c r="AN1081" s="200"/>
      <c r="AO1081" s="200"/>
      <c r="AP1081" s="200"/>
      <c r="AQ1081" s="200"/>
      <c r="AR1081" s="200"/>
      <c r="AS1081" s="200"/>
      <c r="AT1081" s="200"/>
      <c r="AU1081" s="200"/>
      <c r="AV1081" s="200"/>
      <c r="AW1081" s="200"/>
      <c r="AX1081" s="200"/>
      <c r="AY1081" s="200"/>
      <c r="AZ1081" s="200"/>
      <c r="BA1081" s="200"/>
      <c r="BB1081" s="200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</row>
    <row r="1082" spans="1:71" ht="13.8">
      <c r="A1082" s="1"/>
      <c r="B1082" s="1"/>
      <c r="C1082" s="200"/>
      <c r="D1082" s="200"/>
      <c r="E1082" s="200"/>
      <c r="F1082" s="200"/>
      <c r="G1082" s="200"/>
      <c r="H1082" s="200"/>
      <c r="I1082" s="200"/>
      <c r="J1082" s="200"/>
      <c r="K1082" s="200"/>
      <c r="L1082" s="200"/>
      <c r="M1082" s="200"/>
      <c r="N1082" s="200"/>
      <c r="O1082" s="200"/>
      <c r="P1082" s="200"/>
      <c r="Q1082" s="200"/>
      <c r="R1082" s="200"/>
      <c r="S1082" s="200"/>
      <c r="T1082" s="200"/>
      <c r="U1082" s="200"/>
      <c r="V1082" s="200"/>
      <c r="W1082" s="200"/>
      <c r="X1082" s="200"/>
      <c r="Y1082" s="200"/>
      <c r="Z1082" s="200"/>
      <c r="AA1082" s="200"/>
      <c r="AB1082" s="200"/>
      <c r="AC1082" s="200"/>
      <c r="AD1082" s="200"/>
      <c r="AE1082" s="200"/>
      <c r="AF1082" s="200"/>
      <c r="AG1082" s="200"/>
      <c r="AH1082" s="200"/>
      <c r="AI1082" s="200"/>
      <c r="AJ1082" s="200"/>
      <c r="AK1082" s="200"/>
      <c r="AL1082" s="200"/>
      <c r="AM1082" s="200"/>
      <c r="AN1082" s="200"/>
      <c r="AO1082" s="200"/>
      <c r="AP1082" s="200"/>
      <c r="AQ1082" s="200"/>
      <c r="AR1082" s="200"/>
      <c r="AS1082" s="200"/>
      <c r="AT1082" s="200"/>
      <c r="AU1082" s="200"/>
      <c r="AV1082" s="200"/>
      <c r="AW1082" s="200"/>
      <c r="AX1082" s="200"/>
      <c r="AY1082" s="200"/>
      <c r="AZ1082" s="200"/>
      <c r="BA1082" s="200"/>
      <c r="BB1082" s="200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</row>
    <row r="1083" spans="1:71" ht="13.8">
      <c r="A1083" s="1"/>
      <c r="B1083" s="1"/>
      <c r="C1083" s="200"/>
      <c r="D1083" s="200"/>
      <c r="E1083" s="200"/>
      <c r="F1083" s="200"/>
      <c r="G1083" s="200"/>
      <c r="H1083" s="200"/>
      <c r="I1083" s="200"/>
      <c r="J1083" s="200"/>
      <c r="K1083" s="200"/>
      <c r="L1083" s="200"/>
      <c r="M1083" s="200"/>
      <c r="N1083" s="200"/>
      <c r="O1083" s="200"/>
      <c r="P1083" s="200"/>
      <c r="Q1083" s="200"/>
      <c r="R1083" s="200"/>
      <c r="S1083" s="200"/>
      <c r="T1083" s="200"/>
      <c r="U1083" s="200"/>
      <c r="V1083" s="200"/>
      <c r="W1083" s="200"/>
      <c r="X1083" s="200"/>
      <c r="Y1083" s="200"/>
      <c r="Z1083" s="200"/>
      <c r="AA1083" s="200"/>
      <c r="AB1083" s="200"/>
      <c r="AC1083" s="200"/>
      <c r="AD1083" s="200"/>
      <c r="AE1083" s="200"/>
      <c r="AF1083" s="200"/>
      <c r="AG1083" s="200"/>
      <c r="AH1083" s="200"/>
      <c r="AI1083" s="200"/>
      <c r="AJ1083" s="200"/>
      <c r="AK1083" s="200"/>
      <c r="AL1083" s="200"/>
      <c r="AM1083" s="200"/>
      <c r="AN1083" s="200"/>
      <c r="AO1083" s="200"/>
      <c r="AP1083" s="200"/>
      <c r="AQ1083" s="200"/>
      <c r="AR1083" s="200"/>
      <c r="AS1083" s="200"/>
      <c r="AT1083" s="200"/>
      <c r="AU1083" s="200"/>
      <c r="AV1083" s="200"/>
      <c r="AW1083" s="200"/>
      <c r="AX1083" s="200"/>
      <c r="AY1083" s="200"/>
      <c r="AZ1083" s="200"/>
      <c r="BA1083" s="200"/>
      <c r="BB1083" s="200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</row>
    <row r="1084" spans="1:71" ht="13.8">
      <c r="A1084" s="1"/>
      <c r="B1084" s="1"/>
      <c r="C1084" s="200"/>
      <c r="D1084" s="200"/>
      <c r="E1084" s="200"/>
      <c r="F1084" s="200"/>
      <c r="G1084" s="200"/>
      <c r="H1084" s="200"/>
      <c r="I1084" s="200"/>
      <c r="J1084" s="200"/>
      <c r="K1084" s="200"/>
      <c r="L1084" s="200"/>
      <c r="M1084" s="200"/>
      <c r="N1084" s="200"/>
      <c r="O1084" s="200"/>
      <c r="P1084" s="200"/>
      <c r="Q1084" s="200"/>
      <c r="R1084" s="200"/>
      <c r="S1084" s="200"/>
      <c r="T1084" s="200"/>
      <c r="U1084" s="200"/>
      <c r="V1084" s="200"/>
      <c r="W1084" s="200"/>
      <c r="X1084" s="200"/>
      <c r="Y1084" s="200"/>
      <c r="Z1084" s="200"/>
      <c r="AA1084" s="200"/>
      <c r="AB1084" s="200"/>
      <c r="AC1084" s="200"/>
      <c r="AD1084" s="200"/>
      <c r="AE1084" s="200"/>
      <c r="AF1084" s="200"/>
      <c r="AG1084" s="200"/>
      <c r="AH1084" s="200"/>
      <c r="AI1084" s="200"/>
      <c r="AJ1084" s="200"/>
      <c r="AK1084" s="200"/>
      <c r="AL1084" s="200"/>
      <c r="AM1084" s="200"/>
      <c r="AN1084" s="200"/>
      <c r="AO1084" s="200"/>
      <c r="AP1084" s="200"/>
      <c r="AQ1084" s="200"/>
      <c r="AR1084" s="200"/>
      <c r="AS1084" s="200"/>
      <c r="AT1084" s="200"/>
      <c r="AU1084" s="200"/>
      <c r="AV1084" s="200"/>
      <c r="AW1084" s="200"/>
      <c r="AX1084" s="200"/>
      <c r="AY1084" s="200"/>
      <c r="AZ1084" s="200"/>
      <c r="BA1084" s="200"/>
      <c r="BB1084" s="200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</row>
    <row r="1085" spans="1:71" ht="13.8">
      <c r="A1085" s="1"/>
      <c r="B1085" s="1"/>
      <c r="C1085" s="200"/>
      <c r="D1085" s="200"/>
      <c r="E1085" s="200"/>
      <c r="F1085" s="200"/>
      <c r="G1085" s="200"/>
      <c r="H1085" s="200"/>
      <c r="I1085" s="200"/>
      <c r="J1085" s="200"/>
      <c r="K1085" s="200"/>
      <c r="L1085" s="200"/>
      <c r="M1085" s="200"/>
      <c r="N1085" s="200"/>
      <c r="O1085" s="200"/>
      <c r="P1085" s="200"/>
      <c r="Q1085" s="200"/>
      <c r="R1085" s="200"/>
      <c r="S1085" s="200"/>
      <c r="T1085" s="200"/>
      <c r="U1085" s="200"/>
      <c r="V1085" s="200"/>
      <c r="W1085" s="200"/>
      <c r="X1085" s="200"/>
      <c r="Y1085" s="200"/>
      <c r="Z1085" s="200"/>
      <c r="AA1085" s="200"/>
      <c r="AB1085" s="200"/>
      <c r="AC1085" s="200"/>
      <c r="AD1085" s="200"/>
      <c r="AE1085" s="200"/>
      <c r="AF1085" s="200"/>
      <c r="AG1085" s="200"/>
      <c r="AH1085" s="200"/>
      <c r="AI1085" s="200"/>
      <c r="AJ1085" s="200"/>
      <c r="AK1085" s="200"/>
      <c r="AL1085" s="200"/>
      <c r="AM1085" s="200"/>
      <c r="AN1085" s="200"/>
      <c r="AO1085" s="200"/>
      <c r="AP1085" s="200"/>
      <c r="AQ1085" s="200"/>
      <c r="AR1085" s="200"/>
      <c r="AS1085" s="200"/>
      <c r="AT1085" s="200"/>
      <c r="AU1085" s="200"/>
      <c r="AV1085" s="200"/>
      <c r="AW1085" s="200"/>
      <c r="AX1085" s="200"/>
      <c r="AY1085" s="200"/>
      <c r="AZ1085" s="200"/>
      <c r="BA1085" s="200"/>
      <c r="BB1085" s="200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</row>
    <row r="1086" spans="1:71" ht="13.8">
      <c r="A1086" s="1"/>
      <c r="B1086" s="1"/>
      <c r="C1086" s="200"/>
      <c r="D1086" s="200"/>
      <c r="E1086" s="200"/>
      <c r="F1086" s="200"/>
      <c r="G1086" s="200"/>
      <c r="H1086" s="200"/>
      <c r="I1086" s="200"/>
      <c r="J1086" s="200"/>
      <c r="K1086" s="200"/>
      <c r="L1086" s="200"/>
      <c r="M1086" s="200"/>
      <c r="N1086" s="200"/>
      <c r="O1086" s="200"/>
      <c r="P1086" s="200"/>
      <c r="Q1086" s="200"/>
      <c r="R1086" s="200"/>
      <c r="S1086" s="200"/>
      <c r="T1086" s="200"/>
      <c r="U1086" s="200"/>
      <c r="V1086" s="200"/>
      <c r="W1086" s="200"/>
      <c r="X1086" s="200"/>
      <c r="Y1086" s="200"/>
      <c r="Z1086" s="200"/>
      <c r="AA1086" s="200"/>
      <c r="AB1086" s="200"/>
      <c r="AC1086" s="200"/>
      <c r="AD1086" s="200"/>
      <c r="AE1086" s="200"/>
      <c r="AF1086" s="200"/>
      <c r="AG1086" s="200"/>
      <c r="AH1086" s="200"/>
      <c r="AI1086" s="200"/>
      <c r="AJ1086" s="200"/>
      <c r="AK1086" s="200"/>
      <c r="AL1086" s="200"/>
      <c r="AM1086" s="200"/>
      <c r="AN1086" s="200"/>
      <c r="AO1086" s="200"/>
      <c r="AP1086" s="200"/>
      <c r="AQ1086" s="200"/>
      <c r="AR1086" s="200"/>
      <c r="AS1086" s="200"/>
      <c r="AT1086" s="200"/>
      <c r="AU1086" s="200"/>
      <c r="AV1086" s="200"/>
      <c r="AW1086" s="200"/>
      <c r="AX1086" s="200"/>
      <c r="AY1086" s="200"/>
      <c r="AZ1086" s="200"/>
      <c r="BA1086" s="200"/>
      <c r="BB1086" s="200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</row>
    <row r="1087" spans="1:71" ht="13.8">
      <c r="A1087" s="1"/>
      <c r="B1087" s="1"/>
      <c r="C1087" s="200"/>
      <c r="D1087" s="200"/>
      <c r="E1087" s="200"/>
      <c r="F1087" s="200"/>
      <c r="G1087" s="200"/>
      <c r="H1087" s="200"/>
      <c r="I1087" s="200"/>
      <c r="J1087" s="200"/>
      <c r="K1087" s="200"/>
      <c r="L1087" s="200"/>
      <c r="M1087" s="200"/>
      <c r="N1087" s="200"/>
      <c r="O1087" s="200"/>
      <c r="P1087" s="200"/>
      <c r="Q1087" s="200"/>
      <c r="R1087" s="200"/>
      <c r="S1087" s="200"/>
      <c r="T1087" s="200"/>
      <c r="U1087" s="200"/>
      <c r="V1087" s="200"/>
      <c r="W1087" s="200"/>
      <c r="X1087" s="200"/>
      <c r="Y1087" s="200"/>
      <c r="Z1087" s="200"/>
      <c r="AA1087" s="200"/>
      <c r="AB1087" s="200"/>
      <c r="AC1087" s="200"/>
      <c r="AD1087" s="200"/>
      <c r="AE1087" s="200"/>
      <c r="AF1087" s="200"/>
      <c r="AG1087" s="200"/>
      <c r="AH1087" s="200"/>
      <c r="AI1087" s="200"/>
      <c r="AJ1087" s="200"/>
      <c r="AK1087" s="200"/>
      <c r="AL1087" s="200"/>
      <c r="AM1087" s="200"/>
      <c r="AN1087" s="200"/>
      <c r="AO1087" s="200"/>
      <c r="AP1087" s="200"/>
      <c r="AQ1087" s="200"/>
      <c r="AR1087" s="200"/>
      <c r="AS1087" s="200"/>
      <c r="AT1087" s="200"/>
      <c r="AU1087" s="200"/>
      <c r="AV1087" s="200"/>
      <c r="AW1087" s="200"/>
      <c r="AX1087" s="200"/>
      <c r="AY1087" s="200"/>
      <c r="AZ1087" s="200"/>
      <c r="BA1087" s="200"/>
      <c r="BB1087" s="200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</row>
    <row r="1088" spans="1:71" ht="13.8">
      <c r="A1088" s="1"/>
      <c r="B1088" s="1"/>
      <c r="C1088" s="200"/>
      <c r="D1088" s="200"/>
      <c r="E1088" s="200"/>
      <c r="F1088" s="200"/>
      <c r="G1088" s="200"/>
      <c r="H1088" s="200"/>
      <c r="I1088" s="200"/>
      <c r="J1088" s="200"/>
      <c r="K1088" s="200"/>
      <c r="L1088" s="200"/>
      <c r="M1088" s="200"/>
      <c r="N1088" s="200"/>
      <c r="O1088" s="200"/>
      <c r="P1088" s="200"/>
      <c r="Q1088" s="200"/>
      <c r="R1088" s="200"/>
      <c r="S1088" s="200"/>
      <c r="T1088" s="200"/>
      <c r="U1088" s="200"/>
      <c r="V1088" s="200"/>
      <c r="W1088" s="200"/>
      <c r="X1088" s="200"/>
      <c r="Y1088" s="200"/>
      <c r="Z1088" s="200"/>
      <c r="AA1088" s="200"/>
      <c r="AB1088" s="200"/>
      <c r="AC1088" s="200"/>
      <c r="AD1088" s="200"/>
      <c r="AE1088" s="200"/>
      <c r="AF1088" s="200"/>
      <c r="AG1088" s="200"/>
      <c r="AH1088" s="200"/>
      <c r="AI1088" s="200"/>
      <c r="AJ1088" s="200"/>
      <c r="AK1088" s="200"/>
      <c r="AL1088" s="200"/>
      <c r="AM1088" s="200"/>
      <c r="AN1088" s="200"/>
      <c r="AO1088" s="200"/>
      <c r="AP1088" s="200"/>
      <c r="AQ1088" s="200"/>
      <c r="AR1088" s="200"/>
      <c r="AS1088" s="200"/>
      <c r="AT1088" s="200"/>
      <c r="AU1088" s="200"/>
      <c r="AV1088" s="200"/>
      <c r="AW1088" s="200"/>
      <c r="AX1088" s="200"/>
      <c r="AY1088" s="200"/>
      <c r="AZ1088" s="200"/>
      <c r="BA1088" s="200"/>
      <c r="BB1088" s="200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</row>
    <row r="1089" spans="1:71" ht="13.8">
      <c r="A1089" s="1"/>
      <c r="B1089" s="1"/>
      <c r="C1089" s="200"/>
      <c r="D1089" s="200"/>
      <c r="E1089" s="200"/>
      <c r="F1089" s="200"/>
      <c r="G1089" s="200"/>
      <c r="H1089" s="200"/>
      <c r="I1089" s="200"/>
      <c r="J1089" s="200"/>
      <c r="K1089" s="200"/>
      <c r="L1089" s="200"/>
      <c r="M1089" s="200"/>
      <c r="N1089" s="200"/>
      <c r="O1089" s="200"/>
      <c r="P1089" s="200"/>
      <c r="Q1089" s="200"/>
      <c r="R1089" s="200"/>
      <c r="S1089" s="200"/>
      <c r="T1089" s="200"/>
      <c r="U1089" s="200"/>
      <c r="V1089" s="200"/>
      <c r="W1089" s="200"/>
      <c r="X1089" s="200"/>
      <c r="Y1089" s="200"/>
      <c r="Z1089" s="200"/>
      <c r="AA1089" s="200"/>
      <c r="AB1089" s="200"/>
      <c r="AC1089" s="200"/>
      <c r="AD1089" s="200"/>
      <c r="AE1089" s="200"/>
      <c r="AF1089" s="200"/>
      <c r="AG1089" s="200"/>
      <c r="AH1089" s="200"/>
      <c r="AI1089" s="200"/>
      <c r="AJ1089" s="200"/>
      <c r="AK1089" s="200"/>
      <c r="AL1089" s="200"/>
      <c r="AM1089" s="200"/>
      <c r="AN1089" s="200"/>
      <c r="AO1089" s="200"/>
      <c r="AP1089" s="200"/>
      <c r="AQ1089" s="200"/>
      <c r="AR1089" s="200"/>
      <c r="AS1089" s="200"/>
      <c r="AT1089" s="200"/>
      <c r="AU1089" s="200"/>
      <c r="AV1089" s="200"/>
      <c r="AW1089" s="200"/>
      <c r="AX1089" s="200"/>
      <c r="AY1089" s="200"/>
      <c r="AZ1089" s="200"/>
      <c r="BA1089" s="200"/>
      <c r="BB1089" s="200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</row>
    <row r="1090" spans="1:71" ht="13.8">
      <c r="A1090" s="1"/>
      <c r="B1090" s="1"/>
      <c r="C1090" s="200"/>
      <c r="D1090" s="200"/>
      <c r="E1090" s="200"/>
      <c r="F1090" s="200"/>
      <c r="G1090" s="200"/>
      <c r="H1090" s="200"/>
      <c r="I1090" s="200"/>
      <c r="J1090" s="200"/>
      <c r="K1090" s="200"/>
      <c r="L1090" s="200"/>
      <c r="M1090" s="200"/>
      <c r="N1090" s="200"/>
      <c r="O1090" s="200"/>
      <c r="P1090" s="200"/>
      <c r="Q1090" s="200"/>
      <c r="R1090" s="200"/>
      <c r="S1090" s="200"/>
      <c r="T1090" s="200"/>
      <c r="U1090" s="200"/>
      <c r="V1090" s="200"/>
      <c r="W1090" s="200"/>
      <c r="X1090" s="200"/>
      <c r="Y1090" s="200"/>
      <c r="Z1090" s="200"/>
      <c r="AA1090" s="200"/>
      <c r="AB1090" s="200"/>
      <c r="AC1090" s="200"/>
      <c r="AD1090" s="200"/>
      <c r="AE1090" s="200"/>
      <c r="AF1090" s="200"/>
      <c r="AG1090" s="200"/>
      <c r="AH1090" s="200"/>
      <c r="AI1090" s="200"/>
      <c r="AJ1090" s="200"/>
      <c r="AK1090" s="200"/>
      <c r="AL1090" s="200"/>
      <c r="AM1090" s="200"/>
      <c r="AN1090" s="200"/>
      <c r="AO1090" s="200"/>
      <c r="AP1090" s="200"/>
      <c r="AQ1090" s="200"/>
      <c r="AR1090" s="200"/>
      <c r="AS1090" s="200"/>
      <c r="AT1090" s="200"/>
      <c r="AU1090" s="200"/>
      <c r="AV1090" s="200"/>
      <c r="AW1090" s="200"/>
      <c r="AX1090" s="200"/>
      <c r="AY1090" s="200"/>
      <c r="AZ1090" s="200"/>
      <c r="BA1090" s="200"/>
      <c r="BB1090" s="200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</row>
    <row r="1091" spans="1:71" ht="13.8">
      <c r="A1091" s="1"/>
      <c r="B1091" s="1"/>
      <c r="C1091" s="200"/>
      <c r="D1091" s="200"/>
      <c r="E1091" s="200"/>
      <c r="F1091" s="200"/>
      <c r="G1091" s="200"/>
      <c r="H1091" s="200"/>
      <c r="I1091" s="200"/>
      <c r="J1091" s="200"/>
      <c r="K1091" s="200"/>
      <c r="L1091" s="200"/>
      <c r="M1091" s="200"/>
      <c r="N1091" s="200"/>
      <c r="O1091" s="200"/>
      <c r="P1091" s="200"/>
      <c r="Q1091" s="200"/>
      <c r="R1091" s="200"/>
      <c r="S1091" s="200"/>
      <c r="T1091" s="200"/>
      <c r="U1091" s="200"/>
      <c r="V1091" s="200"/>
      <c r="W1091" s="200"/>
      <c r="X1091" s="200"/>
      <c r="Y1091" s="200"/>
      <c r="Z1091" s="200"/>
      <c r="AA1091" s="200"/>
      <c r="AB1091" s="200"/>
      <c r="AC1091" s="200"/>
      <c r="AD1091" s="200"/>
      <c r="AE1091" s="200"/>
      <c r="AF1091" s="200"/>
      <c r="AG1091" s="200"/>
      <c r="AH1091" s="200"/>
      <c r="AI1091" s="200"/>
      <c r="AJ1091" s="200"/>
      <c r="AK1091" s="200"/>
      <c r="AL1091" s="200"/>
      <c r="AM1091" s="200"/>
      <c r="AN1091" s="200"/>
      <c r="AO1091" s="200"/>
      <c r="AP1091" s="200"/>
      <c r="AQ1091" s="200"/>
      <c r="AR1091" s="200"/>
      <c r="AS1091" s="200"/>
      <c r="AT1091" s="200"/>
      <c r="AU1091" s="200"/>
      <c r="AV1091" s="200"/>
      <c r="AW1091" s="200"/>
      <c r="AX1091" s="200"/>
      <c r="AY1091" s="200"/>
      <c r="AZ1091" s="200"/>
      <c r="BA1091" s="200"/>
      <c r="BB1091" s="200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</row>
    <row r="1092" spans="1:71" ht="13.8">
      <c r="A1092" s="1"/>
      <c r="B1092" s="1"/>
      <c r="C1092" s="200"/>
      <c r="D1092" s="200"/>
      <c r="E1092" s="200"/>
      <c r="F1092" s="200"/>
      <c r="G1092" s="200"/>
      <c r="H1092" s="200"/>
      <c r="I1092" s="200"/>
      <c r="J1092" s="200"/>
      <c r="K1092" s="200"/>
      <c r="L1092" s="200"/>
      <c r="M1092" s="200"/>
      <c r="N1092" s="200"/>
      <c r="O1092" s="200"/>
      <c r="P1092" s="200"/>
      <c r="Q1092" s="200"/>
      <c r="R1092" s="200"/>
      <c r="S1092" s="200"/>
      <c r="T1092" s="200"/>
      <c r="U1092" s="200"/>
      <c r="V1092" s="200"/>
      <c r="W1092" s="200"/>
      <c r="X1092" s="200"/>
      <c r="Y1092" s="200"/>
      <c r="Z1092" s="200"/>
      <c r="AA1092" s="200"/>
      <c r="AB1092" s="200"/>
      <c r="AC1092" s="200"/>
      <c r="AD1092" s="200"/>
      <c r="AE1092" s="200"/>
      <c r="AF1092" s="200"/>
      <c r="AG1092" s="200"/>
      <c r="AH1092" s="200"/>
      <c r="AI1092" s="200"/>
      <c r="AJ1092" s="200"/>
      <c r="AK1092" s="200"/>
      <c r="AL1092" s="200"/>
      <c r="AM1092" s="200"/>
      <c r="AN1092" s="200"/>
      <c r="AO1092" s="200"/>
      <c r="AP1092" s="200"/>
      <c r="AQ1092" s="200"/>
      <c r="AR1092" s="200"/>
      <c r="AS1092" s="200"/>
      <c r="AT1092" s="200"/>
      <c r="AU1092" s="200"/>
      <c r="AV1092" s="200"/>
      <c r="AW1092" s="200"/>
      <c r="AX1092" s="200"/>
      <c r="AY1092" s="200"/>
      <c r="AZ1092" s="200"/>
      <c r="BA1092" s="200"/>
      <c r="BB1092" s="200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</row>
    <row r="1093" spans="1:71" ht="13.8">
      <c r="A1093" s="1"/>
      <c r="B1093" s="1"/>
      <c r="C1093" s="200"/>
      <c r="D1093" s="200"/>
      <c r="E1093" s="200"/>
      <c r="F1093" s="200"/>
      <c r="G1093" s="200"/>
      <c r="H1093" s="200"/>
      <c r="I1093" s="200"/>
      <c r="J1093" s="200"/>
      <c r="K1093" s="200"/>
      <c r="L1093" s="200"/>
      <c r="M1093" s="200"/>
      <c r="N1093" s="200"/>
      <c r="O1093" s="200"/>
      <c r="P1093" s="200"/>
      <c r="Q1093" s="200"/>
      <c r="R1093" s="200"/>
      <c r="S1093" s="200"/>
      <c r="T1093" s="200"/>
      <c r="U1093" s="200"/>
      <c r="V1093" s="200"/>
      <c r="W1093" s="200"/>
      <c r="X1093" s="200"/>
      <c r="Y1093" s="200"/>
      <c r="Z1093" s="200"/>
      <c r="AA1093" s="200"/>
      <c r="AB1093" s="200"/>
      <c r="AC1093" s="200"/>
      <c r="AD1093" s="200"/>
      <c r="AE1093" s="200"/>
      <c r="AF1093" s="200"/>
      <c r="AG1093" s="200"/>
      <c r="AH1093" s="200"/>
      <c r="AI1093" s="200"/>
      <c r="AJ1093" s="200"/>
      <c r="AK1093" s="200"/>
      <c r="AL1093" s="200"/>
      <c r="AM1093" s="200"/>
      <c r="AN1093" s="200"/>
      <c r="AO1093" s="200"/>
      <c r="AP1093" s="200"/>
      <c r="AQ1093" s="200"/>
      <c r="AR1093" s="200"/>
      <c r="AS1093" s="200"/>
      <c r="AT1093" s="200"/>
      <c r="AU1093" s="200"/>
      <c r="AV1093" s="200"/>
      <c r="AW1093" s="200"/>
      <c r="AX1093" s="200"/>
      <c r="AY1093" s="200"/>
      <c r="AZ1093" s="200"/>
      <c r="BA1093" s="200"/>
      <c r="BB1093" s="200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</row>
    <row r="1094" spans="1:71" ht="13.8">
      <c r="A1094" s="1"/>
      <c r="B1094" s="1"/>
      <c r="C1094" s="200"/>
      <c r="D1094" s="200"/>
      <c r="E1094" s="200"/>
      <c r="F1094" s="200"/>
      <c r="G1094" s="200"/>
      <c r="H1094" s="200"/>
      <c r="I1094" s="200"/>
      <c r="J1094" s="200"/>
      <c r="K1094" s="200"/>
      <c r="L1094" s="200"/>
      <c r="M1094" s="200"/>
      <c r="N1094" s="200"/>
      <c r="O1094" s="200"/>
      <c r="P1094" s="200"/>
      <c r="Q1094" s="200"/>
      <c r="R1094" s="200"/>
      <c r="S1094" s="200"/>
      <c r="T1094" s="200"/>
      <c r="U1094" s="200"/>
      <c r="V1094" s="200"/>
      <c r="W1094" s="200"/>
      <c r="X1094" s="200"/>
      <c r="Y1094" s="200"/>
      <c r="Z1094" s="200"/>
      <c r="AA1094" s="200"/>
      <c r="AB1094" s="200"/>
      <c r="AC1094" s="200"/>
      <c r="AD1094" s="200"/>
      <c r="AE1094" s="200"/>
      <c r="AF1094" s="200"/>
      <c r="AG1094" s="200"/>
      <c r="AH1094" s="200"/>
      <c r="AI1094" s="200"/>
      <c r="AJ1094" s="200"/>
      <c r="AK1094" s="200"/>
      <c r="AL1094" s="200"/>
      <c r="AM1094" s="200"/>
      <c r="AN1094" s="200"/>
      <c r="AO1094" s="200"/>
      <c r="AP1094" s="200"/>
      <c r="AQ1094" s="200"/>
      <c r="AR1094" s="200"/>
      <c r="AS1094" s="200"/>
      <c r="AT1094" s="200"/>
      <c r="AU1094" s="200"/>
      <c r="AV1094" s="200"/>
      <c r="AW1094" s="200"/>
      <c r="AX1094" s="200"/>
      <c r="AY1094" s="200"/>
      <c r="AZ1094" s="200"/>
      <c r="BA1094" s="200"/>
      <c r="BB1094" s="200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</row>
    <row r="1095" spans="1:71" ht="13.8">
      <c r="A1095" s="1"/>
      <c r="B1095" s="1"/>
      <c r="C1095" s="200"/>
      <c r="D1095" s="200"/>
      <c r="E1095" s="200"/>
      <c r="F1095" s="200"/>
      <c r="G1095" s="200"/>
      <c r="H1095" s="200"/>
      <c r="I1095" s="200"/>
      <c r="J1095" s="200"/>
      <c r="K1095" s="200"/>
      <c r="L1095" s="200"/>
      <c r="M1095" s="200"/>
      <c r="N1095" s="200"/>
      <c r="O1095" s="200"/>
      <c r="P1095" s="200"/>
      <c r="Q1095" s="200"/>
      <c r="R1095" s="200"/>
      <c r="S1095" s="200"/>
      <c r="T1095" s="200"/>
      <c r="U1095" s="200"/>
      <c r="V1095" s="200"/>
      <c r="W1095" s="200"/>
      <c r="X1095" s="200"/>
      <c r="Y1095" s="200"/>
      <c r="Z1095" s="200"/>
      <c r="AA1095" s="200"/>
      <c r="AB1095" s="200"/>
      <c r="AC1095" s="200"/>
      <c r="AD1095" s="200"/>
      <c r="AE1095" s="200"/>
      <c r="AF1095" s="200"/>
      <c r="AG1095" s="200"/>
      <c r="AH1095" s="200"/>
      <c r="AI1095" s="200"/>
      <c r="AJ1095" s="200"/>
      <c r="AK1095" s="200"/>
      <c r="AL1095" s="200"/>
      <c r="AM1095" s="200"/>
      <c r="AN1095" s="200"/>
      <c r="AO1095" s="200"/>
      <c r="AP1095" s="200"/>
      <c r="AQ1095" s="200"/>
      <c r="AR1095" s="200"/>
      <c r="AS1095" s="200"/>
      <c r="AT1095" s="200"/>
      <c r="AU1095" s="200"/>
      <c r="AV1095" s="200"/>
      <c r="AW1095" s="200"/>
      <c r="AX1095" s="200"/>
      <c r="AY1095" s="200"/>
      <c r="AZ1095" s="200"/>
      <c r="BA1095" s="200"/>
      <c r="BB1095" s="200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</row>
    <row r="1096" spans="1:71" ht="13.8">
      <c r="A1096" s="1"/>
      <c r="B1096" s="1"/>
      <c r="C1096" s="200"/>
      <c r="D1096" s="200"/>
      <c r="E1096" s="200"/>
      <c r="F1096" s="200"/>
      <c r="G1096" s="200"/>
      <c r="H1096" s="200"/>
      <c r="I1096" s="200"/>
      <c r="J1096" s="200"/>
      <c r="K1096" s="200"/>
      <c r="L1096" s="200"/>
      <c r="M1096" s="200"/>
      <c r="N1096" s="200"/>
      <c r="O1096" s="200"/>
      <c r="P1096" s="200"/>
      <c r="Q1096" s="200"/>
      <c r="R1096" s="200"/>
      <c r="S1096" s="200"/>
      <c r="T1096" s="200"/>
      <c r="U1096" s="200"/>
      <c r="V1096" s="200"/>
      <c r="W1096" s="200"/>
      <c r="X1096" s="200"/>
      <c r="Y1096" s="200"/>
      <c r="Z1096" s="200"/>
      <c r="AA1096" s="200"/>
      <c r="AB1096" s="200"/>
      <c r="AC1096" s="200"/>
      <c r="AD1096" s="200"/>
      <c r="AE1096" s="200"/>
      <c r="AF1096" s="200"/>
      <c r="AG1096" s="200"/>
      <c r="AH1096" s="200"/>
      <c r="AI1096" s="200"/>
      <c r="AJ1096" s="200"/>
      <c r="AK1096" s="200"/>
      <c r="AL1096" s="200"/>
      <c r="AM1096" s="200"/>
      <c r="AN1096" s="200"/>
      <c r="AO1096" s="200"/>
      <c r="AP1096" s="200"/>
      <c r="AQ1096" s="200"/>
      <c r="AR1096" s="200"/>
      <c r="AS1096" s="200"/>
      <c r="AT1096" s="200"/>
      <c r="AU1096" s="200"/>
      <c r="AV1096" s="200"/>
      <c r="AW1096" s="200"/>
      <c r="AX1096" s="200"/>
      <c r="AY1096" s="200"/>
      <c r="AZ1096" s="200"/>
      <c r="BA1096" s="200"/>
      <c r="BB1096" s="200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</row>
    <row r="1097" spans="1:71" ht="13.8">
      <c r="A1097" s="1"/>
      <c r="B1097" s="1"/>
      <c r="C1097" s="200"/>
      <c r="D1097" s="200"/>
      <c r="E1097" s="200"/>
      <c r="F1097" s="200"/>
      <c r="G1097" s="200"/>
      <c r="H1097" s="200"/>
      <c r="I1097" s="200"/>
      <c r="J1097" s="200"/>
      <c r="K1097" s="200"/>
      <c r="L1097" s="200"/>
      <c r="M1097" s="200"/>
      <c r="N1097" s="200"/>
      <c r="O1097" s="200"/>
      <c r="P1097" s="200"/>
      <c r="Q1097" s="200"/>
      <c r="R1097" s="200"/>
      <c r="S1097" s="200"/>
      <c r="T1097" s="200"/>
      <c r="U1097" s="200"/>
      <c r="V1097" s="200"/>
      <c r="W1097" s="200"/>
      <c r="X1097" s="200"/>
      <c r="Y1097" s="200"/>
      <c r="Z1097" s="200"/>
      <c r="AA1097" s="200"/>
      <c r="AB1097" s="200"/>
      <c r="AC1097" s="200"/>
      <c r="AD1097" s="200"/>
      <c r="AE1097" s="200"/>
      <c r="AF1097" s="200"/>
      <c r="AG1097" s="200"/>
      <c r="AH1097" s="200"/>
      <c r="AI1097" s="200"/>
      <c r="AJ1097" s="200"/>
      <c r="AK1097" s="200"/>
      <c r="AL1097" s="200"/>
      <c r="AM1097" s="200"/>
      <c r="AN1097" s="200"/>
      <c r="AO1097" s="200"/>
      <c r="AP1097" s="200"/>
      <c r="AQ1097" s="200"/>
      <c r="AR1097" s="200"/>
      <c r="AS1097" s="200"/>
      <c r="AT1097" s="200"/>
      <c r="AU1097" s="200"/>
      <c r="AV1097" s="200"/>
      <c r="AW1097" s="200"/>
      <c r="AX1097" s="200"/>
      <c r="AY1097" s="200"/>
      <c r="AZ1097" s="200"/>
      <c r="BA1097" s="200"/>
      <c r="BB1097" s="200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</row>
    <row r="1098" spans="1:71" ht="13.8">
      <c r="A1098" s="1"/>
      <c r="B1098" s="1"/>
      <c r="C1098" s="200"/>
      <c r="D1098" s="200"/>
      <c r="E1098" s="200"/>
      <c r="F1098" s="200"/>
      <c r="G1098" s="200"/>
      <c r="H1098" s="200"/>
      <c r="I1098" s="200"/>
      <c r="J1098" s="200"/>
      <c r="K1098" s="200"/>
      <c r="L1098" s="200"/>
      <c r="M1098" s="200"/>
      <c r="N1098" s="200"/>
      <c r="O1098" s="200"/>
      <c r="P1098" s="200"/>
      <c r="Q1098" s="200"/>
      <c r="R1098" s="200"/>
      <c r="S1098" s="200"/>
      <c r="T1098" s="200"/>
      <c r="U1098" s="200"/>
      <c r="V1098" s="200"/>
      <c r="W1098" s="200"/>
      <c r="X1098" s="200"/>
      <c r="Y1098" s="200"/>
      <c r="Z1098" s="200"/>
      <c r="AA1098" s="200"/>
      <c r="AB1098" s="200"/>
      <c r="AC1098" s="200"/>
      <c r="AD1098" s="200"/>
      <c r="AE1098" s="200"/>
      <c r="AF1098" s="200"/>
      <c r="AG1098" s="200"/>
      <c r="AH1098" s="200"/>
      <c r="AI1098" s="200"/>
      <c r="AJ1098" s="200"/>
      <c r="AK1098" s="200"/>
      <c r="AL1098" s="200"/>
      <c r="AM1098" s="200"/>
      <c r="AN1098" s="200"/>
      <c r="AO1098" s="200"/>
      <c r="AP1098" s="200"/>
      <c r="AQ1098" s="200"/>
      <c r="AR1098" s="200"/>
      <c r="AS1098" s="200"/>
      <c r="AT1098" s="200"/>
      <c r="AU1098" s="200"/>
      <c r="AV1098" s="200"/>
      <c r="AW1098" s="200"/>
      <c r="AX1098" s="200"/>
      <c r="AY1098" s="200"/>
      <c r="AZ1098" s="200"/>
      <c r="BA1098" s="200"/>
      <c r="BB1098" s="200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</row>
  </sheetData>
  <mergeCells count="4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M1"/>
    <mergeCell ref="N1:P1"/>
    <mergeCell ref="Q1:S1"/>
    <mergeCell ref="T1:T2"/>
    <mergeCell ref="V1:V2"/>
    <mergeCell ref="W1:Y1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R191:AT191"/>
    <mergeCell ref="AZ1:AZ2"/>
    <mergeCell ref="BA1:BA2"/>
    <mergeCell ref="BB1:BB2"/>
    <mergeCell ref="AS1:AS2"/>
    <mergeCell ref="AT1:AT2"/>
    <mergeCell ref="AU1:AU2"/>
    <mergeCell ref="AV1:AV2"/>
    <mergeCell ref="AW1:AW2"/>
    <mergeCell ref="AX1:AX2"/>
    <mergeCell ref="AY1:AY2"/>
  </mergeCells>
  <pageMargins left="0.7" right="0.7" top="0.75" bottom="0.75" header="0.3" footer="0.3"/>
  <tableParts count="3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FF"/>
    <outlinePr summaryBelow="0" summaryRight="0"/>
  </sheetPr>
  <dimension ref="A1:BR10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/>
  <cols>
    <col min="1" max="1" width="16.21875" customWidth="1"/>
    <col min="2" max="2" width="32.88671875" customWidth="1"/>
    <col min="3" max="3" width="17.21875" customWidth="1"/>
    <col min="4" max="4" width="33.33203125" customWidth="1"/>
    <col min="5" max="7" width="9" customWidth="1"/>
    <col min="8" max="8" width="9.33203125" customWidth="1"/>
    <col min="9" max="9" width="19.77734375" customWidth="1"/>
    <col min="10" max="10" width="12.88671875" customWidth="1"/>
    <col min="11" max="11" width="9.21875" customWidth="1"/>
    <col min="12" max="16" width="9.6640625" customWidth="1"/>
    <col min="17" max="26" width="8.44140625" customWidth="1"/>
    <col min="27" max="30" width="9.6640625" customWidth="1"/>
    <col min="31" max="32" width="8.44140625" customWidth="1"/>
    <col min="33" max="33" width="9.6640625" customWidth="1"/>
    <col min="34" max="34" width="8.44140625" customWidth="1"/>
    <col min="35" max="36" width="10.77734375" customWidth="1"/>
    <col min="37" max="37" width="12.21875" customWidth="1"/>
    <col min="38" max="38" width="8.33203125" customWidth="1"/>
    <col min="39" max="40" width="10.44140625" customWidth="1"/>
    <col min="41" max="45" width="9.6640625" customWidth="1"/>
    <col min="46" max="46" width="9.109375" customWidth="1"/>
    <col min="47" max="47" width="9.77734375" customWidth="1"/>
    <col min="48" max="48" width="9.88671875" customWidth="1"/>
    <col min="49" max="49" width="9.77734375" customWidth="1"/>
    <col min="50" max="50" width="8.6640625" customWidth="1"/>
    <col min="51" max="51" width="10.6640625" customWidth="1"/>
    <col min="52" max="52" width="11.77734375" customWidth="1"/>
    <col min="53" max="53" width="8.33203125" customWidth="1"/>
  </cols>
  <sheetData>
    <row r="1" spans="1:70" ht="47.25" customHeight="1">
      <c r="A1" s="452" t="s">
        <v>0</v>
      </c>
      <c r="B1" s="464"/>
      <c r="C1" s="452" t="s">
        <v>1</v>
      </c>
      <c r="D1" s="452" t="s">
        <v>2</v>
      </c>
      <c r="E1" s="452" t="s">
        <v>3</v>
      </c>
      <c r="F1" s="452" t="s">
        <v>4</v>
      </c>
      <c r="G1" s="452" t="s">
        <v>5</v>
      </c>
      <c r="H1" s="452" t="s">
        <v>6</v>
      </c>
      <c r="I1" s="452" t="s">
        <v>7</v>
      </c>
      <c r="J1" s="452" t="s">
        <v>8</v>
      </c>
      <c r="K1" s="463" t="s">
        <v>9</v>
      </c>
      <c r="L1" s="461"/>
      <c r="M1" s="462"/>
      <c r="N1" s="460" t="s">
        <v>10</v>
      </c>
      <c r="O1" s="461"/>
      <c r="P1" s="462"/>
      <c r="Q1" s="460" t="s">
        <v>11</v>
      </c>
      <c r="R1" s="461"/>
      <c r="S1" s="462"/>
      <c r="T1" s="452" t="s">
        <v>210</v>
      </c>
      <c r="U1" s="338" t="s">
        <v>235</v>
      </c>
      <c r="V1" s="452" t="s">
        <v>12</v>
      </c>
      <c r="W1" s="460" t="s">
        <v>13</v>
      </c>
      <c r="X1" s="461"/>
      <c r="Y1" s="462"/>
      <c r="Z1" s="452" t="s">
        <v>236</v>
      </c>
      <c r="AA1" s="452" t="s">
        <v>237</v>
      </c>
      <c r="AB1" s="452" t="s">
        <v>267</v>
      </c>
      <c r="AC1" s="452" t="s">
        <v>199</v>
      </c>
      <c r="AD1" s="452" t="s">
        <v>239</v>
      </c>
      <c r="AE1" s="452" t="s">
        <v>211</v>
      </c>
      <c r="AF1" s="459" t="s">
        <v>14</v>
      </c>
      <c r="AG1" s="452" t="s">
        <v>15</v>
      </c>
      <c r="AH1" s="452" t="s">
        <v>268</v>
      </c>
      <c r="AI1" s="452" t="s">
        <v>269</v>
      </c>
      <c r="AJ1" s="457" t="s">
        <v>18</v>
      </c>
      <c r="AK1" s="458" t="s">
        <v>19</v>
      </c>
      <c r="AL1" s="455" t="s">
        <v>270</v>
      </c>
      <c r="AM1" s="455" t="s">
        <v>200</v>
      </c>
      <c r="AN1" s="455" t="s">
        <v>212</v>
      </c>
      <c r="AO1" s="455" t="s">
        <v>201</v>
      </c>
      <c r="AP1" s="455" t="s">
        <v>213</v>
      </c>
      <c r="AQ1" s="455" t="s">
        <v>271</v>
      </c>
      <c r="AR1" s="455" t="s">
        <v>272</v>
      </c>
      <c r="AS1" s="455" t="s">
        <v>234</v>
      </c>
      <c r="AT1" s="456" t="s">
        <v>20</v>
      </c>
      <c r="AU1" s="456" t="s">
        <v>21</v>
      </c>
      <c r="AV1" s="452" t="s">
        <v>22</v>
      </c>
      <c r="AW1" s="452" t="s">
        <v>23</v>
      </c>
      <c r="AX1" s="452" t="s">
        <v>24</v>
      </c>
      <c r="AY1" s="452" t="s">
        <v>25</v>
      </c>
      <c r="AZ1" s="454" t="s">
        <v>26</v>
      </c>
      <c r="BA1" s="452" t="s">
        <v>27</v>
      </c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60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2" t="s">
        <v>28</v>
      </c>
      <c r="L2" s="2" t="s">
        <v>29</v>
      </c>
      <c r="M2" s="2" t="s">
        <v>30</v>
      </c>
      <c r="N2" s="2" t="s">
        <v>28</v>
      </c>
      <c r="O2" s="2" t="s">
        <v>29</v>
      </c>
      <c r="P2" s="2" t="s">
        <v>30</v>
      </c>
      <c r="Q2" s="2" t="s">
        <v>28</v>
      </c>
      <c r="R2" s="2" t="s">
        <v>29</v>
      </c>
      <c r="S2" s="2" t="s">
        <v>30</v>
      </c>
      <c r="T2" s="453"/>
      <c r="U2" s="360"/>
      <c r="V2" s="453"/>
      <c r="W2" s="2" t="s">
        <v>28</v>
      </c>
      <c r="X2" s="2" t="s">
        <v>29</v>
      </c>
      <c r="Y2" s="2" t="s">
        <v>30</v>
      </c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  <c r="BA2" s="453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 ht="13.8">
      <c r="A3" s="3"/>
      <c r="B3" s="3" t="s">
        <v>31</v>
      </c>
      <c r="C3" s="4">
        <v>1</v>
      </c>
      <c r="D3" s="5">
        <f t="shared" ref="D3:I3" si="0">C3+1</f>
        <v>2</v>
      </c>
      <c r="E3" s="5">
        <f t="shared" si="0"/>
        <v>3</v>
      </c>
      <c r="F3" s="5">
        <f t="shared" si="0"/>
        <v>4</v>
      </c>
      <c r="G3" s="5">
        <f t="shared" si="0"/>
        <v>5</v>
      </c>
      <c r="H3" s="5">
        <f t="shared" si="0"/>
        <v>6</v>
      </c>
      <c r="I3" s="5">
        <f t="shared" si="0"/>
        <v>7</v>
      </c>
      <c r="J3" s="5"/>
      <c r="K3" s="5">
        <f>I3+1</f>
        <v>8</v>
      </c>
      <c r="L3" s="5">
        <f t="shared" ref="L3:S3" si="1">K3+1</f>
        <v>9</v>
      </c>
      <c r="M3" s="5">
        <f t="shared" si="1"/>
        <v>10</v>
      </c>
      <c r="N3" s="5">
        <f t="shared" si="1"/>
        <v>11</v>
      </c>
      <c r="O3" s="5">
        <f t="shared" si="1"/>
        <v>12</v>
      </c>
      <c r="P3" s="5">
        <f t="shared" si="1"/>
        <v>13</v>
      </c>
      <c r="Q3" s="5">
        <f t="shared" si="1"/>
        <v>14</v>
      </c>
      <c r="R3" s="5">
        <f t="shared" si="1"/>
        <v>15</v>
      </c>
      <c r="S3" s="5">
        <f t="shared" si="1"/>
        <v>16</v>
      </c>
      <c r="T3" s="5"/>
      <c r="U3" s="5"/>
      <c r="V3" s="5">
        <f>S3+1</f>
        <v>17</v>
      </c>
      <c r="W3" s="5">
        <f t="shared" ref="W3:Z3" si="2">V3+1</f>
        <v>18</v>
      </c>
      <c r="X3" s="5">
        <f t="shared" si="2"/>
        <v>19</v>
      </c>
      <c r="Y3" s="5">
        <f t="shared" si="2"/>
        <v>20</v>
      </c>
      <c r="Z3" s="5">
        <f t="shared" si="2"/>
        <v>21</v>
      </c>
      <c r="AA3" s="5"/>
      <c r="AB3" s="5"/>
      <c r="AC3" s="5">
        <f>Z3+1</f>
        <v>22</v>
      </c>
      <c r="AD3" s="5">
        <f t="shared" ref="AD3:BB3" si="3">AC3+1</f>
        <v>23</v>
      </c>
      <c r="AE3" s="5">
        <f t="shared" si="3"/>
        <v>24</v>
      </c>
      <c r="AF3" s="5">
        <f t="shared" si="3"/>
        <v>25</v>
      </c>
      <c r="AG3" s="5">
        <f t="shared" si="3"/>
        <v>26</v>
      </c>
      <c r="AH3" s="5">
        <f t="shared" si="3"/>
        <v>27</v>
      </c>
      <c r="AI3" s="5">
        <f t="shared" si="3"/>
        <v>28</v>
      </c>
      <c r="AJ3" s="5">
        <f t="shared" si="3"/>
        <v>29</v>
      </c>
      <c r="AK3" s="5">
        <f t="shared" si="3"/>
        <v>30</v>
      </c>
      <c r="AL3" s="5">
        <f t="shared" si="3"/>
        <v>31</v>
      </c>
      <c r="AM3" s="5">
        <f t="shared" si="3"/>
        <v>32</v>
      </c>
      <c r="AN3" s="5">
        <f t="shared" si="3"/>
        <v>33</v>
      </c>
      <c r="AO3" s="5">
        <f t="shared" si="3"/>
        <v>34</v>
      </c>
      <c r="AP3" s="5">
        <f t="shared" si="3"/>
        <v>35</v>
      </c>
      <c r="AQ3" s="5">
        <f t="shared" si="3"/>
        <v>36</v>
      </c>
      <c r="AR3" s="5">
        <f t="shared" si="3"/>
        <v>37</v>
      </c>
      <c r="AS3" s="5">
        <f t="shared" si="3"/>
        <v>38</v>
      </c>
      <c r="AT3" s="5">
        <f t="shared" si="3"/>
        <v>39</v>
      </c>
      <c r="AU3" s="5">
        <f t="shared" si="3"/>
        <v>40</v>
      </c>
      <c r="AV3" s="5">
        <f t="shared" si="3"/>
        <v>41</v>
      </c>
      <c r="AW3" s="5">
        <f t="shared" si="3"/>
        <v>42</v>
      </c>
      <c r="AX3" s="5">
        <f t="shared" si="3"/>
        <v>43</v>
      </c>
      <c r="AY3" s="5">
        <f t="shared" si="3"/>
        <v>44</v>
      </c>
      <c r="AZ3" s="5">
        <f t="shared" si="3"/>
        <v>45</v>
      </c>
      <c r="BA3" s="5">
        <f t="shared" si="3"/>
        <v>46</v>
      </c>
      <c r="BB3" s="5">
        <f t="shared" si="3"/>
        <v>47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 ht="13.8">
      <c r="A4" s="6"/>
      <c r="B4" s="7" t="s">
        <v>32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9"/>
      <c r="AY4" s="10"/>
      <c r="AZ4" s="11"/>
      <c r="BA4" s="10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 ht="21.75" customHeight="1">
      <c r="A5" s="54" t="s">
        <v>33</v>
      </c>
      <c r="B5" s="70" t="s">
        <v>43</v>
      </c>
      <c r="C5" s="13" t="s">
        <v>35</v>
      </c>
      <c r="D5" s="13" t="s">
        <v>36</v>
      </c>
      <c r="E5" s="13">
        <v>15000</v>
      </c>
      <c r="F5" s="305">
        <v>46054</v>
      </c>
      <c r="G5" s="17">
        <f>E5/2</f>
        <v>7500</v>
      </c>
      <c r="H5" s="16">
        <v>22</v>
      </c>
      <c r="I5" s="15" t="s">
        <v>41</v>
      </c>
      <c r="J5" s="17"/>
      <c r="K5" s="17"/>
      <c r="L5" s="17"/>
      <c r="M5" s="15">
        <f t="shared" ref="M5:M10" si="4">K5*L5</f>
        <v>0</v>
      </c>
      <c r="N5" s="18"/>
      <c r="O5" s="15"/>
      <c r="P5" s="19">
        <f t="shared" ref="P5:P10" si="5">N5*O5</f>
        <v>0</v>
      </c>
      <c r="Q5" s="16"/>
      <c r="R5" s="17"/>
      <c r="S5" s="19">
        <f t="shared" ref="S5:S10" si="6">Q5*R5</f>
        <v>0</v>
      </c>
      <c r="T5" s="18"/>
      <c r="U5" s="18"/>
      <c r="V5" s="18"/>
      <c r="W5" s="18"/>
      <c r="X5" s="15"/>
      <c r="Y5" s="19">
        <f t="shared" ref="Y5:Y10" si="7">W5*X5</f>
        <v>0</v>
      </c>
      <c r="Z5" s="238">
        <v>1860</v>
      </c>
      <c r="AA5" s="17">
        <v>1948.05</v>
      </c>
      <c r="AB5" s="17"/>
      <c r="AC5" s="17"/>
      <c r="AD5" s="17"/>
      <c r="AE5" s="23"/>
      <c r="AF5" s="22">
        <f t="shared" ref="AF5:AF7" si="8">M5+P5+S5+V5+Y5+Z5+AE5</f>
        <v>1860</v>
      </c>
      <c r="AG5" s="23">
        <v>7500</v>
      </c>
      <c r="AH5" s="24"/>
      <c r="AI5" s="24"/>
      <c r="AJ5" s="25">
        <f>AG5+AI5+AH5+AD5+Z5+AA5</f>
        <v>11308.05</v>
      </c>
      <c r="AK5" s="26">
        <f>AJ5*23%</f>
        <v>2600.8514999999998</v>
      </c>
      <c r="AL5" s="238">
        <v>2794.35</v>
      </c>
      <c r="AM5" s="20"/>
      <c r="AN5" s="20"/>
      <c r="AO5" s="23"/>
      <c r="AP5" s="23"/>
      <c r="AQ5" s="23"/>
      <c r="AR5" s="238">
        <v>2932.19</v>
      </c>
      <c r="AS5" s="238">
        <v>2980.66</v>
      </c>
      <c r="AT5" s="27">
        <f t="shared" ref="AT5:AT19" si="9">AJ5-AK5-AL5-AS5-AN5-AQ5-AM5-AR5</f>
        <v>-1.5000000016698323E-3</v>
      </c>
      <c r="AU5" s="361">
        <f t="shared" ref="AU5:AU20" si="10">AL5+AM5+AN5+AO5+AP5+AQ5+AR5+AS5</f>
        <v>8707.2000000000007</v>
      </c>
      <c r="AV5" s="361"/>
      <c r="AW5" s="361"/>
      <c r="AX5" s="361">
        <f t="shared" ref="AX5:AX38" si="11">AJ5*23%</f>
        <v>2600.8514999999998</v>
      </c>
      <c r="AY5" s="24">
        <f t="shared" ref="AY5:AY38" si="12">AJ5*H5%</f>
        <v>2487.7709999999997</v>
      </c>
      <c r="AZ5" s="30">
        <f t="shared" ref="AZ5:AZ38" si="13">AX5+AY5</f>
        <v>5088.6224999999995</v>
      </c>
      <c r="BA5" s="31">
        <f t="shared" ref="BA5:BA38" si="14">AZ5-AY5-AK5</f>
        <v>0</v>
      </c>
      <c r="BB5" s="56">
        <f t="shared" ref="BB5:BB38" si="15">AJ5-AK5-AU5</f>
        <v>-1.5000000021245796E-3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 ht="21.75" customHeight="1">
      <c r="A6" s="54">
        <f t="shared" ref="A6:A32" si="16">A5+1</f>
        <v>2</v>
      </c>
      <c r="B6" s="70" t="s">
        <v>45</v>
      </c>
      <c r="C6" s="13" t="s">
        <v>35</v>
      </c>
      <c r="D6" s="13" t="s">
        <v>46</v>
      </c>
      <c r="E6" s="13">
        <v>8647</v>
      </c>
      <c r="F6" s="14">
        <v>46113</v>
      </c>
      <c r="G6" s="15">
        <f>8647/4</f>
        <v>2161.75</v>
      </c>
      <c r="H6" s="16">
        <v>22</v>
      </c>
      <c r="I6" s="15" t="s">
        <v>41</v>
      </c>
      <c r="J6" s="15"/>
      <c r="K6" s="15"/>
      <c r="L6" s="17">
        <v>250</v>
      </c>
      <c r="M6" s="15">
        <f t="shared" si="4"/>
        <v>0</v>
      </c>
      <c r="N6" s="18"/>
      <c r="O6" s="15"/>
      <c r="P6" s="19">
        <f t="shared" si="5"/>
        <v>0</v>
      </c>
      <c r="Q6" s="18"/>
      <c r="R6" s="15"/>
      <c r="S6" s="19">
        <f t="shared" si="6"/>
        <v>0</v>
      </c>
      <c r="T6" s="18"/>
      <c r="U6" s="18"/>
      <c r="V6" s="18"/>
      <c r="W6" s="18"/>
      <c r="X6" s="15"/>
      <c r="Y6" s="19">
        <f t="shared" si="7"/>
        <v>0</v>
      </c>
      <c r="Z6" s="20"/>
      <c r="AA6" s="15"/>
      <c r="AB6" s="15"/>
      <c r="AC6" s="15"/>
      <c r="AD6" s="15"/>
      <c r="AE6" s="24"/>
      <c r="AF6" s="22">
        <f t="shared" si="8"/>
        <v>0</v>
      </c>
      <c r="AG6" s="23">
        <v>2161.75</v>
      </c>
      <c r="AH6" s="24"/>
      <c r="AI6" s="24"/>
      <c r="AJ6" s="25">
        <f>AG6+AI6+AH6</f>
        <v>2161.75</v>
      </c>
      <c r="AK6" s="26">
        <f>AG6*23%</f>
        <v>497.20250000000004</v>
      </c>
      <c r="AL6" s="23">
        <v>871.91</v>
      </c>
      <c r="AM6" s="23"/>
      <c r="AN6" s="23"/>
      <c r="AO6" s="23"/>
      <c r="AP6" s="23"/>
      <c r="AQ6" s="23"/>
      <c r="AR6" s="238"/>
      <c r="AS6" s="23">
        <v>792.64</v>
      </c>
      <c r="AT6" s="27">
        <f t="shared" si="9"/>
        <v>-2.5000000000545697E-3</v>
      </c>
      <c r="AU6" s="361">
        <f t="shared" si="10"/>
        <v>1664.55</v>
      </c>
      <c r="AV6" s="361"/>
      <c r="AW6" s="361"/>
      <c r="AX6" s="361">
        <f t="shared" si="11"/>
        <v>497.20250000000004</v>
      </c>
      <c r="AY6" s="24">
        <f t="shared" si="12"/>
        <v>475.58499999999998</v>
      </c>
      <c r="AZ6" s="30">
        <f t="shared" si="13"/>
        <v>972.78750000000002</v>
      </c>
      <c r="BA6" s="31">
        <f t="shared" si="14"/>
        <v>0</v>
      </c>
      <c r="BB6" s="56">
        <f t="shared" si="15"/>
        <v>-2.5000000000545697E-3</v>
      </c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 ht="21.75" customHeight="1">
      <c r="A7" s="54">
        <f t="shared" si="16"/>
        <v>3</v>
      </c>
      <c r="B7" s="70" t="s">
        <v>47</v>
      </c>
      <c r="C7" s="13" t="s">
        <v>35</v>
      </c>
      <c r="D7" s="13" t="s">
        <v>48</v>
      </c>
      <c r="E7" s="13">
        <v>15000</v>
      </c>
      <c r="F7" s="306">
        <v>1</v>
      </c>
      <c r="G7" s="17">
        <v>15000</v>
      </c>
      <c r="H7" s="16">
        <v>22</v>
      </c>
      <c r="I7" s="15" t="s">
        <v>41</v>
      </c>
      <c r="J7" s="17"/>
      <c r="K7" s="17"/>
      <c r="L7" s="17"/>
      <c r="M7" s="15">
        <f t="shared" si="4"/>
        <v>0</v>
      </c>
      <c r="N7" s="18"/>
      <c r="O7" s="15"/>
      <c r="P7" s="19">
        <f t="shared" si="5"/>
        <v>0</v>
      </c>
      <c r="Q7" s="18"/>
      <c r="R7" s="15"/>
      <c r="S7" s="19">
        <f t="shared" si="6"/>
        <v>0</v>
      </c>
      <c r="T7" s="18"/>
      <c r="U7" s="18"/>
      <c r="V7" s="18"/>
      <c r="W7" s="18"/>
      <c r="X7" s="15"/>
      <c r="Y7" s="19">
        <f t="shared" si="7"/>
        <v>0</v>
      </c>
      <c r="Z7" s="238"/>
      <c r="AA7" s="17">
        <v>1948.05</v>
      </c>
      <c r="AB7" s="15"/>
      <c r="AC7" s="15"/>
      <c r="AD7" s="15"/>
      <c r="AE7" s="24"/>
      <c r="AF7" s="22">
        <f t="shared" si="8"/>
        <v>0</v>
      </c>
      <c r="AG7" s="23">
        <v>11250</v>
      </c>
      <c r="AH7" s="24"/>
      <c r="AI7" s="24"/>
      <c r="AJ7" s="25">
        <f t="shared" ref="AJ7:AJ8" si="17">AG7+AI7+AH7+Z7+AA7</f>
        <v>13198.05</v>
      </c>
      <c r="AK7" s="26">
        <f t="shared" ref="AK7:AK8" si="18">AJ7*23%</f>
        <v>3035.5515</v>
      </c>
      <c r="AL7" s="238">
        <v>4191.53</v>
      </c>
      <c r="AM7" s="20"/>
      <c r="AN7" s="20"/>
      <c r="AO7" s="23"/>
      <c r="AP7" s="23"/>
      <c r="AQ7" s="23"/>
      <c r="AR7" s="238">
        <v>1499.99</v>
      </c>
      <c r="AS7" s="238">
        <v>4470.9799999999996</v>
      </c>
      <c r="AT7" s="27">
        <f t="shared" si="9"/>
        <v>-1.4999999996234692E-3</v>
      </c>
      <c r="AU7" s="361">
        <f t="shared" si="10"/>
        <v>10162.5</v>
      </c>
      <c r="AV7" s="361"/>
      <c r="AW7" s="361"/>
      <c r="AX7" s="361">
        <f t="shared" si="11"/>
        <v>3035.5515</v>
      </c>
      <c r="AY7" s="24">
        <f t="shared" si="12"/>
        <v>2903.5709999999999</v>
      </c>
      <c r="AZ7" s="30">
        <f t="shared" si="13"/>
        <v>5939.1224999999995</v>
      </c>
      <c r="BA7" s="31">
        <f t="shared" si="14"/>
        <v>0</v>
      </c>
      <c r="BB7" s="56">
        <f t="shared" si="15"/>
        <v>-1.5000000003055902E-3</v>
      </c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 ht="21.75" customHeight="1">
      <c r="A8" s="54">
        <f t="shared" si="16"/>
        <v>4</v>
      </c>
      <c r="B8" s="362" t="s">
        <v>49</v>
      </c>
      <c r="C8" s="363" t="s">
        <v>35</v>
      </c>
      <c r="D8" s="363" t="s">
        <v>48</v>
      </c>
      <c r="E8" s="363">
        <v>15000</v>
      </c>
      <c r="F8" s="364">
        <v>46054</v>
      </c>
      <c r="G8" s="365">
        <f>E8/2</f>
        <v>7500</v>
      </c>
      <c r="H8" s="165">
        <v>22</v>
      </c>
      <c r="I8" s="366" t="s">
        <v>41</v>
      </c>
      <c r="J8" s="365"/>
      <c r="K8" s="365"/>
      <c r="L8" s="365"/>
      <c r="M8" s="366">
        <f t="shared" si="4"/>
        <v>0</v>
      </c>
      <c r="N8" s="367"/>
      <c r="O8" s="366"/>
      <c r="P8" s="368">
        <f t="shared" si="5"/>
        <v>0</v>
      </c>
      <c r="Q8" s="165">
        <v>2</v>
      </c>
      <c r="R8" s="365">
        <v>1500</v>
      </c>
      <c r="S8" s="368">
        <f t="shared" si="6"/>
        <v>3000</v>
      </c>
      <c r="T8" s="367"/>
      <c r="U8" s="367"/>
      <c r="V8" s="367"/>
      <c r="W8" s="367"/>
      <c r="X8" s="366"/>
      <c r="Y8" s="368">
        <f t="shared" si="7"/>
        <v>0</v>
      </c>
      <c r="Z8" s="267">
        <v>1860</v>
      </c>
      <c r="AA8" s="365">
        <v>1948.05</v>
      </c>
      <c r="AB8" s="365"/>
      <c r="AC8" s="366"/>
      <c r="AD8" s="365"/>
      <c r="AE8" s="266"/>
      <c r="AF8" s="22">
        <f t="shared" ref="AF8:AF14" si="19">M8+P8+S8+V8+Y8</f>
        <v>3000</v>
      </c>
      <c r="AG8" s="23">
        <v>7500</v>
      </c>
      <c r="AH8" s="50">
        <f>(AQ8*100)/77</f>
        <v>3896.1038961038962</v>
      </c>
      <c r="AI8" s="24"/>
      <c r="AJ8" s="25">
        <f t="shared" si="17"/>
        <v>15204.153896103895</v>
      </c>
      <c r="AK8" s="26">
        <f t="shared" si="18"/>
        <v>3496.955396103896</v>
      </c>
      <c r="AL8" s="238">
        <v>2794.35</v>
      </c>
      <c r="AM8" s="20"/>
      <c r="AN8" s="20"/>
      <c r="AO8" s="23"/>
      <c r="AP8" s="23"/>
      <c r="AQ8" s="23">
        <v>3000</v>
      </c>
      <c r="AR8" s="238">
        <v>2932.19</v>
      </c>
      <c r="AS8" s="238">
        <v>2980.66</v>
      </c>
      <c r="AT8" s="27">
        <f t="shared" si="9"/>
        <v>-1.5000000016698323E-3</v>
      </c>
      <c r="AU8" s="361">
        <f t="shared" si="10"/>
        <v>11707.2</v>
      </c>
      <c r="AV8" s="361"/>
      <c r="AW8" s="361"/>
      <c r="AX8" s="361">
        <f t="shared" si="11"/>
        <v>3496.955396103896</v>
      </c>
      <c r="AY8" s="24">
        <f t="shared" si="12"/>
        <v>3344.9138571428571</v>
      </c>
      <c r="AZ8" s="30">
        <f t="shared" si="13"/>
        <v>6841.869253246753</v>
      </c>
      <c r="BA8" s="31">
        <f t="shared" si="14"/>
        <v>0</v>
      </c>
      <c r="BB8" s="56">
        <f t="shared" si="15"/>
        <v>-1.5000000021245796E-3</v>
      </c>
      <c r="BC8" s="280" t="s">
        <v>273</v>
      </c>
      <c r="BD8" s="281"/>
      <c r="BE8" s="28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 ht="18.75" customHeight="1">
      <c r="A9" s="54">
        <f t="shared" si="16"/>
        <v>5</v>
      </c>
      <c r="B9" s="369" t="s">
        <v>51</v>
      </c>
      <c r="C9" s="13" t="s">
        <v>35</v>
      </c>
      <c r="D9" s="94" t="s">
        <v>52</v>
      </c>
      <c r="E9" s="94">
        <v>8647</v>
      </c>
      <c r="F9" s="14">
        <v>46113</v>
      </c>
      <c r="G9" s="15">
        <f>8647/4</f>
        <v>2161.75</v>
      </c>
      <c r="H9" s="16">
        <v>8.41</v>
      </c>
      <c r="I9" s="17" t="s">
        <v>39</v>
      </c>
      <c r="J9" s="33"/>
      <c r="K9" s="17"/>
      <c r="L9" s="17">
        <v>250</v>
      </c>
      <c r="M9" s="15">
        <f t="shared" si="4"/>
        <v>0</v>
      </c>
      <c r="N9" s="18"/>
      <c r="O9" s="15"/>
      <c r="P9" s="19">
        <f t="shared" si="5"/>
        <v>0</v>
      </c>
      <c r="Q9" s="18"/>
      <c r="R9" s="15"/>
      <c r="S9" s="19">
        <f t="shared" si="6"/>
        <v>0</v>
      </c>
      <c r="T9" s="18"/>
      <c r="U9" s="18"/>
      <c r="V9" s="18"/>
      <c r="W9" s="18"/>
      <c r="X9" s="15"/>
      <c r="Y9" s="19">
        <f t="shared" si="7"/>
        <v>0</v>
      </c>
      <c r="Z9" s="20"/>
      <c r="AA9" s="17"/>
      <c r="AB9" s="17"/>
      <c r="AC9" s="17"/>
      <c r="AD9" s="17"/>
      <c r="AE9" s="23"/>
      <c r="AF9" s="22">
        <f t="shared" si="19"/>
        <v>0</v>
      </c>
      <c r="AG9" s="23">
        <v>15000</v>
      </c>
      <c r="AH9" s="238"/>
      <c r="AI9" s="20"/>
      <c r="AJ9" s="25">
        <f>AG9+AI9+AH9</f>
        <v>15000</v>
      </c>
      <c r="AK9" s="26">
        <f>AG9*23%</f>
        <v>3450</v>
      </c>
      <c r="AL9" s="23">
        <v>5588.71</v>
      </c>
      <c r="AM9" s="23"/>
      <c r="AN9" s="23"/>
      <c r="AO9" s="23"/>
      <c r="AP9" s="23"/>
      <c r="AQ9" s="23"/>
      <c r="AR9" s="238"/>
      <c r="AS9" s="23">
        <v>5961.29</v>
      </c>
      <c r="AT9" s="27">
        <f t="shared" si="9"/>
        <v>0</v>
      </c>
      <c r="AU9" s="361">
        <f t="shared" si="10"/>
        <v>11550</v>
      </c>
      <c r="AV9" s="361"/>
      <c r="AW9" s="361"/>
      <c r="AX9" s="361">
        <f t="shared" si="11"/>
        <v>3450</v>
      </c>
      <c r="AY9" s="24">
        <f t="shared" si="12"/>
        <v>1261.5000000000002</v>
      </c>
      <c r="AZ9" s="30">
        <f t="shared" si="13"/>
        <v>4711.5</v>
      </c>
      <c r="BA9" s="31">
        <f t="shared" si="14"/>
        <v>0</v>
      </c>
      <c r="BB9" s="56">
        <f t="shared" si="15"/>
        <v>0</v>
      </c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 ht="27.6">
      <c r="A10" s="54">
        <f t="shared" si="16"/>
        <v>6</v>
      </c>
      <c r="B10" s="370" t="s">
        <v>53</v>
      </c>
      <c r="C10" s="13" t="s">
        <v>35</v>
      </c>
      <c r="D10" s="71" t="s">
        <v>48</v>
      </c>
      <c r="E10" s="94">
        <v>15000</v>
      </c>
      <c r="F10" s="94">
        <v>1</v>
      </c>
      <c r="G10" s="16">
        <v>15000</v>
      </c>
      <c r="H10" s="16">
        <v>22</v>
      </c>
      <c r="I10" s="17" t="s">
        <v>41</v>
      </c>
      <c r="J10" s="17"/>
      <c r="K10" s="17"/>
      <c r="L10" s="17"/>
      <c r="M10" s="15">
        <f t="shared" si="4"/>
        <v>0</v>
      </c>
      <c r="N10" s="18"/>
      <c r="O10" s="15"/>
      <c r="P10" s="19">
        <f t="shared" si="5"/>
        <v>0</v>
      </c>
      <c r="Q10" s="18"/>
      <c r="R10" s="15"/>
      <c r="S10" s="19">
        <f t="shared" si="6"/>
        <v>0</v>
      </c>
      <c r="T10" s="18"/>
      <c r="U10" s="18"/>
      <c r="V10" s="18"/>
      <c r="W10" s="18"/>
      <c r="X10" s="15"/>
      <c r="Y10" s="19">
        <f t="shared" si="7"/>
        <v>0</v>
      </c>
      <c r="Z10" s="238">
        <v>1860</v>
      </c>
      <c r="AA10" s="17">
        <v>1948.05</v>
      </c>
      <c r="AB10" s="16"/>
      <c r="AC10" s="16"/>
      <c r="AD10" s="16"/>
      <c r="AE10" s="238"/>
      <c r="AF10" s="22">
        <f t="shared" si="19"/>
        <v>0</v>
      </c>
      <c r="AG10" s="23">
        <v>15000</v>
      </c>
      <c r="AH10" s="24"/>
      <c r="AI10" s="24"/>
      <c r="AJ10" s="25">
        <f t="shared" ref="AJ10:AJ11" si="20">AG10+AI10+AH10+Z10+AA10</f>
        <v>18808.05</v>
      </c>
      <c r="AK10" s="26">
        <f t="shared" ref="AK10:AK12" si="21">AJ10*23%</f>
        <v>4325.8514999999998</v>
      </c>
      <c r="AL10" s="238">
        <v>5588.71</v>
      </c>
      <c r="AM10" s="20"/>
      <c r="AN10" s="20"/>
      <c r="AO10" s="23"/>
      <c r="AP10" s="23"/>
      <c r="AQ10" s="23"/>
      <c r="AR10" s="238"/>
      <c r="AS10" s="238">
        <v>8893.49</v>
      </c>
      <c r="AT10" s="27">
        <f t="shared" si="9"/>
        <v>-1.5000000003055902E-3</v>
      </c>
      <c r="AU10" s="361">
        <f t="shared" si="10"/>
        <v>14482.2</v>
      </c>
      <c r="AV10" s="361"/>
      <c r="AW10" s="361"/>
      <c r="AX10" s="361">
        <f t="shared" si="11"/>
        <v>4325.8514999999998</v>
      </c>
      <c r="AY10" s="24">
        <f t="shared" si="12"/>
        <v>4137.7709999999997</v>
      </c>
      <c r="AZ10" s="30">
        <f t="shared" si="13"/>
        <v>8463.6224999999995</v>
      </c>
      <c r="BA10" s="31">
        <f t="shared" si="14"/>
        <v>0</v>
      </c>
      <c r="BB10" s="56">
        <f t="shared" si="15"/>
        <v>-1.5000000021245796E-3</v>
      </c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 ht="27.6">
      <c r="A11" s="54">
        <f t="shared" si="16"/>
        <v>7</v>
      </c>
      <c r="B11" s="317" t="s">
        <v>56</v>
      </c>
      <c r="C11" s="13" t="s">
        <v>35</v>
      </c>
      <c r="D11" s="306"/>
      <c r="E11" s="94">
        <v>15000</v>
      </c>
      <c r="F11" s="305">
        <v>46115</v>
      </c>
      <c r="G11" s="17"/>
      <c r="H11" s="17">
        <v>22</v>
      </c>
      <c r="I11" s="17" t="s">
        <v>41</v>
      </c>
      <c r="J11" s="17"/>
      <c r="K11" s="17"/>
      <c r="L11" s="17"/>
      <c r="M11" s="15"/>
      <c r="N11" s="18"/>
      <c r="O11" s="15"/>
      <c r="P11" s="19"/>
      <c r="Q11" s="18"/>
      <c r="R11" s="15"/>
      <c r="S11" s="19"/>
      <c r="T11" s="18"/>
      <c r="U11" s="18"/>
      <c r="V11" s="18"/>
      <c r="W11" s="18"/>
      <c r="X11" s="15"/>
      <c r="Y11" s="19"/>
      <c r="Z11" s="238">
        <v>1560</v>
      </c>
      <c r="AA11" s="17">
        <v>1948.05</v>
      </c>
      <c r="AB11" s="17"/>
      <c r="AC11" s="17"/>
      <c r="AD11" s="17"/>
      <c r="AE11" s="23"/>
      <c r="AF11" s="22">
        <f t="shared" si="19"/>
        <v>0</v>
      </c>
      <c r="AG11" s="23">
        <v>11250</v>
      </c>
      <c r="AH11" s="24"/>
      <c r="AI11" s="24"/>
      <c r="AJ11" s="25">
        <f t="shared" si="20"/>
        <v>14758.05</v>
      </c>
      <c r="AK11" s="26">
        <f t="shared" si="21"/>
        <v>3394.3514999999998</v>
      </c>
      <c r="AL11" s="238">
        <v>4331.25</v>
      </c>
      <c r="AM11" s="20"/>
      <c r="AN11" s="20"/>
      <c r="AO11" s="23"/>
      <c r="AP11" s="23"/>
      <c r="AQ11" s="23"/>
      <c r="AR11" s="238">
        <v>2701.19</v>
      </c>
      <c r="AS11" s="238">
        <v>4331.26</v>
      </c>
      <c r="AT11" s="27">
        <f t="shared" si="9"/>
        <v>-1.5000000016698323E-3</v>
      </c>
      <c r="AU11" s="361">
        <f t="shared" si="10"/>
        <v>11363.7</v>
      </c>
      <c r="AV11" s="361"/>
      <c r="AW11" s="361"/>
      <c r="AX11" s="361">
        <f t="shared" si="11"/>
        <v>3394.3514999999998</v>
      </c>
      <c r="AY11" s="24">
        <f t="shared" si="12"/>
        <v>3246.7709999999997</v>
      </c>
      <c r="AZ11" s="30">
        <f t="shared" si="13"/>
        <v>6641.1224999999995</v>
      </c>
      <c r="BA11" s="31">
        <f t="shared" si="14"/>
        <v>0</v>
      </c>
      <c r="BB11" s="56">
        <f t="shared" si="15"/>
        <v>-1.5000000021245796E-3</v>
      </c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 ht="27.6">
      <c r="A12" s="54">
        <f t="shared" si="16"/>
        <v>8</v>
      </c>
      <c r="B12" s="317" t="s">
        <v>57</v>
      </c>
      <c r="C12" s="13" t="s">
        <v>35</v>
      </c>
      <c r="D12" s="306" t="s">
        <v>58</v>
      </c>
      <c r="E12" s="306">
        <v>15000</v>
      </c>
      <c r="F12" s="305">
        <v>46054</v>
      </c>
      <c r="G12" s="18">
        <f>E12/2</f>
        <v>7500</v>
      </c>
      <c r="H12" s="16">
        <v>22</v>
      </c>
      <c r="I12" s="15" t="s">
        <v>41</v>
      </c>
      <c r="J12" s="17"/>
      <c r="K12" s="17"/>
      <c r="L12" s="17"/>
      <c r="M12" s="15">
        <f t="shared" ref="M12:M17" si="22">K12*L12</f>
        <v>0</v>
      </c>
      <c r="N12" s="18"/>
      <c r="O12" s="15"/>
      <c r="P12" s="19">
        <f t="shared" ref="P12:P17" si="23">N12*O12</f>
        <v>0</v>
      </c>
      <c r="Q12" s="18"/>
      <c r="R12" s="15"/>
      <c r="S12" s="19">
        <f t="shared" ref="S12:S17" si="24">Q12*R12</f>
        <v>0</v>
      </c>
      <c r="T12" s="18"/>
      <c r="U12" s="18"/>
      <c r="V12" s="18"/>
      <c r="W12" s="18"/>
      <c r="X12" s="15"/>
      <c r="Y12" s="19">
        <f t="shared" ref="Y12:Y17" si="25">W12*X12</f>
        <v>0</v>
      </c>
      <c r="Z12" s="20"/>
      <c r="AA12" s="18"/>
      <c r="AB12" s="18"/>
      <c r="AC12" s="18"/>
      <c r="AD12" s="18"/>
      <c r="AE12" s="20"/>
      <c r="AF12" s="22">
        <f t="shared" si="19"/>
        <v>0</v>
      </c>
      <c r="AG12" s="23">
        <v>7500</v>
      </c>
      <c r="AH12" s="24"/>
      <c r="AI12" s="24"/>
      <c r="AJ12" s="25">
        <f t="shared" ref="AJ12:AJ14" si="26">AG12+AI12+AH12</f>
        <v>7500</v>
      </c>
      <c r="AK12" s="26">
        <f t="shared" si="21"/>
        <v>1725</v>
      </c>
      <c r="AL12" s="238">
        <v>3025</v>
      </c>
      <c r="AM12" s="20"/>
      <c r="AN12" s="20"/>
      <c r="AO12" s="23"/>
      <c r="AP12" s="23"/>
      <c r="AQ12" s="23"/>
      <c r="AR12" s="238"/>
      <c r="AS12" s="238">
        <v>2750</v>
      </c>
      <c r="AT12" s="27">
        <f t="shared" si="9"/>
        <v>0</v>
      </c>
      <c r="AU12" s="361">
        <f t="shared" si="10"/>
        <v>5775</v>
      </c>
      <c r="AV12" s="361"/>
      <c r="AW12" s="361"/>
      <c r="AX12" s="361">
        <f t="shared" si="11"/>
        <v>1725</v>
      </c>
      <c r="AY12" s="24">
        <f t="shared" si="12"/>
        <v>1650</v>
      </c>
      <c r="AZ12" s="30">
        <f t="shared" si="13"/>
        <v>3375</v>
      </c>
      <c r="BA12" s="31">
        <f t="shared" si="14"/>
        <v>0</v>
      </c>
      <c r="BB12" s="56">
        <f t="shared" si="15"/>
        <v>0</v>
      </c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ht="13.8">
      <c r="A13" s="54">
        <f t="shared" si="16"/>
        <v>9</v>
      </c>
      <c r="B13" s="93" t="s">
        <v>59</v>
      </c>
      <c r="C13" s="13" t="s">
        <v>35</v>
      </c>
      <c r="D13" s="94" t="s">
        <v>52</v>
      </c>
      <c r="E13" s="94">
        <v>8647</v>
      </c>
      <c r="F13" s="14">
        <v>46113</v>
      </c>
      <c r="G13" s="15">
        <f>8647/4</f>
        <v>2161.75</v>
      </c>
      <c r="H13" s="17">
        <v>22</v>
      </c>
      <c r="I13" s="16" t="s">
        <v>37</v>
      </c>
      <c r="J13" s="16"/>
      <c r="K13" s="16"/>
      <c r="L13" s="17">
        <v>200</v>
      </c>
      <c r="M13" s="15">
        <f t="shared" si="22"/>
        <v>0</v>
      </c>
      <c r="N13" s="18"/>
      <c r="O13" s="15"/>
      <c r="P13" s="19">
        <f t="shared" si="23"/>
        <v>0</v>
      </c>
      <c r="Q13" s="18"/>
      <c r="R13" s="15"/>
      <c r="S13" s="19">
        <f t="shared" si="24"/>
        <v>0</v>
      </c>
      <c r="T13" s="18"/>
      <c r="U13" s="18"/>
      <c r="V13" s="18"/>
      <c r="W13" s="18"/>
      <c r="X13" s="15"/>
      <c r="Y13" s="19">
        <f t="shared" si="25"/>
        <v>0</v>
      </c>
      <c r="Z13" s="20"/>
      <c r="AA13" s="21"/>
      <c r="AB13" s="21"/>
      <c r="AC13" s="21"/>
      <c r="AD13" s="21"/>
      <c r="AE13" s="238"/>
      <c r="AF13" s="22">
        <f t="shared" si="19"/>
        <v>0</v>
      </c>
      <c r="AG13" s="23">
        <v>7500</v>
      </c>
      <c r="AH13" s="20"/>
      <c r="AI13" s="20"/>
      <c r="AJ13" s="25">
        <f t="shared" si="26"/>
        <v>7500</v>
      </c>
      <c r="AK13" s="26">
        <f>AG13*23%</f>
        <v>1725</v>
      </c>
      <c r="AL13" s="23">
        <v>2794.35</v>
      </c>
      <c r="AM13" s="23"/>
      <c r="AN13" s="23"/>
      <c r="AO13" s="23"/>
      <c r="AP13" s="23"/>
      <c r="AQ13" s="23"/>
      <c r="AR13" s="238"/>
      <c r="AS13" s="23">
        <v>2980.65</v>
      </c>
      <c r="AT13" s="27">
        <f t="shared" si="9"/>
        <v>0</v>
      </c>
      <c r="AU13" s="361">
        <f t="shared" si="10"/>
        <v>5775</v>
      </c>
      <c r="AV13" s="361"/>
      <c r="AW13" s="361"/>
      <c r="AX13" s="361">
        <f t="shared" si="11"/>
        <v>1725</v>
      </c>
      <c r="AY13" s="24">
        <f t="shared" si="12"/>
        <v>1650</v>
      </c>
      <c r="AZ13" s="30">
        <f t="shared" si="13"/>
        <v>3375</v>
      </c>
      <c r="BA13" s="31">
        <f t="shared" si="14"/>
        <v>0</v>
      </c>
      <c r="BB13" s="56">
        <f t="shared" si="15"/>
        <v>0</v>
      </c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ht="27.6">
      <c r="A14" s="54">
        <f t="shared" si="16"/>
        <v>10</v>
      </c>
      <c r="B14" s="371" t="s">
        <v>60</v>
      </c>
      <c r="C14" s="13" t="s">
        <v>35</v>
      </c>
      <c r="D14" s="16" t="s">
        <v>48</v>
      </c>
      <c r="E14" s="306">
        <v>15000</v>
      </c>
      <c r="F14" s="305">
        <v>46054</v>
      </c>
      <c r="G14" s="18">
        <f t="shared" ref="G14:G15" si="27">E14/2</f>
        <v>7500</v>
      </c>
      <c r="H14" s="16">
        <v>22</v>
      </c>
      <c r="I14" s="15" t="s">
        <v>41</v>
      </c>
      <c r="J14" s="17"/>
      <c r="K14" s="17"/>
      <c r="L14" s="17"/>
      <c r="M14" s="15">
        <f t="shared" si="22"/>
        <v>0</v>
      </c>
      <c r="N14" s="18"/>
      <c r="O14" s="15"/>
      <c r="P14" s="19">
        <f t="shared" si="23"/>
        <v>0</v>
      </c>
      <c r="Q14" s="18"/>
      <c r="R14" s="15"/>
      <c r="S14" s="19">
        <f t="shared" si="24"/>
        <v>0</v>
      </c>
      <c r="T14" s="18"/>
      <c r="U14" s="18"/>
      <c r="V14" s="18"/>
      <c r="W14" s="18"/>
      <c r="X14" s="15"/>
      <c r="Y14" s="19">
        <f t="shared" si="25"/>
        <v>0</v>
      </c>
      <c r="Z14" s="20"/>
      <c r="AA14" s="16"/>
      <c r="AB14" s="16"/>
      <c r="AC14" s="16"/>
      <c r="AD14" s="18"/>
      <c r="AE14" s="20"/>
      <c r="AF14" s="22">
        <f t="shared" si="19"/>
        <v>0</v>
      </c>
      <c r="AG14" s="23">
        <v>7500</v>
      </c>
      <c r="AH14" s="24"/>
      <c r="AI14" s="23"/>
      <c r="AJ14" s="25">
        <f t="shared" si="26"/>
        <v>7500</v>
      </c>
      <c r="AK14" s="26">
        <f t="shared" ref="AK14:AK20" si="28">AJ14*23%</f>
        <v>1725</v>
      </c>
      <c r="AL14" s="238">
        <v>2887.5</v>
      </c>
      <c r="AM14" s="20"/>
      <c r="AN14" s="20"/>
      <c r="AO14" s="23"/>
      <c r="AP14" s="23"/>
      <c r="AQ14" s="23"/>
      <c r="AR14" s="238"/>
      <c r="AS14" s="238">
        <v>2887.5</v>
      </c>
      <c r="AT14" s="27">
        <f t="shared" si="9"/>
        <v>0</v>
      </c>
      <c r="AU14" s="361">
        <f t="shared" si="10"/>
        <v>5775</v>
      </c>
      <c r="AV14" s="361"/>
      <c r="AW14" s="361"/>
      <c r="AX14" s="361">
        <f t="shared" si="11"/>
        <v>1725</v>
      </c>
      <c r="AY14" s="24">
        <f t="shared" si="12"/>
        <v>1650</v>
      </c>
      <c r="AZ14" s="30">
        <f t="shared" si="13"/>
        <v>3375</v>
      </c>
      <c r="BA14" s="31">
        <f t="shared" si="14"/>
        <v>0</v>
      </c>
      <c r="BB14" s="56">
        <f t="shared" si="15"/>
        <v>0</v>
      </c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 ht="27.6">
      <c r="A15" s="54">
        <f t="shared" si="16"/>
        <v>11</v>
      </c>
      <c r="B15" s="372" t="s">
        <v>61</v>
      </c>
      <c r="C15" s="363" t="s">
        <v>35</v>
      </c>
      <c r="D15" s="165" t="s">
        <v>58</v>
      </c>
      <c r="E15" s="373">
        <v>15000</v>
      </c>
      <c r="F15" s="364">
        <v>46054</v>
      </c>
      <c r="G15" s="367">
        <f t="shared" si="27"/>
        <v>7500</v>
      </c>
      <c r="H15" s="165">
        <v>22</v>
      </c>
      <c r="I15" s="366" t="s">
        <v>41</v>
      </c>
      <c r="J15" s="365">
        <v>-5775</v>
      </c>
      <c r="K15" s="365"/>
      <c r="L15" s="365"/>
      <c r="M15" s="366">
        <f t="shared" si="22"/>
        <v>0</v>
      </c>
      <c r="N15" s="367"/>
      <c r="O15" s="366"/>
      <c r="P15" s="368">
        <f t="shared" si="23"/>
        <v>0</v>
      </c>
      <c r="Q15" s="367"/>
      <c r="R15" s="366"/>
      <c r="S15" s="368">
        <f t="shared" si="24"/>
        <v>0</v>
      </c>
      <c r="T15" s="367"/>
      <c r="U15" s="367">
        <f>400*3</f>
        <v>1200</v>
      </c>
      <c r="V15" s="367"/>
      <c r="W15" s="367"/>
      <c r="X15" s="366"/>
      <c r="Y15" s="368">
        <f t="shared" si="25"/>
        <v>0</v>
      </c>
      <c r="Z15" s="267">
        <v>1860</v>
      </c>
      <c r="AA15" s="365">
        <v>1948.05</v>
      </c>
      <c r="AB15" s="165"/>
      <c r="AC15" s="165"/>
      <c r="AD15" s="367"/>
      <c r="AE15" s="374"/>
      <c r="AF15" s="22">
        <f>M15+P15+S15+V15+Y15+U15</f>
        <v>1200</v>
      </c>
      <c r="AG15" s="23">
        <v>7500</v>
      </c>
      <c r="AH15" s="375">
        <f>(AP15/77)*100</f>
        <v>1558.4415584415585</v>
      </c>
      <c r="AI15" s="24"/>
      <c r="AJ15" s="25">
        <f t="shared" ref="AJ15:AJ17" si="29">AG15+AI15+AH15+Z15+AA15</f>
        <v>12866.491558441558</v>
      </c>
      <c r="AK15" s="26">
        <f t="shared" si="28"/>
        <v>2959.2930584415585</v>
      </c>
      <c r="AL15" s="238">
        <v>2794.35</v>
      </c>
      <c r="AM15" s="20"/>
      <c r="AN15" s="20"/>
      <c r="AO15" s="23"/>
      <c r="AP15" s="23">
        <f>AF15</f>
        <v>1200</v>
      </c>
      <c r="AQ15" s="23"/>
      <c r="AR15" s="238">
        <v>2932.19</v>
      </c>
      <c r="AS15" s="238">
        <v>2980.66</v>
      </c>
      <c r="AT15" s="27">
        <f t="shared" si="9"/>
        <v>1199.9984999999983</v>
      </c>
      <c r="AU15" s="361">
        <f t="shared" si="10"/>
        <v>9907.2000000000007</v>
      </c>
      <c r="AV15" s="361"/>
      <c r="AW15" s="361"/>
      <c r="AX15" s="361">
        <f t="shared" si="11"/>
        <v>2959.2930584415585</v>
      </c>
      <c r="AY15" s="24">
        <f t="shared" si="12"/>
        <v>2830.6281428571428</v>
      </c>
      <c r="AZ15" s="30">
        <f t="shared" si="13"/>
        <v>5789.9212012987009</v>
      </c>
      <c r="BA15" s="31">
        <f t="shared" si="14"/>
        <v>0</v>
      </c>
      <c r="BB15" s="56">
        <f t="shared" si="15"/>
        <v>-1.5000000021245796E-3</v>
      </c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 ht="27.6">
      <c r="A16" s="54">
        <f t="shared" si="16"/>
        <v>12</v>
      </c>
      <c r="B16" s="317" t="s">
        <v>246</v>
      </c>
      <c r="C16" s="13" t="s">
        <v>35</v>
      </c>
      <c r="D16" s="16" t="s">
        <v>80</v>
      </c>
      <c r="E16" s="94">
        <v>15000</v>
      </c>
      <c r="F16" s="14">
        <v>46113</v>
      </c>
      <c r="G16" s="15">
        <f t="shared" ref="G16:G17" si="30">E16/4</f>
        <v>3750</v>
      </c>
      <c r="H16" s="16">
        <v>22</v>
      </c>
      <c r="I16" s="17" t="s">
        <v>41</v>
      </c>
      <c r="J16" s="21"/>
      <c r="K16" s="21"/>
      <c r="L16" s="17">
        <v>200</v>
      </c>
      <c r="M16" s="15">
        <f t="shared" si="22"/>
        <v>0</v>
      </c>
      <c r="N16" s="18"/>
      <c r="O16" s="15"/>
      <c r="P16" s="19">
        <f t="shared" si="23"/>
        <v>0</v>
      </c>
      <c r="Q16" s="16">
        <v>1</v>
      </c>
      <c r="R16" s="17">
        <v>1500</v>
      </c>
      <c r="S16" s="19">
        <f t="shared" si="24"/>
        <v>1500</v>
      </c>
      <c r="T16" s="18"/>
      <c r="U16" s="18"/>
      <c r="V16" s="18"/>
      <c r="W16" s="18"/>
      <c r="X16" s="15"/>
      <c r="Y16" s="19">
        <f t="shared" si="25"/>
        <v>0</v>
      </c>
      <c r="Z16" s="238">
        <v>1260</v>
      </c>
      <c r="AA16" s="21"/>
      <c r="AB16" s="16"/>
      <c r="AC16" s="21"/>
      <c r="AD16" s="16"/>
      <c r="AE16" s="238"/>
      <c r="AF16" s="22">
        <f t="shared" ref="AF16:AF17" si="31">M16+P16+S16+V16+Y16</f>
        <v>1500</v>
      </c>
      <c r="AG16" s="23">
        <v>3750</v>
      </c>
      <c r="AH16" s="375">
        <f>(AQ16/77)*100</f>
        <v>1949.0000000000002</v>
      </c>
      <c r="AI16" s="20"/>
      <c r="AJ16" s="25">
        <f t="shared" si="29"/>
        <v>6959</v>
      </c>
      <c r="AK16" s="26">
        <f t="shared" si="28"/>
        <v>1600.5700000000002</v>
      </c>
      <c r="AL16" s="23">
        <v>1512.51</v>
      </c>
      <c r="AM16" s="23"/>
      <c r="AN16" s="23"/>
      <c r="AO16" s="23"/>
      <c r="AP16" s="23"/>
      <c r="AQ16" s="23">
        <v>1500.73</v>
      </c>
      <c r="AR16" s="238"/>
      <c r="AS16" s="23">
        <v>2345.19</v>
      </c>
      <c r="AT16" s="27">
        <f t="shared" si="9"/>
        <v>0</v>
      </c>
      <c r="AU16" s="361">
        <f t="shared" si="10"/>
        <v>5358.43</v>
      </c>
      <c r="AV16" s="361"/>
      <c r="AW16" s="361"/>
      <c r="AX16" s="361">
        <f t="shared" si="11"/>
        <v>1600.5700000000002</v>
      </c>
      <c r="AY16" s="24">
        <f t="shared" si="12"/>
        <v>1530.98</v>
      </c>
      <c r="AZ16" s="30">
        <f t="shared" si="13"/>
        <v>3131.55</v>
      </c>
      <c r="BA16" s="31">
        <f t="shared" si="14"/>
        <v>0</v>
      </c>
      <c r="BB16" s="56">
        <f t="shared" si="15"/>
        <v>0</v>
      </c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 ht="27.6">
      <c r="A17" s="54">
        <f t="shared" si="16"/>
        <v>13</v>
      </c>
      <c r="B17" s="317" t="s">
        <v>247</v>
      </c>
      <c r="C17" s="13" t="s">
        <v>35</v>
      </c>
      <c r="D17" s="16" t="s">
        <v>248</v>
      </c>
      <c r="E17" s="94">
        <v>15000</v>
      </c>
      <c r="F17" s="14">
        <v>46113</v>
      </c>
      <c r="G17" s="15">
        <f t="shared" si="30"/>
        <v>3750</v>
      </c>
      <c r="H17" s="16">
        <v>22</v>
      </c>
      <c r="I17" s="17" t="s">
        <v>41</v>
      </c>
      <c r="J17" s="21"/>
      <c r="K17" s="21"/>
      <c r="L17" s="17">
        <v>200</v>
      </c>
      <c r="M17" s="15">
        <f t="shared" si="22"/>
        <v>0</v>
      </c>
      <c r="N17" s="18"/>
      <c r="O17" s="15"/>
      <c r="P17" s="19">
        <f t="shared" si="23"/>
        <v>0</v>
      </c>
      <c r="Q17" s="18"/>
      <c r="R17" s="15"/>
      <c r="S17" s="19">
        <f t="shared" si="24"/>
        <v>0</v>
      </c>
      <c r="T17" s="18"/>
      <c r="U17" s="18"/>
      <c r="V17" s="18"/>
      <c r="W17" s="18"/>
      <c r="X17" s="15"/>
      <c r="Y17" s="19">
        <f t="shared" si="25"/>
        <v>0</v>
      </c>
      <c r="Z17" s="238">
        <v>1260</v>
      </c>
      <c r="AA17" s="16">
        <v>1948.05</v>
      </c>
      <c r="AB17" s="16"/>
      <c r="AC17" s="21"/>
      <c r="AD17" s="16"/>
      <c r="AE17" s="238"/>
      <c r="AF17" s="22">
        <f t="shared" si="31"/>
        <v>0</v>
      </c>
      <c r="AG17" s="23">
        <v>3750</v>
      </c>
      <c r="AH17" s="256">
        <v>1349.25</v>
      </c>
      <c r="AI17" s="20"/>
      <c r="AJ17" s="25">
        <f t="shared" si="29"/>
        <v>8307.2999999999993</v>
      </c>
      <c r="AK17" s="26">
        <f t="shared" si="28"/>
        <v>1910.6789999999999</v>
      </c>
      <c r="AL17" s="23">
        <v>1512.51</v>
      </c>
      <c r="AM17" s="23"/>
      <c r="AN17" s="23"/>
      <c r="AO17" s="23"/>
      <c r="AP17" s="23"/>
      <c r="AQ17" s="23">
        <v>1038.92</v>
      </c>
      <c r="AR17" s="238">
        <v>2470.19</v>
      </c>
      <c r="AS17" s="23">
        <v>1375</v>
      </c>
      <c r="AT17" s="27">
        <f t="shared" si="9"/>
        <v>9.9999999883948476E-4</v>
      </c>
      <c r="AU17" s="361">
        <f t="shared" si="10"/>
        <v>6396.6200000000008</v>
      </c>
      <c r="AV17" s="361"/>
      <c r="AW17" s="361"/>
      <c r="AX17" s="361">
        <f t="shared" si="11"/>
        <v>1910.6789999999999</v>
      </c>
      <c r="AY17" s="24">
        <f t="shared" si="12"/>
        <v>1827.6059999999998</v>
      </c>
      <c r="AZ17" s="30">
        <f t="shared" si="13"/>
        <v>3738.2849999999999</v>
      </c>
      <c r="BA17" s="31">
        <f t="shared" si="14"/>
        <v>0</v>
      </c>
      <c r="BB17" s="56">
        <f t="shared" si="15"/>
        <v>9.9999999838473741E-4</v>
      </c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 ht="27.6">
      <c r="A18" s="54">
        <f t="shared" si="16"/>
        <v>14</v>
      </c>
      <c r="B18" s="317" t="s">
        <v>274</v>
      </c>
      <c r="C18" s="13" t="s">
        <v>35</v>
      </c>
      <c r="D18" s="13" t="s">
        <v>275</v>
      </c>
      <c r="E18" s="94">
        <v>15000</v>
      </c>
      <c r="F18" s="305">
        <v>46113</v>
      </c>
      <c r="G18" s="17">
        <v>3750</v>
      </c>
      <c r="H18" s="16">
        <v>22</v>
      </c>
      <c r="I18" s="17" t="s">
        <v>41</v>
      </c>
      <c r="J18" s="21"/>
      <c r="K18" s="21"/>
      <c r="L18" s="17"/>
      <c r="M18" s="15"/>
      <c r="N18" s="18"/>
      <c r="O18" s="15"/>
      <c r="P18" s="19"/>
      <c r="Q18" s="16"/>
      <c r="R18" s="17"/>
      <c r="S18" s="376"/>
      <c r="T18" s="18"/>
      <c r="U18" s="18"/>
      <c r="V18" s="18"/>
      <c r="W18" s="18"/>
      <c r="X18" s="15"/>
      <c r="Y18" s="19"/>
      <c r="Z18" s="20"/>
      <c r="AA18" s="21"/>
      <c r="AB18" s="21"/>
      <c r="AC18" s="21"/>
      <c r="AD18" s="16"/>
      <c r="AE18" s="238"/>
      <c r="AF18" s="22"/>
      <c r="AG18" s="23">
        <v>1785.71</v>
      </c>
      <c r="AH18" s="375">
        <f t="shared" ref="AH18:AH19" si="32">(AQ18/77)*100</f>
        <v>0</v>
      </c>
      <c r="AI18" s="20"/>
      <c r="AJ18" s="25">
        <f t="shared" ref="AJ18:AJ19" si="33">AG18+AI18+AH18+AD18</f>
        <v>1785.71</v>
      </c>
      <c r="AK18" s="26">
        <f t="shared" si="28"/>
        <v>410.7133</v>
      </c>
      <c r="AL18" s="23"/>
      <c r="AM18" s="23"/>
      <c r="AN18" s="23"/>
      <c r="AO18" s="23"/>
      <c r="AP18" s="23"/>
      <c r="AQ18" s="23"/>
      <c r="AR18" s="238"/>
      <c r="AS18" s="23">
        <v>1375</v>
      </c>
      <c r="AT18" s="27">
        <f t="shared" si="9"/>
        <v>-3.2999999998537533E-3</v>
      </c>
      <c r="AU18" s="361">
        <f t="shared" si="10"/>
        <v>1375</v>
      </c>
      <c r="AV18" s="361"/>
      <c r="AW18" s="361"/>
      <c r="AX18" s="361">
        <f t="shared" si="11"/>
        <v>410.7133</v>
      </c>
      <c r="AY18" s="24">
        <f t="shared" si="12"/>
        <v>392.8562</v>
      </c>
      <c r="AZ18" s="30">
        <f t="shared" si="13"/>
        <v>803.56950000000006</v>
      </c>
      <c r="BA18" s="31">
        <f t="shared" si="14"/>
        <v>0</v>
      </c>
      <c r="BB18" s="56">
        <f t="shared" si="15"/>
        <v>-3.2999999998537533E-3</v>
      </c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 ht="27.6">
      <c r="A19" s="54">
        <f t="shared" si="16"/>
        <v>15</v>
      </c>
      <c r="B19" s="317" t="s">
        <v>249</v>
      </c>
      <c r="C19" s="13" t="s">
        <v>35</v>
      </c>
      <c r="D19" s="13" t="s">
        <v>36</v>
      </c>
      <c r="E19" s="306">
        <v>15000</v>
      </c>
      <c r="F19" s="305">
        <v>46054</v>
      </c>
      <c r="G19" s="18">
        <f>E19/2</f>
        <v>7500</v>
      </c>
      <c r="H19" s="16">
        <v>22</v>
      </c>
      <c r="I19" s="15" t="s">
        <v>41</v>
      </c>
      <c r="J19" s="21"/>
      <c r="K19" s="21"/>
      <c r="L19" s="17">
        <v>200</v>
      </c>
      <c r="M19" s="15">
        <f t="shared" ref="M19:M23" si="34">K19*L19</f>
        <v>0</v>
      </c>
      <c r="N19" s="18"/>
      <c r="O19" s="15"/>
      <c r="P19" s="19">
        <f t="shared" ref="P19:P23" si="35">N19*O19</f>
        <v>0</v>
      </c>
      <c r="Q19" s="18"/>
      <c r="R19" s="15"/>
      <c r="S19" s="19">
        <f t="shared" ref="S19:S23" si="36">Q19*R19</f>
        <v>0</v>
      </c>
      <c r="T19" s="18"/>
      <c r="U19" s="18"/>
      <c r="V19" s="18"/>
      <c r="W19" s="18"/>
      <c r="X19" s="15"/>
      <c r="Y19" s="19">
        <f t="shared" ref="Y19:Y23" si="37">W19*X19</f>
        <v>0</v>
      </c>
      <c r="Z19" s="20"/>
      <c r="AA19" s="21"/>
      <c r="AB19" s="21"/>
      <c r="AC19" s="21"/>
      <c r="AD19" s="16"/>
      <c r="AE19" s="238"/>
      <c r="AF19" s="22">
        <f t="shared" ref="AF19:AF25" si="38">M19+P19+S19+V19+Y19</f>
        <v>0</v>
      </c>
      <c r="AG19" s="23">
        <v>7500</v>
      </c>
      <c r="AH19" s="375">
        <f t="shared" si="32"/>
        <v>0</v>
      </c>
      <c r="AI19" s="20"/>
      <c r="AJ19" s="25">
        <f t="shared" si="33"/>
        <v>7500</v>
      </c>
      <c r="AK19" s="26">
        <f t="shared" si="28"/>
        <v>1725</v>
      </c>
      <c r="AL19" s="23">
        <v>3025</v>
      </c>
      <c r="AM19" s="23"/>
      <c r="AN19" s="23"/>
      <c r="AO19" s="23"/>
      <c r="AP19" s="23"/>
      <c r="AQ19" s="23"/>
      <c r="AR19" s="238"/>
      <c r="AS19" s="23">
        <v>2750</v>
      </c>
      <c r="AT19" s="27">
        <f t="shared" si="9"/>
        <v>0</v>
      </c>
      <c r="AU19" s="361">
        <f t="shared" si="10"/>
        <v>5775</v>
      </c>
      <c r="AV19" s="361"/>
      <c r="AW19" s="361"/>
      <c r="AX19" s="361">
        <f t="shared" si="11"/>
        <v>1725</v>
      </c>
      <c r="AY19" s="24">
        <f t="shared" si="12"/>
        <v>1650</v>
      </c>
      <c r="AZ19" s="30">
        <f t="shared" si="13"/>
        <v>3375</v>
      </c>
      <c r="BA19" s="31">
        <f t="shared" si="14"/>
        <v>0</v>
      </c>
      <c r="BB19" s="56">
        <f t="shared" si="15"/>
        <v>0</v>
      </c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 ht="13.8">
      <c r="A20" s="54">
        <f t="shared" si="16"/>
        <v>16</v>
      </c>
      <c r="B20" s="242" t="s">
        <v>65</v>
      </c>
      <c r="C20" s="13" t="s">
        <v>35</v>
      </c>
      <c r="D20" s="16" t="s">
        <v>63</v>
      </c>
      <c r="E20" s="377">
        <v>8650</v>
      </c>
      <c r="F20" s="94">
        <v>1</v>
      </c>
      <c r="G20" s="16">
        <v>8647</v>
      </c>
      <c r="H20" s="16">
        <v>8.41</v>
      </c>
      <c r="I20" s="16" t="s">
        <v>37</v>
      </c>
      <c r="J20" s="16">
        <v>13500</v>
      </c>
      <c r="K20" s="21"/>
      <c r="L20" s="17">
        <v>200</v>
      </c>
      <c r="M20" s="15">
        <f t="shared" si="34"/>
        <v>0</v>
      </c>
      <c r="N20" s="18"/>
      <c r="O20" s="15"/>
      <c r="P20" s="19">
        <f t="shared" si="35"/>
        <v>0</v>
      </c>
      <c r="Q20" s="18"/>
      <c r="R20" s="15"/>
      <c r="S20" s="19">
        <f t="shared" si="36"/>
        <v>0</v>
      </c>
      <c r="T20" s="18"/>
      <c r="U20" s="18"/>
      <c r="V20" s="18"/>
      <c r="W20" s="18"/>
      <c r="X20" s="15"/>
      <c r="Y20" s="19">
        <f t="shared" si="37"/>
        <v>0</v>
      </c>
      <c r="Z20" s="20"/>
      <c r="AA20" s="21"/>
      <c r="AB20" s="21"/>
      <c r="AC20" s="16"/>
      <c r="AD20" s="21"/>
      <c r="AE20" s="238"/>
      <c r="AF20" s="22">
        <f t="shared" si="38"/>
        <v>0</v>
      </c>
      <c r="AG20" s="23">
        <v>7619.05</v>
      </c>
      <c r="AH20" s="256">
        <v>9914</v>
      </c>
      <c r="AI20" s="20"/>
      <c r="AJ20" s="25">
        <f>AG20+AI20+AH20+AC20</f>
        <v>17533.05</v>
      </c>
      <c r="AK20" s="26">
        <f t="shared" si="28"/>
        <v>4032.6015000000002</v>
      </c>
      <c r="AL20" s="23">
        <v>4033.33</v>
      </c>
      <c r="AM20" s="23"/>
      <c r="AN20" s="23"/>
      <c r="AO20" s="23"/>
      <c r="AP20" s="23">
        <v>7633.78</v>
      </c>
      <c r="AQ20" s="23"/>
      <c r="AR20" s="238"/>
      <c r="AS20" s="23">
        <v>1833.34</v>
      </c>
      <c r="AT20" s="27">
        <f>AJ20-AK20-AL20-AS20-AN20-AQ20-AM20-AR20-AP19:AP20</f>
        <v>-1.5000000012150849E-3</v>
      </c>
      <c r="AU20" s="361">
        <f t="shared" si="10"/>
        <v>13500.45</v>
      </c>
      <c r="AV20" s="361"/>
      <c r="AW20" s="361"/>
      <c r="AX20" s="361">
        <f t="shared" si="11"/>
        <v>4032.6015000000002</v>
      </c>
      <c r="AY20" s="24">
        <f t="shared" si="12"/>
        <v>1474.529505</v>
      </c>
      <c r="AZ20" s="30">
        <f t="shared" si="13"/>
        <v>5507.1310050000002</v>
      </c>
      <c r="BA20" s="31">
        <f t="shared" si="14"/>
        <v>0</v>
      </c>
      <c r="BB20" s="56">
        <f t="shared" si="15"/>
        <v>-1.5000000021245796E-3</v>
      </c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 ht="13.8">
      <c r="A21" s="54">
        <f t="shared" si="16"/>
        <v>17</v>
      </c>
      <c r="B21" s="370" t="s">
        <v>66</v>
      </c>
      <c r="C21" s="13" t="s">
        <v>35</v>
      </c>
      <c r="D21" s="16" t="s">
        <v>63</v>
      </c>
      <c r="E21" s="16">
        <v>8647</v>
      </c>
      <c r="F21" s="14">
        <v>46113</v>
      </c>
      <c r="G21" s="15">
        <f t="shared" ref="G21:G24" si="39">8647/4</f>
        <v>2161.75</v>
      </c>
      <c r="H21" s="16">
        <v>22</v>
      </c>
      <c r="I21" s="16" t="s">
        <v>37</v>
      </c>
      <c r="J21" s="16">
        <v>1665</v>
      </c>
      <c r="K21" s="21"/>
      <c r="L21" s="17">
        <v>200</v>
      </c>
      <c r="M21" s="15">
        <f t="shared" si="34"/>
        <v>0</v>
      </c>
      <c r="N21" s="18"/>
      <c r="O21" s="15"/>
      <c r="P21" s="19">
        <f t="shared" si="35"/>
        <v>0</v>
      </c>
      <c r="Q21" s="18"/>
      <c r="R21" s="15"/>
      <c r="S21" s="19">
        <f t="shared" si="36"/>
        <v>0</v>
      </c>
      <c r="T21" s="18"/>
      <c r="U21" s="18"/>
      <c r="V21" s="18"/>
      <c r="W21" s="18"/>
      <c r="X21" s="15"/>
      <c r="Y21" s="19">
        <f t="shared" si="37"/>
        <v>0</v>
      </c>
      <c r="Z21" s="20"/>
      <c r="AA21" s="21"/>
      <c r="AB21" s="21"/>
      <c r="AC21" s="21"/>
      <c r="AD21" s="21"/>
      <c r="AE21" s="238"/>
      <c r="AF21" s="22">
        <f t="shared" si="38"/>
        <v>0</v>
      </c>
      <c r="AG21" s="23">
        <v>2161.75</v>
      </c>
      <c r="AH21" s="375">
        <f t="shared" ref="AH21:AH25" si="40">(AQ21/77)*100</f>
        <v>0</v>
      </c>
      <c r="AI21" s="20"/>
      <c r="AJ21" s="25">
        <f t="shared" ref="AJ21:AJ23" si="41">AG21+AI21+AH21</f>
        <v>2161.75</v>
      </c>
      <c r="AK21" s="26">
        <f t="shared" ref="AK21:AK23" si="42">AG21*23%</f>
        <v>497.20250000000004</v>
      </c>
      <c r="AL21" s="23">
        <v>871.91</v>
      </c>
      <c r="AM21" s="23"/>
      <c r="AN21" s="23"/>
      <c r="AO21" s="23"/>
      <c r="AP21" s="23"/>
      <c r="AQ21" s="23"/>
      <c r="AR21" s="238"/>
      <c r="AS21" s="23">
        <v>792.64</v>
      </c>
      <c r="AT21" s="27">
        <f t="shared" ref="AT21:AT25" si="43">AJ21-AK21-AL21-AS21-AN21-AQ21-AM21-AR21</f>
        <v>-2.5000000000545697E-3</v>
      </c>
      <c r="AU21" s="361">
        <f t="shared" ref="AU21:AU25" si="44">AL21+AM21+AN21+AQ21+AR21+AS21</f>
        <v>1664.55</v>
      </c>
      <c r="AV21" s="361"/>
      <c r="AW21" s="361"/>
      <c r="AX21" s="361">
        <f t="shared" si="11"/>
        <v>497.20250000000004</v>
      </c>
      <c r="AY21" s="24">
        <f t="shared" si="12"/>
        <v>475.58499999999998</v>
      </c>
      <c r="AZ21" s="30">
        <f t="shared" si="13"/>
        <v>972.78750000000002</v>
      </c>
      <c r="BA21" s="31">
        <f t="shared" si="14"/>
        <v>0</v>
      </c>
      <c r="BB21" s="56">
        <f t="shared" si="15"/>
        <v>-2.5000000000545697E-3</v>
      </c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 ht="13.8">
      <c r="A22" s="54">
        <f t="shared" si="16"/>
        <v>18</v>
      </c>
      <c r="B22" s="370" t="s">
        <v>67</v>
      </c>
      <c r="C22" s="13" t="s">
        <v>35</v>
      </c>
      <c r="D22" s="16" t="s">
        <v>63</v>
      </c>
      <c r="E22" s="16">
        <v>8647</v>
      </c>
      <c r="F22" s="14">
        <v>46113</v>
      </c>
      <c r="G22" s="15">
        <f t="shared" si="39"/>
        <v>2161.75</v>
      </c>
      <c r="H22" s="16">
        <v>8.41</v>
      </c>
      <c r="I22" s="16" t="s">
        <v>37</v>
      </c>
      <c r="J22" s="16">
        <v>1665</v>
      </c>
      <c r="K22" s="21"/>
      <c r="L22" s="17">
        <v>200</v>
      </c>
      <c r="M22" s="15">
        <f t="shared" si="34"/>
        <v>0</v>
      </c>
      <c r="N22" s="18"/>
      <c r="O22" s="15"/>
      <c r="P22" s="19">
        <f t="shared" si="35"/>
        <v>0</v>
      </c>
      <c r="Q22" s="18"/>
      <c r="R22" s="15"/>
      <c r="S22" s="19">
        <f t="shared" si="36"/>
        <v>0</v>
      </c>
      <c r="T22" s="18"/>
      <c r="U22" s="18"/>
      <c r="V22" s="18"/>
      <c r="W22" s="18"/>
      <c r="X22" s="15"/>
      <c r="Y22" s="19">
        <f t="shared" si="37"/>
        <v>0</v>
      </c>
      <c r="Z22" s="20"/>
      <c r="AA22" s="21"/>
      <c r="AB22" s="21"/>
      <c r="AC22" s="21"/>
      <c r="AD22" s="21"/>
      <c r="AE22" s="238"/>
      <c r="AF22" s="22">
        <f t="shared" si="38"/>
        <v>0</v>
      </c>
      <c r="AG22" s="23">
        <v>2161.75</v>
      </c>
      <c r="AH22" s="375">
        <f t="shared" si="40"/>
        <v>0</v>
      </c>
      <c r="AI22" s="20"/>
      <c r="AJ22" s="25">
        <f t="shared" si="41"/>
        <v>2161.75</v>
      </c>
      <c r="AK22" s="26">
        <f t="shared" si="42"/>
        <v>497.20250000000004</v>
      </c>
      <c r="AL22" s="23">
        <v>871.91</v>
      </c>
      <c r="AM22" s="23"/>
      <c r="AN22" s="23"/>
      <c r="AO22" s="23"/>
      <c r="AP22" s="23"/>
      <c r="AQ22" s="23"/>
      <c r="AR22" s="238"/>
      <c r="AS22" s="23">
        <v>792.64</v>
      </c>
      <c r="AT22" s="27">
        <f t="shared" si="43"/>
        <v>-2.5000000000545697E-3</v>
      </c>
      <c r="AU22" s="361">
        <f t="shared" si="44"/>
        <v>1664.55</v>
      </c>
      <c r="AV22" s="361"/>
      <c r="AW22" s="361"/>
      <c r="AX22" s="361">
        <f t="shared" si="11"/>
        <v>497.20250000000004</v>
      </c>
      <c r="AY22" s="24">
        <f t="shared" si="12"/>
        <v>181.80317500000001</v>
      </c>
      <c r="AZ22" s="30">
        <f t="shared" si="13"/>
        <v>679.00567500000011</v>
      </c>
      <c r="BA22" s="31">
        <f t="shared" si="14"/>
        <v>0</v>
      </c>
      <c r="BB22" s="56">
        <f t="shared" si="15"/>
        <v>-2.5000000000545697E-3</v>
      </c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 ht="13.8">
      <c r="A23" s="54">
        <f t="shared" si="16"/>
        <v>19</v>
      </c>
      <c r="B23" s="378" t="s">
        <v>69</v>
      </c>
      <c r="C23" s="13" t="s">
        <v>35</v>
      </c>
      <c r="D23" s="16" t="s">
        <v>63</v>
      </c>
      <c r="E23" s="16">
        <v>8647</v>
      </c>
      <c r="F23" s="14">
        <v>46113</v>
      </c>
      <c r="G23" s="15">
        <f t="shared" si="39"/>
        <v>2161.75</v>
      </c>
      <c r="H23" s="16">
        <v>22</v>
      </c>
      <c r="I23" s="16" t="s">
        <v>37</v>
      </c>
      <c r="J23" s="16"/>
      <c r="K23" s="21"/>
      <c r="L23" s="17">
        <v>200</v>
      </c>
      <c r="M23" s="15">
        <f t="shared" si="34"/>
        <v>0</v>
      </c>
      <c r="N23" s="18"/>
      <c r="O23" s="15"/>
      <c r="P23" s="19">
        <f t="shared" si="35"/>
        <v>0</v>
      </c>
      <c r="Q23" s="18"/>
      <c r="R23" s="15"/>
      <c r="S23" s="19">
        <f t="shared" si="36"/>
        <v>0</v>
      </c>
      <c r="T23" s="18"/>
      <c r="U23" s="18"/>
      <c r="V23" s="18"/>
      <c r="W23" s="18"/>
      <c r="X23" s="15"/>
      <c r="Y23" s="19">
        <f t="shared" si="37"/>
        <v>0</v>
      </c>
      <c r="Z23" s="20"/>
      <c r="AA23" s="21"/>
      <c r="AB23" s="21"/>
      <c r="AC23" s="21"/>
      <c r="AD23" s="21"/>
      <c r="AE23" s="238"/>
      <c r="AF23" s="22">
        <f t="shared" si="38"/>
        <v>0</v>
      </c>
      <c r="AG23" s="23">
        <v>2161.75</v>
      </c>
      <c r="AH23" s="375">
        <f t="shared" si="40"/>
        <v>0</v>
      </c>
      <c r="AI23" s="20"/>
      <c r="AJ23" s="25">
        <f t="shared" si="41"/>
        <v>2161.75</v>
      </c>
      <c r="AK23" s="26">
        <f t="shared" si="42"/>
        <v>497.20250000000004</v>
      </c>
      <c r="AL23" s="23">
        <v>871.91</v>
      </c>
      <c r="AM23" s="23"/>
      <c r="AN23" s="23"/>
      <c r="AO23" s="23"/>
      <c r="AP23" s="23"/>
      <c r="AQ23" s="23"/>
      <c r="AR23" s="238"/>
      <c r="AS23" s="23">
        <v>792.64</v>
      </c>
      <c r="AT23" s="27">
        <f t="shared" si="43"/>
        <v>-2.5000000000545697E-3</v>
      </c>
      <c r="AU23" s="361">
        <f t="shared" si="44"/>
        <v>1664.55</v>
      </c>
      <c r="AV23" s="361"/>
      <c r="AW23" s="361"/>
      <c r="AX23" s="361">
        <f t="shared" si="11"/>
        <v>497.20250000000004</v>
      </c>
      <c r="AY23" s="24">
        <f t="shared" si="12"/>
        <v>475.58499999999998</v>
      </c>
      <c r="AZ23" s="30">
        <f t="shared" si="13"/>
        <v>972.78750000000002</v>
      </c>
      <c r="BA23" s="31">
        <f t="shared" si="14"/>
        <v>0</v>
      </c>
      <c r="BB23" s="56">
        <f t="shared" si="15"/>
        <v>-2.5000000000545697E-3</v>
      </c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 ht="13.8">
      <c r="A24" s="54">
        <f t="shared" si="16"/>
        <v>20</v>
      </c>
      <c r="B24" s="246" t="s">
        <v>251</v>
      </c>
      <c r="C24" s="13" t="s">
        <v>35</v>
      </c>
      <c r="D24" s="16" t="s">
        <v>63</v>
      </c>
      <c r="E24" s="16">
        <v>8647</v>
      </c>
      <c r="F24" s="14">
        <v>46114</v>
      </c>
      <c r="G24" s="15">
        <f t="shared" si="39"/>
        <v>2161.75</v>
      </c>
      <c r="H24" s="16">
        <v>22</v>
      </c>
      <c r="I24" s="16" t="s">
        <v>37</v>
      </c>
      <c r="J24" s="17"/>
      <c r="K24" s="33"/>
      <c r="L24" s="17"/>
      <c r="M24" s="15"/>
      <c r="N24" s="18"/>
      <c r="O24" s="15"/>
      <c r="P24" s="19"/>
      <c r="Q24" s="18"/>
      <c r="R24" s="15"/>
      <c r="S24" s="19"/>
      <c r="T24" s="18"/>
      <c r="U24" s="18"/>
      <c r="V24" s="18"/>
      <c r="W24" s="18"/>
      <c r="X24" s="15"/>
      <c r="Y24" s="19"/>
      <c r="Z24" s="238">
        <v>1860</v>
      </c>
      <c r="AA24" s="17">
        <v>1948.05</v>
      </c>
      <c r="AB24" s="379"/>
      <c r="AC24" s="379"/>
      <c r="AD24" s="16"/>
      <c r="AE24" s="238"/>
      <c r="AF24" s="22">
        <f t="shared" si="38"/>
        <v>0</v>
      </c>
      <c r="AG24" s="23">
        <v>2500</v>
      </c>
      <c r="AH24" s="375">
        <f t="shared" si="40"/>
        <v>0</v>
      </c>
      <c r="AI24" s="20"/>
      <c r="AJ24" s="25">
        <f>AG24+AI24+AH24+Z24+AA24</f>
        <v>6308.05</v>
      </c>
      <c r="AK24" s="26">
        <f t="shared" ref="AK24:AK38" si="45">AJ24*23%</f>
        <v>1450.8515000000002</v>
      </c>
      <c r="AL24" s="23">
        <v>931.46</v>
      </c>
      <c r="AM24" s="23"/>
      <c r="AN24" s="23"/>
      <c r="AO24" s="23"/>
      <c r="AP24" s="23"/>
      <c r="AQ24" s="23"/>
      <c r="AR24" s="238">
        <v>2932.19</v>
      </c>
      <c r="AS24" s="23">
        <v>993.55</v>
      </c>
      <c r="AT24" s="27">
        <f t="shared" si="43"/>
        <v>-1.4999999998508429E-3</v>
      </c>
      <c r="AU24" s="361">
        <f t="shared" si="44"/>
        <v>4857.2</v>
      </c>
      <c r="AV24" s="361"/>
      <c r="AW24" s="361"/>
      <c r="AX24" s="361">
        <f t="shared" si="11"/>
        <v>1450.8515000000002</v>
      </c>
      <c r="AY24" s="24">
        <f t="shared" si="12"/>
        <v>1387.771</v>
      </c>
      <c r="AZ24" s="30">
        <f t="shared" si="13"/>
        <v>2838.6225000000004</v>
      </c>
      <c r="BA24" s="31">
        <f t="shared" si="14"/>
        <v>0</v>
      </c>
      <c r="BB24" s="56">
        <f t="shared" si="15"/>
        <v>-1.4999999993960955E-3</v>
      </c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 ht="27.6">
      <c r="A25" s="54">
        <f t="shared" si="16"/>
        <v>21</v>
      </c>
      <c r="B25" s="321" t="s">
        <v>215</v>
      </c>
      <c r="C25" s="13" t="s">
        <v>35</v>
      </c>
      <c r="D25" s="16" t="s">
        <v>80</v>
      </c>
      <c r="E25" s="94">
        <v>15000</v>
      </c>
      <c r="F25" s="14">
        <v>46113</v>
      </c>
      <c r="G25" s="16">
        <f>E25/4</f>
        <v>3750</v>
      </c>
      <c r="H25" s="16">
        <v>22</v>
      </c>
      <c r="I25" s="15" t="s">
        <v>41</v>
      </c>
      <c r="J25" s="17"/>
      <c r="K25" s="33"/>
      <c r="L25" s="15"/>
      <c r="M25" s="15">
        <f t="shared" ref="M25:M26" si="46">K25*L25</f>
        <v>0</v>
      </c>
      <c r="N25" s="18"/>
      <c r="O25" s="15"/>
      <c r="P25" s="19">
        <f>N25*O25</f>
        <v>0</v>
      </c>
      <c r="Q25" s="18"/>
      <c r="R25" s="15"/>
      <c r="S25" s="19">
        <f>Q25*R25</f>
        <v>0</v>
      </c>
      <c r="T25" s="18"/>
      <c r="U25" s="18"/>
      <c r="V25" s="18"/>
      <c r="W25" s="18"/>
      <c r="X25" s="15"/>
      <c r="Y25" s="19">
        <f t="shared" ref="Y25:Y27" si="47">W25*X25</f>
        <v>0</v>
      </c>
      <c r="Z25" s="238">
        <v>1260</v>
      </c>
      <c r="AA25" s="17">
        <v>1948.05</v>
      </c>
      <c r="AB25" s="379"/>
      <c r="AC25" s="320"/>
      <c r="AD25" s="16"/>
      <c r="AE25" s="238"/>
      <c r="AF25" s="22">
        <f t="shared" si="38"/>
        <v>0</v>
      </c>
      <c r="AG25" s="23">
        <v>3750</v>
      </c>
      <c r="AH25" s="375">
        <f t="shared" si="40"/>
        <v>0</v>
      </c>
      <c r="AI25" s="20"/>
      <c r="AJ25" s="25">
        <f>AG25+AI25+AH25+AB25+AA25+Z25</f>
        <v>6958.05</v>
      </c>
      <c r="AK25" s="26">
        <f t="shared" si="45"/>
        <v>1600.3515000000002</v>
      </c>
      <c r="AL25" s="23">
        <v>1512.51</v>
      </c>
      <c r="AM25" s="23"/>
      <c r="AN25" s="23"/>
      <c r="AO25" s="23"/>
      <c r="AP25" s="23"/>
      <c r="AQ25" s="23"/>
      <c r="AR25" s="238"/>
      <c r="AS25" s="23">
        <v>3845.19</v>
      </c>
      <c r="AT25" s="27">
        <f t="shared" si="43"/>
        <v>-1.4999999998508429E-3</v>
      </c>
      <c r="AU25" s="361">
        <f t="shared" si="44"/>
        <v>5357.7</v>
      </c>
      <c r="AV25" s="361"/>
      <c r="AW25" s="361"/>
      <c r="AX25" s="361">
        <f t="shared" si="11"/>
        <v>1600.3515000000002</v>
      </c>
      <c r="AY25" s="24">
        <f t="shared" si="12"/>
        <v>1530.771</v>
      </c>
      <c r="AZ25" s="30">
        <f t="shared" si="13"/>
        <v>3131.1225000000004</v>
      </c>
      <c r="BA25" s="31">
        <f t="shared" si="14"/>
        <v>0</v>
      </c>
      <c r="BB25" s="56">
        <f t="shared" si="15"/>
        <v>-1.4999999993960955E-3</v>
      </c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 ht="13.8">
      <c r="A26" s="54">
        <f t="shared" si="16"/>
        <v>22</v>
      </c>
      <c r="B26" s="380" t="s">
        <v>276</v>
      </c>
      <c r="C26" s="381" t="s">
        <v>35</v>
      </c>
      <c r="D26" s="382" t="s">
        <v>105</v>
      </c>
      <c r="E26" s="383">
        <v>10000</v>
      </c>
      <c r="F26" s="384">
        <v>46113</v>
      </c>
      <c r="G26" s="385">
        <v>2500</v>
      </c>
      <c r="H26" s="386">
        <v>22</v>
      </c>
      <c r="I26" s="385" t="s">
        <v>37</v>
      </c>
      <c r="J26" s="387"/>
      <c r="K26" s="388"/>
      <c r="L26" s="388"/>
      <c r="M26" s="15">
        <f t="shared" si="46"/>
        <v>0</v>
      </c>
      <c r="N26" s="388"/>
      <c r="O26" s="388"/>
      <c r="P26" s="388"/>
      <c r="Q26" s="388"/>
      <c r="R26" s="388"/>
      <c r="S26" s="388"/>
      <c r="T26" s="388"/>
      <c r="U26" s="388"/>
      <c r="V26" s="388"/>
      <c r="W26" s="385">
        <v>19</v>
      </c>
      <c r="X26" s="385">
        <v>160</v>
      </c>
      <c r="Y26" s="388">
        <f t="shared" si="47"/>
        <v>3040</v>
      </c>
      <c r="Z26" s="389"/>
      <c r="AA26" s="389"/>
      <c r="AB26" s="389"/>
      <c r="AC26" s="389"/>
      <c r="AD26" s="387"/>
      <c r="AE26" s="389"/>
      <c r="AF26" s="131"/>
      <c r="AG26" s="390">
        <v>1190.48</v>
      </c>
      <c r="AH26" s="256">
        <v>5989</v>
      </c>
      <c r="AI26" s="389"/>
      <c r="AJ26" s="391">
        <f t="shared" ref="AJ26:AJ28" si="48">AH26+AI26+AG26</f>
        <v>7179.48</v>
      </c>
      <c r="AK26" s="392">
        <f t="shared" si="45"/>
        <v>1651.2803999999999</v>
      </c>
      <c r="AL26" s="389"/>
      <c r="AM26" s="389"/>
      <c r="AN26" s="389"/>
      <c r="AO26" s="389"/>
      <c r="AP26" s="389"/>
      <c r="AQ26" s="390">
        <v>3694.76</v>
      </c>
      <c r="AR26" s="389"/>
      <c r="AS26" s="390">
        <v>1833.44</v>
      </c>
      <c r="AT26" s="393">
        <f t="shared" ref="AT26:AT28" si="49">AJ26-AK26-AL26-AS26-AN26-AM26-AR26-AQ26</f>
        <v>-4.0000000035433914E-4</v>
      </c>
      <c r="AU26" s="394">
        <f t="shared" ref="AU26:AU28" si="50">AL26+AM26+AN26+AQ26+AS26</f>
        <v>5528.2000000000007</v>
      </c>
      <c r="AV26" s="389"/>
      <c r="AW26" s="389"/>
      <c r="AX26" s="394">
        <f t="shared" si="11"/>
        <v>1651.2803999999999</v>
      </c>
      <c r="AY26" s="395">
        <f t="shared" si="12"/>
        <v>1579.4856</v>
      </c>
      <c r="AZ26" s="396">
        <f t="shared" si="13"/>
        <v>3230.7659999999996</v>
      </c>
      <c r="BA26" s="397">
        <f t="shared" si="14"/>
        <v>0</v>
      </c>
      <c r="BB26" s="56">
        <f t="shared" si="15"/>
        <v>-4.0000000080908649E-4</v>
      </c>
      <c r="BC26" s="398"/>
      <c r="BD26" s="398"/>
      <c r="BE26" s="398"/>
      <c r="BF26" s="398"/>
      <c r="BG26" s="398"/>
      <c r="BH26" s="398"/>
      <c r="BI26" s="398"/>
      <c r="BJ26" s="398"/>
      <c r="BK26" s="398"/>
      <c r="BL26" s="398"/>
      <c r="BM26" s="398"/>
      <c r="BN26" s="398"/>
      <c r="BO26" s="398"/>
      <c r="BP26" s="398"/>
      <c r="BQ26" s="398"/>
      <c r="BR26" s="398"/>
    </row>
    <row r="27" spans="1:70" ht="13.8">
      <c r="A27" s="54">
        <f t="shared" si="16"/>
        <v>23</v>
      </c>
      <c r="B27" s="399" t="s">
        <v>277</v>
      </c>
      <c r="C27" s="381" t="s">
        <v>35</v>
      </c>
      <c r="D27" s="382" t="s">
        <v>105</v>
      </c>
      <c r="E27" s="383">
        <v>10000</v>
      </c>
      <c r="F27" s="384">
        <v>46113</v>
      </c>
      <c r="G27" s="385">
        <v>2500</v>
      </c>
      <c r="H27" s="386">
        <v>22</v>
      </c>
      <c r="I27" s="385" t="s">
        <v>37</v>
      </c>
      <c r="J27" s="387"/>
      <c r="K27" s="388"/>
      <c r="L27" s="388"/>
      <c r="M27" s="15"/>
      <c r="N27" s="388"/>
      <c r="O27" s="388"/>
      <c r="P27" s="388"/>
      <c r="Q27" s="388"/>
      <c r="R27" s="388"/>
      <c r="S27" s="388"/>
      <c r="T27" s="388"/>
      <c r="U27" s="388"/>
      <c r="V27" s="388"/>
      <c r="W27" s="385">
        <v>22</v>
      </c>
      <c r="X27" s="385">
        <v>160</v>
      </c>
      <c r="Y27" s="388">
        <f t="shared" si="47"/>
        <v>3520</v>
      </c>
      <c r="Z27" s="389"/>
      <c r="AA27" s="389"/>
      <c r="AB27" s="389"/>
      <c r="AC27" s="389"/>
      <c r="AD27" s="387"/>
      <c r="AE27" s="389"/>
      <c r="AF27" s="131"/>
      <c r="AG27" s="390">
        <v>1190.48</v>
      </c>
      <c r="AH27" s="256">
        <f>4571+851</f>
        <v>5422</v>
      </c>
      <c r="AI27" s="389"/>
      <c r="AJ27" s="391">
        <f t="shared" si="48"/>
        <v>6612.48</v>
      </c>
      <c r="AK27" s="392">
        <f t="shared" si="45"/>
        <v>1520.8704</v>
      </c>
      <c r="AL27" s="389"/>
      <c r="AM27" s="389"/>
      <c r="AN27" s="389"/>
      <c r="AO27" s="389"/>
      <c r="AP27" s="389"/>
      <c r="AQ27" s="390">
        <f>3520+654.76</f>
        <v>4174.76</v>
      </c>
      <c r="AR27" s="389"/>
      <c r="AS27" s="390">
        <v>916.85</v>
      </c>
      <c r="AT27" s="393">
        <f t="shared" si="49"/>
        <v>-4.0000000080908649E-4</v>
      </c>
      <c r="AU27" s="394">
        <f t="shared" si="50"/>
        <v>5091.6100000000006</v>
      </c>
      <c r="AV27" s="389"/>
      <c r="AW27" s="389"/>
      <c r="AX27" s="394">
        <f t="shared" si="11"/>
        <v>1520.8704</v>
      </c>
      <c r="AY27" s="395">
        <f t="shared" si="12"/>
        <v>1454.7456</v>
      </c>
      <c r="AZ27" s="396">
        <f t="shared" si="13"/>
        <v>2975.616</v>
      </c>
      <c r="BA27" s="397">
        <f t="shared" si="14"/>
        <v>0</v>
      </c>
      <c r="BB27" s="56">
        <f t="shared" si="15"/>
        <v>-4.0000000080908649E-4</v>
      </c>
      <c r="BC27" s="398"/>
      <c r="BD27" s="398"/>
      <c r="BE27" s="398"/>
      <c r="BF27" s="398"/>
      <c r="BG27" s="398"/>
      <c r="BH27" s="398"/>
      <c r="BI27" s="398"/>
      <c r="BJ27" s="398"/>
      <c r="BK27" s="398"/>
      <c r="BL27" s="398"/>
      <c r="BM27" s="398"/>
      <c r="BN27" s="398"/>
      <c r="BO27" s="398"/>
      <c r="BP27" s="398"/>
      <c r="BQ27" s="398"/>
      <c r="BR27" s="398"/>
    </row>
    <row r="28" spans="1:70" ht="27.6">
      <c r="A28" s="54">
        <f t="shared" si="16"/>
        <v>24</v>
      </c>
      <c r="B28" s="321" t="s">
        <v>216</v>
      </c>
      <c r="C28" s="13" t="s">
        <v>35</v>
      </c>
      <c r="D28" s="16" t="s">
        <v>217</v>
      </c>
      <c r="E28" s="94">
        <v>8700</v>
      </c>
      <c r="F28" s="14">
        <v>46113</v>
      </c>
      <c r="G28" s="16">
        <f>E28/4</f>
        <v>2175</v>
      </c>
      <c r="H28" s="16">
        <v>22</v>
      </c>
      <c r="I28" s="15" t="s">
        <v>41</v>
      </c>
      <c r="J28" s="17"/>
      <c r="K28" s="33"/>
      <c r="L28" s="15"/>
      <c r="M28" s="15">
        <f t="shared" ref="M28:M29" si="51">K28*L28</f>
        <v>0</v>
      </c>
      <c r="N28" s="18"/>
      <c r="O28" s="15"/>
      <c r="P28" s="19"/>
      <c r="Q28" s="18"/>
      <c r="R28" s="15"/>
      <c r="S28" s="19"/>
      <c r="T28" s="18"/>
      <c r="U28" s="18"/>
      <c r="V28" s="18"/>
      <c r="W28" s="18"/>
      <c r="X28" s="15"/>
      <c r="Y28" s="19"/>
      <c r="Z28" s="20"/>
      <c r="AA28" s="320"/>
      <c r="AB28" s="320"/>
      <c r="AC28" s="320"/>
      <c r="AD28" s="16"/>
      <c r="AE28" s="238"/>
      <c r="AF28" s="22">
        <f t="shared" ref="AF28:AF32" si="52">M28+P28+S28+V28+Y28</f>
        <v>0</v>
      </c>
      <c r="AG28" s="23">
        <v>2175</v>
      </c>
      <c r="AH28" s="238"/>
      <c r="AI28" s="20"/>
      <c r="AJ28" s="391">
        <f t="shared" si="48"/>
        <v>2175</v>
      </c>
      <c r="AK28" s="392">
        <f t="shared" si="45"/>
        <v>500.25</v>
      </c>
      <c r="AL28" s="23">
        <v>877.26</v>
      </c>
      <c r="AM28" s="23"/>
      <c r="AN28" s="23"/>
      <c r="AO28" s="23"/>
      <c r="AP28" s="23"/>
      <c r="AQ28" s="23"/>
      <c r="AR28" s="238"/>
      <c r="AS28" s="23">
        <v>797.49</v>
      </c>
      <c r="AT28" s="393">
        <f t="shared" si="49"/>
        <v>0</v>
      </c>
      <c r="AU28" s="394">
        <f t="shared" si="50"/>
        <v>1674.75</v>
      </c>
      <c r="AV28" s="389"/>
      <c r="AW28" s="389"/>
      <c r="AX28" s="394">
        <f t="shared" si="11"/>
        <v>500.25</v>
      </c>
      <c r="AY28" s="395">
        <f t="shared" si="12"/>
        <v>478.5</v>
      </c>
      <c r="AZ28" s="396">
        <f t="shared" si="13"/>
        <v>978.75</v>
      </c>
      <c r="BA28" s="397">
        <f t="shared" si="14"/>
        <v>0</v>
      </c>
      <c r="BB28" s="56">
        <f t="shared" si="15"/>
        <v>0</v>
      </c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 ht="13.8">
      <c r="A29" s="54">
        <f t="shared" si="16"/>
        <v>25</v>
      </c>
      <c r="B29" s="248" t="s">
        <v>71</v>
      </c>
      <c r="C29" s="13" t="s">
        <v>35</v>
      </c>
      <c r="D29" s="16" t="s">
        <v>115</v>
      </c>
      <c r="E29" s="16">
        <v>39000</v>
      </c>
      <c r="F29" s="16">
        <v>1</v>
      </c>
      <c r="G29" s="16">
        <v>39000</v>
      </c>
      <c r="H29" s="16">
        <v>22</v>
      </c>
      <c r="I29" s="16" t="s">
        <v>37</v>
      </c>
      <c r="J29" s="18"/>
      <c r="K29" s="16"/>
      <c r="L29" s="17">
        <v>100</v>
      </c>
      <c r="M29" s="15">
        <f t="shared" si="51"/>
        <v>0</v>
      </c>
      <c r="N29" s="18"/>
      <c r="O29" s="15"/>
      <c r="P29" s="19"/>
      <c r="Q29" s="18"/>
      <c r="R29" s="15"/>
      <c r="S29" s="19"/>
      <c r="T29" s="18"/>
      <c r="U29" s="18"/>
      <c r="V29" s="18"/>
      <c r="W29" s="18"/>
      <c r="X29" s="15"/>
      <c r="Y29" s="19"/>
      <c r="Z29" s="20"/>
      <c r="AA29" s="17"/>
      <c r="AB29" s="17"/>
      <c r="AC29" s="17"/>
      <c r="AD29" s="17"/>
      <c r="AE29" s="23"/>
      <c r="AF29" s="22">
        <f t="shared" si="52"/>
        <v>0</v>
      </c>
      <c r="AG29" s="23">
        <v>35285.71</v>
      </c>
      <c r="AH29" s="20"/>
      <c r="AI29" s="24"/>
      <c r="AJ29" s="25">
        <f>AG29+AI29+AH29</f>
        <v>35285.71</v>
      </c>
      <c r="AK29" s="26">
        <f t="shared" si="45"/>
        <v>8115.7133000000003</v>
      </c>
      <c r="AL29" s="23">
        <v>15730</v>
      </c>
      <c r="AM29" s="23"/>
      <c r="AN29" s="23"/>
      <c r="AO29" s="23"/>
      <c r="AP29" s="23"/>
      <c r="AQ29" s="23"/>
      <c r="AR29" s="23"/>
      <c r="AS29" s="23">
        <v>11440</v>
      </c>
      <c r="AT29" s="27">
        <f>AJ29-AK29-AL29-AS29-AN29-AQ29-AM29</f>
        <v>-3.3000000003085006E-3</v>
      </c>
      <c r="AU29" s="361">
        <f>AL29+AM29+AQ29+AS29</f>
        <v>27170</v>
      </c>
      <c r="AV29" s="361"/>
      <c r="AW29" s="361"/>
      <c r="AX29" s="361">
        <f t="shared" si="11"/>
        <v>8115.7133000000003</v>
      </c>
      <c r="AY29" s="24">
        <f t="shared" si="12"/>
        <v>7762.8562000000002</v>
      </c>
      <c r="AZ29" s="30">
        <f t="shared" si="13"/>
        <v>15878.569500000001</v>
      </c>
      <c r="BA29" s="31">
        <f t="shared" si="14"/>
        <v>0</v>
      </c>
      <c r="BB29" s="56">
        <f t="shared" si="15"/>
        <v>-3.3000000003085006E-3</v>
      </c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 ht="27.6">
      <c r="A30" s="54">
        <f t="shared" si="16"/>
        <v>26</v>
      </c>
      <c r="B30" s="371" t="s">
        <v>73</v>
      </c>
      <c r="C30" s="13" t="s">
        <v>35</v>
      </c>
      <c r="D30" s="16" t="s">
        <v>74</v>
      </c>
      <c r="E30" s="16">
        <v>12900</v>
      </c>
      <c r="F30" s="16">
        <v>1</v>
      </c>
      <c r="G30" s="16">
        <v>12900</v>
      </c>
      <c r="H30" s="16">
        <v>22</v>
      </c>
      <c r="I30" s="16" t="s">
        <v>37</v>
      </c>
      <c r="J30" s="16" t="s">
        <v>278</v>
      </c>
      <c r="K30" s="21"/>
      <c r="L30" s="15"/>
      <c r="M30" s="15"/>
      <c r="N30" s="18"/>
      <c r="O30" s="15"/>
      <c r="P30" s="19"/>
      <c r="Q30" s="18"/>
      <c r="R30" s="15"/>
      <c r="S30" s="19"/>
      <c r="T30" s="18"/>
      <c r="U30" s="18"/>
      <c r="V30" s="18"/>
      <c r="W30" s="18"/>
      <c r="X30" s="15"/>
      <c r="Y30" s="19"/>
      <c r="Z30" s="238">
        <v>1500</v>
      </c>
      <c r="AA30" s="16"/>
      <c r="AB30" s="16"/>
      <c r="AC30" s="16"/>
      <c r="AD30" s="16"/>
      <c r="AE30" s="238">
        <f>1706.96+426.74</f>
        <v>2133.6999999999998</v>
      </c>
      <c r="AF30" s="22">
        <f t="shared" si="52"/>
        <v>0</v>
      </c>
      <c r="AG30" s="23">
        <v>12490.38</v>
      </c>
      <c r="AH30" s="375">
        <f t="shared" ref="AH30:AH31" si="53">(AQ30/77)*100</f>
        <v>28614</v>
      </c>
      <c r="AI30" s="20"/>
      <c r="AJ30" s="25">
        <f>AG30+AI30+AH30+AD30+AC30+AB30+Z30+AE30</f>
        <v>44738.079999999994</v>
      </c>
      <c r="AK30" s="26">
        <f t="shared" si="45"/>
        <v>10289.758399999999</v>
      </c>
      <c r="AL30" s="23">
        <v>4517.17</v>
      </c>
      <c r="AM30" s="23"/>
      <c r="AN30" s="23"/>
      <c r="AO30" s="23">
        <v>1642.95</v>
      </c>
      <c r="AP30" s="23"/>
      <c r="AQ30" s="23">
        <v>22032.78</v>
      </c>
      <c r="AR30" s="400">
        <v>1150</v>
      </c>
      <c r="AS30" s="23">
        <v>5105.42</v>
      </c>
      <c r="AT30" s="27">
        <f>AJ30-AK30-AL30-AS30-AN30-AQ30-AM30-AR30-AP30-AO30</f>
        <v>1.6000000002804882E-3</v>
      </c>
      <c r="AU30" s="361">
        <f>AL30+AM30+AN30+AQ30+AR30+AS30+AO30+AP30</f>
        <v>34448.319999999992</v>
      </c>
      <c r="AV30" s="361"/>
      <c r="AW30" s="361"/>
      <c r="AX30" s="361">
        <f t="shared" si="11"/>
        <v>10289.758399999999</v>
      </c>
      <c r="AY30" s="24">
        <f t="shared" si="12"/>
        <v>9842.377599999998</v>
      </c>
      <c r="AZ30" s="30">
        <f t="shared" si="13"/>
        <v>20132.135999999999</v>
      </c>
      <c r="BA30" s="31">
        <f t="shared" si="14"/>
        <v>0</v>
      </c>
      <c r="BB30" s="56">
        <f t="shared" si="15"/>
        <v>1.6000000032363459E-3</v>
      </c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 ht="27.6">
      <c r="A31" s="54">
        <f t="shared" si="16"/>
        <v>27</v>
      </c>
      <c r="B31" s="371" t="s">
        <v>252</v>
      </c>
      <c r="C31" s="13" t="s">
        <v>35</v>
      </c>
      <c r="D31" s="16" t="s">
        <v>74</v>
      </c>
      <c r="E31" s="16">
        <v>10000</v>
      </c>
      <c r="F31" s="306">
        <v>1</v>
      </c>
      <c r="G31" s="16">
        <v>10000</v>
      </c>
      <c r="H31" s="16">
        <v>22</v>
      </c>
      <c r="I31" s="15" t="s">
        <v>41</v>
      </c>
      <c r="J31" s="16" t="s">
        <v>279</v>
      </c>
      <c r="K31" s="33"/>
      <c r="L31" s="15"/>
      <c r="M31" s="15"/>
      <c r="N31" s="18"/>
      <c r="O31" s="15"/>
      <c r="P31" s="19"/>
      <c r="Q31" s="18"/>
      <c r="R31" s="15"/>
      <c r="S31" s="19"/>
      <c r="T31" s="18"/>
      <c r="U31" s="18"/>
      <c r="V31" s="18"/>
      <c r="W31" s="18"/>
      <c r="X31" s="15"/>
      <c r="Y31" s="19"/>
      <c r="Z31" s="238">
        <v>1860</v>
      </c>
      <c r="AA31" s="16">
        <v>1948.05</v>
      </c>
      <c r="AB31" s="16"/>
      <c r="AC31" s="16"/>
      <c r="AD31" s="18"/>
      <c r="AE31" s="20"/>
      <c r="AF31" s="22">
        <f t="shared" si="52"/>
        <v>0</v>
      </c>
      <c r="AG31" s="23">
        <v>2500</v>
      </c>
      <c r="AH31" s="375">
        <f t="shared" si="53"/>
        <v>33863</v>
      </c>
      <c r="AI31" s="20"/>
      <c r="AJ31" s="25">
        <f>AG31+AI31+AH31+AD31+AC31+Z31+AA31</f>
        <v>40171.050000000003</v>
      </c>
      <c r="AK31" s="26">
        <f t="shared" si="45"/>
        <v>9239.3415000000005</v>
      </c>
      <c r="AL31" s="23">
        <v>931.46</v>
      </c>
      <c r="AM31" s="23"/>
      <c r="AN31" s="23"/>
      <c r="AO31" s="23"/>
      <c r="AP31" s="23"/>
      <c r="AQ31" s="23">
        <v>26074.51</v>
      </c>
      <c r="AR31" s="238">
        <v>2932.19</v>
      </c>
      <c r="AS31" s="23">
        <v>993.55</v>
      </c>
      <c r="AT31" s="27">
        <f>AJ31-AK31-AL31-AS31-AN31-AQ31-AM31-AR31</f>
        <v>-1.4999999962128641E-3</v>
      </c>
      <c r="AU31" s="361">
        <f t="shared" ref="AU31:AU32" si="54">AL31+AM31+AN31+AQ31+AR31+AS31+AO31</f>
        <v>30931.709999999995</v>
      </c>
      <c r="AV31" s="361"/>
      <c r="AW31" s="361"/>
      <c r="AX31" s="361">
        <f t="shared" si="11"/>
        <v>9239.3415000000005</v>
      </c>
      <c r="AY31" s="24">
        <f t="shared" si="12"/>
        <v>8837.6310000000012</v>
      </c>
      <c r="AZ31" s="30">
        <f t="shared" si="13"/>
        <v>18076.972500000003</v>
      </c>
      <c r="BA31" s="31">
        <f t="shared" si="14"/>
        <v>0</v>
      </c>
      <c r="BB31" s="56">
        <f t="shared" si="15"/>
        <v>-1.499999994848622E-3</v>
      </c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 ht="13.8">
      <c r="A32" s="54">
        <f t="shared" si="16"/>
        <v>28</v>
      </c>
      <c r="B32" s="371" t="s">
        <v>75</v>
      </c>
      <c r="C32" s="13" t="s">
        <v>35</v>
      </c>
      <c r="D32" s="16" t="s">
        <v>76</v>
      </c>
      <c r="E32" s="16">
        <v>8700</v>
      </c>
      <c r="F32" s="16">
        <v>1</v>
      </c>
      <c r="G32" s="16">
        <v>8700</v>
      </c>
      <c r="H32" s="16">
        <v>22</v>
      </c>
      <c r="I32" s="16" t="s">
        <v>37</v>
      </c>
      <c r="J32" s="17">
        <v>13500</v>
      </c>
      <c r="K32" s="33"/>
      <c r="L32" s="15"/>
      <c r="M32" s="15"/>
      <c r="N32" s="18"/>
      <c r="O32" s="15"/>
      <c r="P32" s="19"/>
      <c r="Q32" s="18"/>
      <c r="R32" s="15"/>
      <c r="S32" s="19"/>
      <c r="T32" s="18"/>
      <c r="U32" s="18"/>
      <c r="V32" s="18"/>
      <c r="W32" s="18"/>
      <c r="X32" s="15"/>
      <c r="Y32" s="19"/>
      <c r="Z32" s="20"/>
      <c r="AA32" s="16"/>
      <c r="AB32" s="16"/>
      <c r="AC32" s="16"/>
      <c r="AD32" s="18"/>
      <c r="AE32" s="20"/>
      <c r="AF32" s="22">
        <f t="shared" si="52"/>
        <v>0</v>
      </c>
      <c r="AG32" s="23">
        <v>8700</v>
      </c>
      <c r="AH32" s="238">
        <v>8833</v>
      </c>
      <c r="AI32" s="20"/>
      <c r="AJ32" s="25">
        <f>AG32+AI32+AH32+AD32+AC32</f>
        <v>17533</v>
      </c>
      <c r="AK32" s="26">
        <f t="shared" si="45"/>
        <v>4032.59</v>
      </c>
      <c r="AL32" s="23">
        <v>3508.99</v>
      </c>
      <c r="AM32" s="23"/>
      <c r="AN32" s="23"/>
      <c r="AO32" s="23"/>
      <c r="AP32" s="23"/>
      <c r="AQ32" s="23">
        <v>6801.41</v>
      </c>
      <c r="AR32" s="238"/>
      <c r="AS32" s="23">
        <v>3190.01</v>
      </c>
      <c r="AT32" s="27">
        <f>AJ32-AK32-AL32-AS32-AN32-AQ32-AM32-AR32-AO32</f>
        <v>0</v>
      </c>
      <c r="AU32" s="361">
        <f t="shared" si="54"/>
        <v>13500.41</v>
      </c>
      <c r="AV32" s="361"/>
      <c r="AW32" s="361"/>
      <c r="AX32" s="361">
        <f t="shared" si="11"/>
        <v>4032.59</v>
      </c>
      <c r="AY32" s="24">
        <f t="shared" si="12"/>
        <v>3857.26</v>
      </c>
      <c r="AZ32" s="30">
        <f t="shared" si="13"/>
        <v>7889.85</v>
      </c>
      <c r="BA32" s="31">
        <f t="shared" si="14"/>
        <v>0</v>
      </c>
      <c r="BB32" s="56">
        <f t="shared" si="15"/>
        <v>0</v>
      </c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 ht="13.8">
      <c r="A33" s="132">
        <f>A74+1</f>
        <v>27</v>
      </c>
      <c r="B33" s="371" t="s">
        <v>113</v>
      </c>
      <c r="C33" s="13" t="s">
        <v>35</v>
      </c>
      <c r="D33" s="16" t="s">
        <v>114</v>
      </c>
      <c r="E33" s="16">
        <v>60000</v>
      </c>
      <c r="F33" s="401">
        <v>46054</v>
      </c>
      <c r="G33" s="16">
        <f t="shared" ref="G33:G35" si="55">E33/2</f>
        <v>30000</v>
      </c>
      <c r="H33" s="16">
        <v>22</v>
      </c>
      <c r="I33" s="16" t="s">
        <v>37</v>
      </c>
      <c r="J33" s="18"/>
      <c r="K33" s="18"/>
      <c r="L33" s="15"/>
      <c r="M33" s="15"/>
      <c r="N33" s="18"/>
      <c r="O33" s="15"/>
      <c r="P33" s="19"/>
      <c r="Q33" s="18"/>
      <c r="R33" s="15"/>
      <c r="S33" s="19"/>
      <c r="T33" s="18"/>
      <c r="U33" s="18"/>
      <c r="V33" s="18"/>
      <c r="W33" s="18"/>
      <c r="X33" s="15"/>
      <c r="Y33" s="19"/>
      <c r="Z33" s="20"/>
      <c r="AA33" s="23"/>
      <c r="AB33" s="23"/>
      <c r="AC33" s="23"/>
      <c r="AD33" s="17">
        <v>3110.88</v>
      </c>
      <c r="AE33" s="23"/>
      <c r="AF33" s="402"/>
      <c r="AG33" s="23">
        <f>25714.29+4285.71</f>
        <v>30000</v>
      </c>
      <c r="AH33" s="20"/>
      <c r="AI33" s="20"/>
      <c r="AJ33" s="25">
        <f>AG33+AI33+AD33</f>
        <v>33110.879999999997</v>
      </c>
      <c r="AK33" s="26">
        <f t="shared" si="45"/>
        <v>7615.5023999999994</v>
      </c>
      <c r="AL33" s="23">
        <v>12100.01</v>
      </c>
      <c r="AM33" s="23"/>
      <c r="AN33" s="23">
        <v>10095.370000000001</v>
      </c>
      <c r="AO33" s="23"/>
      <c r="AP33" s="23"/>
      <c r="AQ33" s="23"/>
      <c r="AR33" s="23"/>
      <c r="AS33" s="23">
        <v>3300</v>
      </c>
      <c r="AT33" s="27">
        <f t="shared" ref="AT33:AT38" si="56">AJ33-AK33-AL33-AS33-AN33-AM33-AR33-AQ33</f>
        <v>-2.4000000012165401E-3</v>
      </c>
      <c r="AU33" s="361">
        <f t="shared" ref="AU33:AU36" si="57">AL33+AM33+AN33+AQ33+AS33</f>
        <v>25495.38</v>
      </c>
      <c r="AV33" s="361"/>
      <c r="AW33" s="361"/>
      <c r="AX33" s="361">
        <f t="shared" si="11"/>
        <v>7615.5023999999994</v>
      </c>
      <c r="AY33" s="24">
        <f t="shared" si="12"/>
        <v>7284.3935999999994</v>
      </c>
      <c r="AZ33" s="30">
        <f t="shared" si="13"/>
        <v>14899.895999999999</v>
      </c>
      <c r="BA33" s="31">
        <f t="shared" si="14"/>
        <v>0</v>
      </c>
      <c r="BB33" s="56">
        <f t="shared" si="15"/>
        <v>-2.4000000012165401E-3</v>
      </c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 ht="13.8">
      <c r="A34" s="355" t="s">
        <v>280</v>
      </c>
      <c r="B34" s="371" t="s">
        <v>118</v>
      </c>
      <c r="C34" s="13" t="s">
        <v>35</v>
      </c>
      <c r="D34" s="16" t="s">
        <v>119</v>
      </c>
      <c r="E34" s="16">
        <v>26000</v>
      </c>
      <c r="F34" s="306" t="s">
        <v>253</v>
      </c>
      <c r="G34" s="17">
        <f t="shared" si="55"/>
        <v>13000</v>
      </c>
      <c r="H34" s="16">
        <v>22</v>
      </c>
      <c r="I34" s="16" t="s">
        <v>37</v>
      </c>
      <c r="J34" s="16">
        <v>10010</v>
      </c>
      <c r="K34" s="18"/>
      <c r="L34" s="15"/>
      <c r="M34" s="15"/>
      <c r="N34" s="18"/>
      <c r="O34" s="15"/>
      <c r="P34" s="19"/>
      <c r="Q34" s="18"/>
      <c r="R34" s="15"/>
      <c r="S34" s="19"/>
      <c r="T34" s="18"/>
      <c r="U34" s="18"/>
      <c r="V34" s="18"/>
      <c r="W34" s="18"/>
      <c r="X34" s="15"/>
      <c r="Y34" s="19"/>
      <c r="Z34" s="20"/>
      <c r="AA34" s="24"/>
      <c r="AB34" s="24"/>
      <c r="AC34" s="24"/>
      <c r="AD34" s="15"/>
      <c r="AE34" s="20"/>
      <c r="AF34" s="402"/>
      <c r="AG34" s="23">
        <v>13000</v>
      </c>
      <c r="AH34" s="238"/>
      <c r="AI34" s="238"/>
      <c r="AJ34" s="25">
        <f>AH34+AI34+AG34</f>
        <v>13000</v>
      </c>
      <c r="AK34" s="26">
        <f t="shared" si="45"/>
        <v>2990</v>
      </c>
      <c r="AL34" s="23">
        <v>5243.33</v>
      </c>
      <c r="AM34" s="23"/>
      <c r="AN34" s="23"/>
      <c r="AO34" s="23"/>
      <c r="AP34" s="23"/>
      <c r="AQ34" s="23"/>
      <c r="AR34" s="23"/>
      <c r="AS34" s="23">
        <v>4766.67</v>
      </c>
      <c r="AT34" s="27">
        <f t="shared" si="56"/>
        <v>0</v>
      </c>
      <c r="AU34" s="361">
        <f t="shared" si="57"/>
        <v>10010</v>
      </c>
      <c r="AV34" s="361"/>
      <c r="AW34" s="403"/>
      <c r="AX34" s="361">
        <f t="shared" si="11"/>
        <v>2990</v>
      </c>
      <c r="AY34" s="24">
        <f t="shared" si="12"/>
        <v>2860</v>
      </c>
      <c r="AZ34" s="30">
        <f t="shared" si="13"/>
        <v>5850</v>
      </c>
      <c r="BA34" s="31">
        <f t="shared" si="14"/>
        <v>0</v>
      </c>
      <c r="BB34" s="56">
        <f t="shared" si="15"/>
        <v>0</v>
      </c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 ht="13.8">
      <c r="A35" s="355" t="s">
        <v>281</v>
      </c>
      <c r="B35" s="371" t="s">
        <v>117</v>
      </c>
      <c r="C35" s="13" t="s">
        <v>35</v>
      </c>
      <c r="D35" s="16" t="s">
        <v>254</v>
      </c>
      <c r="E35" s="16">
        <v>26000</v>
      </c>
      <c r="F35" s="306" t="s">
        <v>253</v>
      </c>
      <c r="G35" s="17">
        <f t="shared" si="55"/>
        <v>13000</v>
      </c>
      <c r="H35" s="16">
        <v>8.41</v>
      </c>
      <c r="I35" s="16" t="s">
        <v>37</v>
      </c>
      <c r="J35" s="18"/>
      <c r="K35" s="18"/>
      <c r="L35" s="15"/>
      <c r="M35" s="15"/>
      <c r="N35" s="18"/>
      <c r="O35" s="15"/>
      <c r="P35" s="19"/>
      <c r="Q35" s="18"/>
      <c r="R35" s="15"/>
      <c r="S35" s="19"/>
      <c r="T35" s="18"/>
      <c r="U35" s="18"/>
      <c r="V35" s="18"/>
      <c r="W35" s="18"/>
      <c r="X35" s="15"/>
      <c r="Y35" s="19"/>
      <c r="Z35" s="20"/>
      <c r="AA35" s="24"/>
      <c r="AB35" s="24"/>
      <c r="AC35" s="23"/>
      <c r="AD35" s="15"/>
      <c r="AE35" s="20"/>
      <c r="AF35" s="402"/>
      <c r="AG35" s="23">
        <v>26000</v>
      </c>
      <c r="AH35" s="238"/>
      <c r="AI35" s="238"/>
      <c r="AJ35" s="25">
        <f>AH35+AI35+AG35+AC35</f>
        <v>26000</v>
      </c>
      <c r="AK35" s="26">
        <f t="shared" si="45"/>
        <v>5980</v>
      </c>
      <c r="AL35" s="23">
        <v>10486.67</v>
      </c>
      <c r="AM35" s="23"/>
      <c r="AN35" s="23"/>
      <c r="AO35" s="23"/>
      <c r="AP35" s="23"/>
      <c r="AQ35" s="23"/>
      <c r="AR35" s="23"/>
      <c r="AS35" s="23">
        <v>9533.33</v>
      </c>
      <c r="AT35" s="27">
        <f t="shared" si="56"/>
        <v>0</v>
      </c>
      <c r="AU35" s="361">
        <f t="shared" si="57"/>
        <v>20020</v>
      </c>
      <c r="AV35" s="361"/>
      <c r="AW35" s="403"/>
      <c r="AX35" s="361">
        <f t="shared" si="11"/>
        <v>5980</v>
      </c>
      <c r="AY35" s="24">
        <f t="shared" si="12"/>
        <v>2186.6000000000004</v>
      </c>
      <c r="AZ35" s="30">
        <f t="shared" si="13"/>
        <v>8166.6</v>
      </c>
      <c r="BA35" s="31">
        <f t="shared" si="14"/>
        <v>0</v>
      </c>
      <c r="BB35" s="56">
        <f t="shared" si="15"/>
        <v>0</v>
      </c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 ht="13.8">
      <c r="A36" s="355" t="s">
        <v>282</v>
      </c>
      <c r="B36" s="325" t="s">
        <v>121</v>
      </c>
      <c r="C36" s="13" t="s">
        <v>35</v>
      </c>
      <c r="D36" s="16" t="s">
        <v>122</v>
      </c>
      <c r="E36" s="16">
        <f>19500+6500</f>
        <v>26000</v>
      </c>
      <c r="F36" s="401">
        <v>46113</v>
      </c>
      <c r="G36" s="16">
        <f>4875+6500</f>
        <v>11375</v>
      </c>
      <c r="H36" s="16"/>
      <c r="I36" s="16" t="s">
        <v>37</v>
      </c>
      <c r="J36" s="16">
        <v>5000</v>
      </c>
      <c r="K36" s="18"/>
      <c r="L36" s="15"/>
      <c r="M36" s="15"/>
      <c r="N36" s="18"/>
      <c r="O36" s="15"/>
      <c r="P36" s="19"/>
      <c r="Q36" s="18"/>
      <c r="R36" s="15"/>
      <c r="S36" s="19"/>
      <c r="T36" s="18"/>
      <c r="U36" s="18"/>
      <c r="V36" s="18"/>
      <c r="W36" s="18"/>
      <c r="X36" s="15"/>
      <c r="Y36" s="19"/>
      <c r="Z36" s="20"/>
      <c r="AA36" s="24"/>
      <c r="AB36" s="24"/>
      <c r="AC36" s="24"/>
      <c r="AD36" s="15"/>
      <c r="AE36" s="20"/>
      <c r="AF36" s="402"/>
      <c r="AG36" s="23">
        <v>6500</v>
      </c>
      <c r="AH36" s="238"/>
      <c r="AI36" s="20"/>
      <c r="AJ36" s="25">
        <f>AH36+AI36+AG36</f>
        <v>6500</v>
      </c>
      <c r="AK36" s="26">
        <f t="shared" si="45"/>
        <v>1495</v>
      </c>
      <c r="AL36" s="23">
        <v>2621.66</v>
      </c>
      <c r="AM36" s="23"/>
      <c r="AN36" s="23"/>
      <c r="AO36" s="23"/>
      <c r="AP36" s="23"/>
      <c r="AQ36" s="23"/>
      <c r="AR36" s="23"/>
      <c r="AS36" s="23">
        <v>2383.34</v>
      </c>
      <c r="AT36" s="27">
        <f t="shared" si="56"/>
        <v>0</v>
      </c>
      <c r="AU36" s="361">
        <f t="shared" si="57"/>
        <v>5005</v>
      </c>
      <c r="AV36" s="361"/>
      <c r="AW36" s="403"/>
      <c r="AX36" s="361">
        <f t="shared" si="11"/>
        <v>1495</v>
      </c>
      <c r="AY36" s="24">
        <f t="shared" si="12"/>
        <v>0</v>
      </c>
      <c r="AZ36" s="30">
        <f t="shared" si="13"/>
        <v>1495</v>
      </c>
      <c r="BA36" s="31">
        <f t="shared" si="14"/>
        <v>0</v>
      </c>
      <c r="BB36" s="56">
        <f t="shared" si="15"/>
        <v>0</v>
      </c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 ht="13.8">
      <c r="A37" s="355" t="s">
        <v>283</v>
      </c>
      <c r="B37" s="371" t="s">
        <v>125</v>
      </c>
      <c r="C37" s="13" t="s">
        <v>35</v>
      </c>
      <c r="D37" s="404" t="s">
        <v>284</v>
      </c>
      <c r="E37" s="16">
        <v>26000</v>
      </c>
      <c r="F37" s="401">
        <v>46113</v>
      </c>
      <c r="G37" s="20">
        <f>E37/4</f>
        <v>6500</v>
      </c>
      <c r="H37" s="16">
        <v>22</v>
      </c>
      <c r="I37" s="16" t="s">
        <v>37</v>
      </c>
      <c r="J37" s="18"/>
      <c r="K37" s="18"/>
      <c r="L37" s="15"/>
      <c r="M37" s="15"/>
      <c r="N37" s="18"/>
      <c r="O37" s="15"/>
      <c r="P37" s="19"/>
      <c r="Q37" s="18"/>
      <c r="R37" s="15"/>
      <c r="S37" s="19"/>
      <c r="T37" s="18"/>
      <c r="U37" s="18"/>
      <c r="V37" s="18"/>
      <c r="W37" s="18"/>
      <c r="X37" s="15"/>
      <c r="Y37" s="19"/>
      <c r="Z37" s="20"/>
      <c r="AA37" s="24"/>
      <c r="AB37" s="24"/>
      <c r="AC37" s="23"/>
      <c r="AD37" s="15"/>
      <c r="AE37" s="20"/>
      <c r="AF37" s="402"/>
      <c r="AG37" s="23">
        <v>6500</v>
      </c>
      <c r="AH37" s="20"/>
      <c r="AI37" s="20"/>
      <c r="AJ37" s="25">
        <f t="shared" ref="AJ37:AJ38" si="58">AH37+AI37+AC37+AG37</f>
        <v>6500</v>
      </c>
      <c r="AK37" s="26">
        <f t="shared" si="45"/>
        <v>1495</v>
      </c>
      <c r="AL37" s="23">
        <v>2621.66</v>
      </c>
      <c r="AM37" s="23"/>
      <c r="AN37" s="23"/>
      <c r="AO37" s="23"/>
      <c r="AP37" s="23"/>
      <c r="AQ37" s="23"/>
      <c r="AR37" s="23"/>
      <c r="AS37" s="23">
        <v>2383.34</v>
      </c>
      <c r="AT37" s="27">
        <f t="shared" si="56"/>
        <v>0</v>
      </c>
      <c r="AU37" s="361">
        <f t="shared" ref="AU37:AU38" si="59">AL37+AM37+AN37+AQ37+AS37+AU88</f>
        <v>5005</v>
      </c>
      <c r="AV37" s="361"/>
      <c r="AW37" s="403"/>
      <c r="AX37" s="361">
        <f t="shared" si="11"/>
        <v>1495</v>
      </c>
      <c r="AY37" s="24">
        <f t="shared" si="12"/>
        <v>1430</v>
      </c>
      <c r="AZ37" s="30">
        <f t="shared" si="13"/>
        <v>2925</v>
      </c>
      <c r="BA37" s="31">
        <f t="shared" si="14"/>
        <v>0</v>
      </c>
      <c r="BB37" s="56">
        <f t="shared" si="15"/>
        <v>0</v>
      </c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 ht="13.8">
      <c r="A38" s="355" t="s">
        <v>285</v>
      </c>
      <c r="B38" s="405" t="s">
        <v>286</v>
      </c>
      <c r="C38" s="13" t="s">
        <v>35</v>
      </c>
      <c r="D38" s="377" t="s">
        <v>119</v>
      </c>
      <c r="E38" s="16">
        <v>12500</v>
      </c>
      <c r="F38" s="377">
        <v>1</v>
      </c>
      <c r="G38" s="17">
        <v>12500</v>
      </c>
      <c r="H38" s="16">
        <v>22</v>
      </c>
      <c r="I38" s="16" t="s">
        <v>37</v>
      </c>
      <c r="J38" s="17">
        <v>9625</v>
      </c>
      <c r="K38" s="361"/>
      <c r="L38" s="361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  <c r="Z38" s="361"/>
      <c r="AA38" s="361"/>
      <c r="AB38" s="361"/>
      <c r="AC38" s="361"/>
      <c r="AD38" s="361"/>
      <c r="AE38" s="361"/>
      <c r="AF38" s="361"/>
      <c r="AG38" s="23">
        <v>1785.71</v>
      </c>
      <c r="AH38" s="361"/>
      <c r="AI38" s="361"/>
      <c r="AJ38" s="25">
        <f t="shared" si="58"/>
        <v>1785.71</v>
      </c>
      <c r="AK38" s="26">
        <f t="shared" si="45"/>
        <v>410.7133</v>
      </c>
      <c r="AL38" s="23"/>
      <c r="AM38" s="361"/>
      <c r="AN38" s="361"/>
      <c r="AO38" s="361"/>
      <c r="AP38" s="361"/>
      <c r="AQ38" s="361"/>
      <c r="AR38" s="361"/>
      <c r="AS38" s="403">
        <v>1374.99</v>
      </c>
      <c r="AT38" s="27">
        <f t="shared" si="56"/>
        <v>6.7000000001371518E-3</v>
      </c>
      <c r="AU38" s="361">
        <f t="shared" si="59"/>
        <v>1374.99</v>
      </c>
      <c r="AV38" s="361"/>
      <c r="AW38" s="403"/>
      <c r="AX38" s="361">
        <f t="shared" si="11"/>
        <v>410.7133</v>
      </c>
      <c r="AY38" s="24">
        <f t="shared" si="12"/>
        <v>392.8562</v>
      </c>
      <c r="AZ38" s="30">
        <f t="shared" si="13"/>
        <v>803.56950000000006</v>
      </c>
      <c r="BA38" s="31">
        <f t="shared" si="14"/>
        <v>0</v>
      </c>
      <c r="BB38" s="56">
        <f t="shared" si="15"/>
        <v>6.7000000001371518E-3</v>
      </c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</row>
    <row r="39" spans="1:70" ht="13.8">
      <c r="A39" s="102"/>
      <c r="B39" s="103" t="s">
        <v>77</v>
      </c>
      <c r="C39" s="104"/>
      <c r="D39" s="104"/>
      <c r="E39" s="104"/>
      <c r="F39" s="104"/>
      <c r="G39" s="105"/>
      <c r="H39" s="104"/>
      <c r="I39" s="104"/>
      <c r="J39" s="105"/>
      <c r="K39" s="106">
        <f t="shared" ref="K39:T39" si="60">SUM(K5:K37)</f>
        <v>0</v>
      </c>
      <c r="L39" s="106">
        <f t="shared" si="60"/>
        <v>2200</v>
      </c>
      <c r="M39" s="106">
        <f t="shared" si="60"/>
        <v>0</v>
      </c>
      <c r="N39" s="106">
        <f t="shared" si="60"/>
        <v>0</v>
      </c>
      <c r="O39" s="106">
        <f t="shared" si="60"/>
        <v>0</v>
      </c>
      <c r="P39" s="106">
        <f t="shared" si="60"/>
        <v>0</v>
      </c>
      <c r="Q39" s="106">
        <f t="shared" si="60"/>
        <v>3</v>
      </c>
      <c r="R39" s="106">
        <f t="shared" si="60"/>
        <v>3000</v>
      </c>
      <c r="S39" s="106">
        <f t="shared" si="60"/>
        <v>4500</v>
      </c>
      <c r="T39" s="106">
        <f t="shared" si="60"/>
        <v>0</v>
      </c>
      <c r="U39" s="106"/>
      <c r="V39" s="106">
        <f t="shared" ref="V39:AF39" si="61">SUM(V5:V37)</f>
        <v>0</v>
      </c>
      <c r="W39" s="106">
        <f t="shared" si="61"/>
        <v>41</v>
      </c>
      <c r="X39" s="106">
        <f t="shared" si="61"/>
        <v>320</v>
      </c>
      <c r="Y39" s="106">
        <f t="shared" si="61"/>
        <v>6560</v>
      </c>
      <c r="Z39" s="106">
        <f t="shared" si="61"/>
        <v>18000</v>
      </c>
      <c r="AA39" s="106">
        <f t="shared" si="61"/>
        <v>19480.499999999996</v>
      </c>
      <c r="AB39" s="106">
        <f t="shared" si="61"/>
        <v>0</v>
      </c>
      <c r="AC39" s="106">
        <f t="shared" si="61"/>
        <v>0</v>
      </c>
      <c r="AD39" s="106">
        <f t="shared" si="61"/>
        <v>3110.88</v>
      </c>
      <c r="AE39" s="106">
        <f t="shared" si="61"/>
        <v>2133.6999999999998</v>
      </c>
      <c r="AF39" s="106">
        <f t="shared" si="61"/>
        <v>7560</v>
      </c>
      <c r="AG39" s="106">
        <f t="shared" ref="AG39:BA39" si="62">SUM(AG5:AG38)</f>
        <v>284119.52000000008</v>
      </c>
      <c r="AH39" s="106">
        <f t="shared" si="62"/>
        <v>101387.79545454546</v>
      </c>
      <c r="AI39" s="106">
        <f t="shared" si="62"/>
        <v>0</v>
      </c>
      <c r="AJ39" s="106">
        <f t="shared" si="62"/>
        <v>428232.39545454545</v>
      </c>
      <c r="AK39" s="106">
        <f t="shared" si="62"/>
        <v>98493.450954545449</v>
      </c>
      <c r="AL39" s="106">
        <f t="shared" si="62"/>
        <v>111443.27000000002</v>
      </c>
      <c r="AM39" s="106">
        <f t="shared" si="62"/>
        <v>0</v>
      </c>
      <c r="AN39" s="106">
        <f t="shared" si="62"/>
        <v>10095.370000000001</v>
      </c>
      <c r="AO39" s="106">
        <f t="shared" si="62"/>
        <v>1642.95</v>
      </c>
      <c r="AP39" s="106">
        <f t="shared" si="62"/>
        <v>8833.7799999999988</v>
      </c>
      <c r="AQ39" s="106">
        <f t="shared" si="62"/>
        <v>68317.87</v>
      </c>
      <c r="AR39" s="106">
        <f t="shared" si="62"/>
        <v>22482.32</v>
      </c>
      <c r="AS39" s="106">
        <f t="shared" si="62"/>
        <v>106923.41</v>
      </c>
      <c r="AT39" s="106">
        <f t="shared" si="62"/>
        <v>1199.9744999999928</v>
      </c>
      <c r="AU39" s="106">
        <f t="shared" si="62"/>
        <v>329738.96999999997</v>
      </c>
      <c r="AV39" s="106">
        <f t="shared" si="62"/>
        <v>0</v>
      </c>
      <c r="AW39" s="106">
        <f t="shared" si="62"/>
        <v>0</v>
      </c>
      <c r="AX39" s="106">
        <f t="shared" si="62"/>
        <v>98493.450954545449</v>
      </c>
      <c r="AY39" s="106">
        <f t="shared" si="62"/>
        <v>84532.703679999991</v>
      </c>
      <c r="AZ39" s="106">
        <f t="shared" si="62"/>
        <v>183026.15463454547</v>
      </c>
      <c r="BA39" s="106">
        <f t="shared" si="62"/>
        <v>0</v>
      </c>
      <c r="BB39" s="32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</row>
    <row r="40" spans="1:70" ht="13.8">
      <c r="A40" s="108"/>
      <c r="B40" s="7" t="s">
        <v>78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250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9"/>
      <c r="AY40" s="10"/>
      <c r="AZ40" s="10"/>
      <c r="BA40" s="10"/>
      <c r="BB40" s="32">
        <f t="shared" ref="BB40:BB41" si="63">AJ40-AK40-AU40</f>
        <v>0</v>
      </c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 ht="27.6">
      <c r="A41" s="406" t="s">
        <v>33</v>
      </c>
      <c r="B41" s="353" t="s">
        <v>218</v>
      </c>
      <c r="C41" s="59" t="s">
        <v>35</v>
      </c>
      <c r="D41" s="62" t="s">
        <v>63</v>
      </c>
      <c r="E41" s="62">
        <v>10000</v>
      </c>
      <c r="F41" s="60">
        <v>46113</v>
      </c>
      <c r="G41" s="61">
        <f>8647/4</f>
        <v>2161.75</v>
      </c>
      <c r="H41" s="62">
        <v>22</v>
      </c>
      <c r="I41" s="61" t="s">
        <v>41</v>
      </c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111"/>
      <c r="AG41" s="62">
        <v>2500</v>
      </c>
      <c r="AH41" s="67"/>
      <c r="AI41" s="66"/>
      <c r="AJ41" s="25">
        <f>AG41</f>
        <v>2500</v>
      </c>
      <c r="AK41" s="26">
        <f>AJ41*23%</f>
        <v>575</v>
      </c>
      <c r="AL41" s="62">
        <v>962.5</v>
      </c>
      <c r="AM41" s="63"/>
      <c r="AN41" s="63"/>
      <c r="AO41" s="63"/>
      <c r="AP41" s="63"/>
      <c r="AQ41" s="63"/>
      <c r="AR41" s="63"/>
      <c r="AS41" s="62">
        <v>962.5</v>
      </c>
      <c r="AT41" s="27">
        <f>AJ41-AK41-AL41-AS41-AN41-AQ41-AM41</f>
        <v>0</v>
      </c>
      <c r="AU41" s="28">
        <f>AL41+AM41+AN41+AQ41+AR41+AS41</f>
        <v>1925</v>
      </c>
      <c r="AV41" s="110"/>
      <c r="AW41" s="110"/>
      <c r="AX41" s="110"/>
      <c r="AY41" s="110"/>
      <c r="AZ41" s="30">
        <f>AX41+AY41</f>
        <v>0</v>
      </c>
      <c r="BA41" s="110"/>
      <c r="BB41" s="56">
        <f t="shared" si="63"/>
        <v>0</v>
      </c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 ht="13.8">
      <c r="A42" s="102"/>
      <c r="B42" s="103" t="s">
        <v>82</v>
      </c>
      <c r="C42" s="104"/>
      <c r="D42" s="104"/>
      <c r="E42" s="104"/>
      <c r="F42" s="104"/>
      <c r="G42" s="104"/>
      <c r="H42" s="104"/>
      <c r="I42" s="104"/>
      <c r="J42" s="104"/>
      <c r="K42" s="104">
        <f t="shared" ref="K42:T42" si="64">K41</f>
        <v>0</v>
      </c>
      <c r="L42" s="104">
        <f t="shared" si="64"/>
        <v>0</v>
      </c>
      <c r="M42" s="104">
        <f t="shared" si="64"/>
        <v>0</v>
      </c>
      <c r="N42" s="104">
        <f t="shared" si="64"/>
        <v>0</v>
      </c>
      <c r="O42" s="104">
        <f t="shared" si="64"/>
        <v>0</v>
      </c>
      <c r="P42" s="104">
        <f t="shared" si="64"/>
        <v>0</v>
      </c>
      <c r="Q42" s="104">
        <f t="shared" si="64"/>
        <v>0</v>
      </c>
      <c r="R42" s="104">
        <f t="shared" si="64"/>
        <v>0</v>
      </c>
      <c r="S42" s="104">
        <f t="shared" si="64"/>
        <v>0</v>
      </c>
      <c r="T42" s="104">
        <f t="shared" si="64"/>
        <v>0</v>
      </c>
      <c r="U42" s="104"/>
      <c r="V42" s="104">
        <f t="shared" ref="V42:BB42" si="65">V41</f>
        <v>0</v>
      </c>
      <c r="W42" s="104">
        <f t="shared" si="65"/>
        <v>0</v>
      </c>
      <c r="X42" s="104">
        <f t="shared" si="65"/>
        <v>0</v>
      </c>
      <c r="Y42" s="104">
        <f t="shared" si="65"/>
        <v>0</v>
      </c>
      <c r="Z42" s="104">
        <f t="shared" si="65"/>
        <v>0</v>
      </c>
      <c r="AA42" s="104">
        <f t="shared" si="65"/>
        <v>0</v>
      </c>
      <c r="AB42" s="104">
        <f t="shared" si="65"/>
        <v>0</v>
      </c>
      <c r="AC42" s="104">
        <f t="shared" si="65"/>
        <v>0</v>
      </c>
      <c r="AD42" s="104">
        <f t="shared" si="65"/>
        <v>0</v>
      </c>
      <c r="AE42" s="104">
        <f t="shared" si="65"/>
        <v>0</v>
      </c>
      <c r="AF42" s="104">
        <f t="shared" si="65"/>
        <v>0</v>
      </c>
      <c r="AG42" s="104">
        <f t="shared" si="65"/>
        <v>2500</v>
      </c>
      <c r="AH42" s="112">
        <f t="shared" si="65"/>
        <v>0</v>
      </c>
      <c r="AI42" s="112">
        <f t="shared" si="65"/>
        <v>0</v>
      </c>
      <c r="AJ42" s="112">
        <f t="shared" si="65"/>
        <v>2500</v>
      </c>
      <c r="AK42" s="112">
        <f t="shared" si="65"/>
        <v>575</v>
      </c>
      <c r="AL42" s="104">
        <f t="shared" si="65"/>
        <v>962.5</v>
      </c>
      <c r="AM42" s="104">
        <f t="shared" si="65"/>
        <v>0</v>
      </c>
      <c r="AN42" s="104">
        <f t="shared" si="65"/>
        <v>0</v>
      </c>
      <c r="AO42" s="104">
        <f t="shared" si="65"/>
        <v>0</v>
      </c>
      <c r="AP42" s="104">
        <f t="shared" si="65"/>
        <v>0</v>
      </c>
      <c r="AQ42" s="104">
        <f t="shared" si="65"/>
        <v>0</v>
      </c>
      <c r="AR42" s="104">
        <f t="shared" si="65"/>
        <v>0</v>
      </c>
      <c r="AS42" s="104">
        <f t="shared" si="65"/>
        <v>962.5</v>
      </c>
      <c r="AT42" s="112">
        <f t="shared" si="65"/>
        <v>0</v>
      </c>
      <c r="AU42" s="112">
        <f t="shared" si="65"/>
        <v>1925</v>
      </c>
      <c r="AV42" s="104">
        <f t="shared" si="65"/>
        <v>0</v>
      </c>
      <c r="AW42" s="104">
        <f t="shared" si="65"/>
        <v>0</v>
      </c>
      <c r="AX42" s="104">
        <f t="shared" si="65"/>
        <v>0</v>
      </c>
      <c r="AY42" s="104">
        <f t="shared" si="65"/>
        <v>0</v>
      </c>
      <c r="AZ42" s="112">
        <f t="shared" si="65"/>
        <v>0</v>
      </c>
      <c r="BA42" s="104">
        <f t="shared" si="65"/>
        <v>0</v>
      </c>
      <c r="BB42" s="112">
        <f t="shared" si="65"/>
        <v>0</v>
      </c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 ht="15.6">
      <c r="A43" s="102"/>
      <c r="B43" s="113" t="s">
        <v>83</v>
      </c>
      <c r="C43" s="114"/>
      <c r="D43" s="114"/>
      <c r="E43" s="114"/>
      <c r="F43" s="114"/>
      <c r="G43" s="114"/>
      <c r="H43" s="114"/>
      <c r="I43" s="114"/>
      <c r="J43" s="114"/>
      <c r="K43" s="115">
        <f>K39+K42</f>
        <v>0</v>
      </c>
      <c r="L43" s="114"/>
      <c r="M43" s="115">
        <f t="shared" ref="M43:N43" si="66">M39+M42</f>
        <v>0</v>
      </c>
      <c r="N43" s="115">
        <f t="shared" si="66"/>
        <v>0</v>
      </c>
      <c r="O43" s="114"/>
      <c r="P43" s="115">
        <f t="shared" ref="P43:Q43" si="67">P39+P42</f>
        <v>0</v>
      </c>
      <c r="Q43" s="115">
        <f t="shared" si="67"/>
        <v>3</v>
      </c>
      <c r="R43" s="114"/>
      <c r="S43" s="115">
        <f t="shared" ref="S43:T43" si="68">S39+S42</f>
        <v>4500</v>
      </c>
      <c r="T43" s="115">
        <f t="shared" si="68"/>
        <v>0</v>
      </c>
      <c r="U43" s="114"/>
      <c r="V43" s="115">
        <f t="shared" ref="V43:W43" si="69">V39+V42</f>
        <v>0</v>
      </c>
      <c r="W43" s="115">
        <f t="shared" si="69"/>
        <v>41</v>
      </c>
      <c r="X43" s="114"/>
      <c r="Y43" s="115">
        <f t="shared" ref="Y43:BB43" si="70">Y39+Y42</f>
        <v>6560</v>
      </c>
      <c r="Z43" s="115">
        <f t="shared" si="70"/>
        <v>18000</v>
      </c>
      <c r="AA43" s="115">
        <f t="shared" si="70"/>
        <v>19480.499999999996</v>
      </c>
      <c r="AB43" s="115">
        <f t="shared" si="70"/>
        <v>0</v>
      </c>
      <c r="AC43" s="115">
        <f t="shared" si="70"/>
        <v>0</v>
      </c>
      <c r="AD43" s="115">
        <f t="shared" si="70"/>
        <v>3110.88</v>
      </c>
      <c r="AE43" s="115">
        <f t="shared" si="70"/>
        <v>2133.6999999999998</v>
      </c>
      <c r="AF43" s="115">
        <f t="shared" si="70"/>
        <v>7560</v>
      </c>
      <c r="AG43" s="115">
        <f t="shared" si="70"/>
        <v>286619.52000000008</v>
      </c>
      <c r="AH43" s="115">
        <f t="shared" si="70"/>
        <v>101387.79545454546</v>
      </c>
      <c r="AI43" s="115">
        <f t="shared" si="70"/>
        <v>0</v>
      </c>
      <c r="AJ43" s="115">
        <f t="shared" si="70"/>
        <v>430732.39545454545</v>
      </c>
      <c r="AK43" s="115">
        <f t="shared" si="70"/>
        <v>99068.450954545449</v>
      </c>
      <c r="AL43" s="115">
        <f t="shared" si="70"/>
        <v>112405.77000000002</v>
      </c>
      <c r="AM43" s="115">
        <f t="shared" si="70"/>
        <v>0</v>
      </c>
      <c r="AN43" s="115">
        <f t="shared" si="70"/>
        <v>10095.370000000001</v>
      </c>
      <c r="AO43" s="115">
        <f t="shared" si="70"/>
        <v>1642.95</v>
      </c>
      <c r="AP43" s="115">
        <f t="shared" si="70"/>
        <v>8833.7799999999988</v>
      </c>
      <c r="AQ43" s="115">
        <f t="shared" si="70"/>
        <v>68317.87</v>
      </c>
      <c r="AR43" s="115">
        <f t="shared" si="70"/>
        <v>22482.32</v>
      </c>
      <c r="AS43" s="115">
        <f t="shared" si="70"/>
        <v>107885.91</v>
      </c>
      <c r="AT43" s="115">
        <f t="shared" si="70"/>
        <v>1199.9744999999928</v>
      </c>
      <c r="AU43" s="115">
        <f t="shared" si="70"/>
        <v>331663.96999999997</v>
      </c>
      <c r="AV43" s="115">
        <f t="shared" si="70"/>
        <v>0</v>
      </c>
      <c r="AW43" s="115">
        <f t="shared" si="70"/>
        <v>0</v>
      </c>
      <c r="AX43" s="115">
        <f t="shared" si="70"/>
        <v>98493.450954545449</v>
      </c>
      <c r="AY43" s="115">
        <f t="shared" si="70"/>
        <v>84532.703679999991</v>
      </c>
      <c r="AZ43" s="115">
        <f t="shared" si="70"/>
        <v>183026.15463454547</v>
      </c>
      <c r="BA43" s="115">
        <f t="shared" si="70"/>
        <v>0</v>
      </c>
      <c r="BB43" s="115">
        <f t="shared" si="70"/>
        <v>0</v>
      </c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 ht="13.8">
      <c r="A44" s="116"/>
      <c r="B44" s="117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9"/>
      <c r="AG44" s="118"/>
      <c r="AH44" s="118"/>
      <c r="AI44" s="253"/>
      <c r="AJ44" s="120"/>
      <c r="AK44" s="121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22"/>
      <c r="AY44" s="122"/>
      <c r="AZ44" s="122"/>
      <c r="BA44" s="122"/>
      <c r="BB44" s="32">
        <f t="shared" ref="BB44:BB166" si="71">AJ44-AK44-AU44</f>
        <v>0</v>
      </c>
      <c r="BC44" s="123"/>
      <c r="BD44" s="123"/>
      <c r="BE44" s="123"/>
      <c r="BF44" s="123"/>
      <c r="BG44" s="123"/>
      <c r="BH44" s="123"/>
      <c r="BI44" s="123"/>
      <c r="BJ44" s="123"/>
      <c r="BK44" s="123"/>
      <c r="BL44" s="123"/>
      <c r="BM44" s="123"/>
      <c r="BN44" s="123"/>
      <c r="BO44" s="123"/>
      <c r="BP44" s="123"/>
      <c r="BQ44" s="123"/>
      <c r="BR44" s="123"/>
    </row>
    <row r="45" spans="1:70" ht="13.8">
      <c r="A45" s="124"/>
      <c r="B45" s="125" t="s">
        <v>84</v>
      </c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254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7"/>
      <c r="AY45" s="127"/>
      <c r="AZ45" s="127"/>
      <c r="BA45" s="127"/>
      <c r="BB45" s="32">
        <f t="shared" si="71"/>
        <v>0</v>
      </c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 ht="13.8">
      <c r="A46" s="108"/>
      <c r="B46" s="7" t="s">
        <v>85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50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9"/>
      <c r="AY46" s="9"/>
      <c r="AZ46" s="9"/>
      <c r="BA46" s="9"/>
      <c r="BB46" s="32">
        <f t="shared" si="71"/>
        <v>0</v>
      </c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 ht="27.6">
      <c r="A47" s="355" t="s">
        <v>33</v>
      </c>
      <c r="B47" s="255" t="s">
        <v>86</v>
      </c>
      <c r="C47" s="129" t="s">
        <v>287</v>
      </c>
      <c r="D47" s="133" t="s">
        <v>87</v>
      </c>
      <c r="E47" s="134">
        <v>8700</v>
      </c>
      <c r="F47" s="135">
        <v>46115</v>
      </c>
      <c r="G47" s="110">
        <f>(E47/4)*3</f>
        <v>6525</v>
      </c>
      <c r="H47" s="109">
        <v>22</v>
      </c>
      <c r="I47" s="42" t="s">
        <v>41</v>
      </c>
      <c r="J47" s="40"/>
      <c r="K47" s="40"/>
      <c r="L47" s="41">
        <v>200</v>
      </c>
      <c r="M47" s="42">
        <f t="shared" ref="M47:M63" si="72">K47*L47</f>
        <v>0</v>
      </c>
      <c r="N47" s="43"/>
      <c r="O47" s="42"/>
      <c r="P47" s="44">
        <f t="shared" ref="P47:P63" si="73">N47*O47</f>
        <v>0</v>
      </c>
      <c r="Q47" s="43"/>
      <c r="R47" s="42"/>
      <c r="S47" s="44">
        <f t="shared" ref="S47:S63" si="74">Q47*R47</f>
        <v>0</v>
      </c>
      <c r="T47" s="43"/>
      <c r="U47" s="43"/>
      <c r="V47" s="43"/>
      <c r="W47" s="43"/>
      <c r="X47" s="42"/>
      <c r="Y47" s="44">
        <f t="shared" ref="Y47:Y63" si="75">W47*X47</f>
        <v>0</v>
      </c>
      <c r="Z47" s="407">
        <v>1560</v>
      </c>
      <c r="AA47" s="408">
        <v>1948.05</v>
      </c>
      <c r="AB47" s="308"/>
      <c r="AC47" s="308"/>
      <c r="AD47" s="37"/>
      <c r="AE47" s="308"/>
      <c r="AF47" s="22">
        <f t="shared" ref="AF47:AF55" si="76">M47+P47+S47+V47+Y47</f>
        <v>0</v>
      </c>
      <c r="AG47" s="29"/>
      <c r="AH47" s="258">
        <v>6728.65</v>
      </c>
      <c r="AI47" s="50"/>
      <c r="AJ47" s="25">
        <f>AH47+AI47+Z47+AA47</f>
        <v>10236.699999999999</v>
      </c>
      <c r="AK47" s="26">
        <f t="shared" ref="AK47:AK89" si="77">AJ47*23%</f>
        <v>2354.4409999999998</v>
      </c>
      <c r="AL47" s="51">
        <v>2590.52</v>
      </c>
      <c r="AM47" s="52"/>
      <c r="AN47" s="52"/>
      <c r="AO47" s="53"/>
      <c r="AP47" s="53"/>
      <c r="AQ47" s="53"/>
      <c r="AR47" s="407">
        <v>2701.2</v>
      </c>
      <c r="AS47" s="51">
        <v>2590.54</v>
      </c>
      <c r="AT47" s="27">
        <f>AJ47-AK47-AL47-AS47-AN47-AQ47-AM47-AR47-AO47</f>
        <v>-1.0000000002037268E-3</v>
      </c>
      <c r="AU47" s="28">
        <f t="shared" ref="AU47:AU89" si="78">AL47+AM47+AN47+AQ47+AR47+AS47+AO47+AP47</f>
        <v>7882.2599999999993</v>
      </c>
      <c r="AV47" s="28"/>
      <c r="AW47" s="28"/>
      <c r="AX47" s="28">
        <f t="shared" ref="AX47:AX89" si="79">AJ47*23%</f>
        <v>2354.4409999999998</v>
      </c>
      <c r="AY47" s="29">
        <f t="shared" ref="AY47:AY89" si="80">AJ47*H47%</f>
        <v>2252.0739999999996</v>
      </c>
      <c r="AZ47" s="30">
        <f t="shared" ref="AZ47:AZ89" si="81">AX47+AY47</f>
        <v>4606.5149999999994</v>
      </c>
      <c r="BA47" s="31">
        <f t="shared" ref="BA47:BA89" si="82">AZ47-AY47-AK47</f>
        <v>0</v>
      </c>
      <c r="BB47" s="56">
        <f t="shared" si="71"/>
        <v>-1.0000000002037268E-3</v>
      </c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 ht="27.6">
      <c r="A48" s="132">
        <f t="shared" ref="A48:A70" si="83">A47+1</f>
        <v>2</v>
      </c>
      <c r="B48" s="255" t="s">
        <v>88</v>
      </c>
      <c r="C48" s="129" t="s">
        <v>287</v>
      </c>
      <c r="D48" s="130" t="s">
        <v>89</v>
      </c>
      <c r="E48" s="83">
        <v>8700</v>
      </c>
      <c r="F48" s="55">
        <v>46113</v>
      </c>
      <c r="G48" s="79">
        <f>E48/4</f>
        <v>2175</v>
      </c>
      <c r="H48" s="109">
        <v>22</v>
      </c>
      <c r="I48" s="42" t="s">
        <v>41</v>
      </c>
      <c r="J48" s="40"/>
      <c r="K48" s="40"/>
      <c r="L48" s="41">
        <v>200</v>
      </c>
      <c r="M48" s="42">
        <f t="shared" si="72"/>
        <v>0</v>
      </c>
      <c r="N48" s="43"/>
      <c r="O48" s="42"/>
      <c r="P48" s="44">
        <f t="shared" si="73"/>
        <v>0</v>
      </c>
      <c r="Q48" s="43"/>
      <c r="R48" s="42"/>
      <c r="S48" s="44">
        <f t="shared" si="74"/>
        <v>0</v>
      </c>
      <c r="T48" s="43"/>
      <c r="U48" s="43"/>
      <c r="V48" s="43"/>
      <c r="W48" s="43"/>
      <c r="X48" s="42"/>
      <c r="Y48" s="44">
        <f t="shared" si="75"/>
        <v>0</v>
      </c>
      <c r="Z48" s="45"/>
      <c r="AA48" s="308"/>
      <c r="AB48" s="308"/>
      <c r="AC48" s="308"/>
      <c r="AD48" s="39"/>
      <c r="AE48" s="323"/>
      <c r="AF48" s="22">
        <f t="shared" si="76"/>
        <v>0</v>
      </c>
      <c r="AG48" s="29"/>
      <c r="AH48" s="258">
        <v>4095.35</v>
      </c>
      <c r="AI48" s="50"/>
      <c r="AJ48" s="25">
        <f>AH48+AI48</f>
        <v>4095.35</v>
      </c>
      <c r="AK48" s="26">
        <f t="shared" si="77"/>
        <v>941.93050000000005</v>
      </c>
      <c r="AL48" s="51">
        <v>1576.72</v>
      </c>
      <c r="AM48" s="52"/>
      <c r="AN48" s="52"/>
      <c r="AO48" s="53"/>
      <c r="AP48" s="53"/>
      <c r="AQ48" s="53"/>
      <c r="AR48" s="51"/>
      <c r="AS48" s="51">
        <v>1576.7</v>
      </c>
      <c r="AT48" s="27">
        <f t="shared" ref="AT48:AT50" si="84">AJ48-AK48-AL48-AS48-AN48-AQ48-AM48-AR48</f>
        <v>-5.0000000010186341E-4</v>
      </c>
      <c r="AU48" s="28">
        <f t="shared" si="78"/>
        <v>3153.42</v>
      </c>
      <c r="AV48" s="28"/>
      <c r="AW48" s="28"/>
      <c r="AX48" s="28">
        <f t="shared" si="79"/>
        <v>941.93050000000005</v>
      </c>
      <c r="AY48" s="29">
        <f t="shared" si="80"/>
        <v>900.97699999999998</v>
      </c>
      <c r="AZ48" s="30">
        <f t="shared" si="81"/>
        <v>1842.9075</v>
      </c>
      <c r="BA48" s="31">
        <f t="shared" si="82"/>
        <v>0</v>
      </c>
      <c r="BB48" s="56">
        <f t="shared" si="71"/>
        <v>-5.0000000010186341E-4</v>
      </c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 ht="27.6">
      <c r="A49" s="132">
        <f t="shared" si="83"/>
        <v>3</v>
      </c>
      <c r="B49" s="255" t="s">
        <v>90</v>
      </c>
      <c r="C49" s="129" t="s">
        <v>287</v>
      </c>
      <c r="D49" s="133" t="s">
        <v>91</v>
      </c>
      <c r="E49" s="134">
        <v>8700</v>
      </c>
      <c r="F49" s="134">
        <v>1</v>
      </c>
      <c r="G49" s="109">
        <v>8700</v>
      </c>
      <c r="H49" s="109">
        <v>22</v>
      </c>
      <c r="I49" s="42" t="s">
        <v>41</v>
      </c>
      <c r="J49" s="40"/>
      <c r="K49" s="40"/>
      <c r="L49" s="41">
        <v>200</v>
      </c>
      <c r="M49" s="42">
        <f t="shared" si="72"/>
        <v>0</v>
      </c>
      <c r="N49" s="43"/>
      <c r="O49" s="42"/>
      <c r="P49" s="44">
        <f t="shared" si="73"/>
        <v>0</v>
      </c>
      <c r="Q49" s="43"/>
      <c r="R49" s="42"/>
      <c r="S49" s="44">
        <f t="shared" si="74"/>
        <v>0</v>
      </c>
      <c r="T49" s="43"/>
      <c r="U49" s="43"/>
      <c r="V49" s="43"/>
      <c r="W49" s="43"/>
      <c r="X49" s="42"/>
      <c r="Y49" s="44">
        <f t="shared" si="75"/>
        <v>0</v>
      </c>
      <c r="Z49" s="407">
        <v>1860</v>
      </c>
      <c r="AA49" s="408">
        <v>1948.05</v>
      </c>
      <c r="AB49" s="308">
        <f>Z49*0.77</f>
        <v>1432.2</v>
      </c>
      <c r="AC49" s="308"/>
      <c r="AD49" s="37"/>
      <c r="AE49" s="308"/>
      <c r="AF49" s="22">
        <f t="shared" si="76"/>
        <v>0</v>
      </c>
      <c r="AG49" s="29"/>
      <c r="AH49" s="258">
        <f>12842.86+1860</f>
        <v>14702.86</v>
      </c>
      <c r="AI49" s="50"/>
      <c r="AJ49" s="25">
        <f>AH49+AI49+Z49+AA49</f>
        <v>18510.91</v>
      </c>
      <c r="AK49" s="26">
        <f t="shared" si="77"/>
        <v>4257.5092999999997</v>
      </c>
      <c r="AL49" s="51">
        <v>4785.01</v>
      </c>
      <c r="AM49" s="52"/>
      <c r="AN49" s="51"/>
      <c r="AO49" s="53"/>
      <c r="AP49" s="53"/>
      <c r="AQ49" s="53"/>
      <c r="AR49" s="407">
        <v>2932.19</v>
      </c>
      <c r="AS49" s="51">
        <v>6536.2</v>
      </c>
      <c r="AT49" s="27">
        <f t="shared" si="84"/>
        <v>7.000000000516593E-4</v>
      </c>
      <c r="AU49" s="28">
        <f t="shared" si="78"/>
        <v>14253.400000000001</v>
      </c>
      <c r="AV49" s="28"/>
      <c r="AW49" s="28"/>
      <c r="AX49" s="28">
        <f t="shared" si="79"/>
        <v>4257.5092999999997</v>
      </c>
      <c r="AY49" s="29">
        <f t="shared" si="80"/>
        <v>4072.4002</v>
      </c>
      <c r="AZ49" s="30">
        <f t="shared" si="81"/>
        <v>8329.9094999999998</v>
      </c>
      <c r="BA49" s="31">
        <f t="shared" si="82"/>
        <v>0</v>
      </c>
      <c r="BB49" s="56">
        <f t="shared" si="71"/>
        <v>6.9999999868741725E-4</v>
      </c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 ht="13.8">
      <c r="A50" s="132">
        <f t="shared" si="83"/>
        <v>4</v>
      </c>
      <c r="B50" s="255" t="s">
        <v>92</v>
      </c>
      <c r="C50" s="129" t="s">
        <v>287</v>
      </c>
      <c r="D50" s="133" t="s">
        <v>93</v>
      </c>
      <c r="E50" s="83">
        <v>8700</v>
      </c>
      <c r="F50" s="55">
        <v>46113</v>
      </c>
      <c r="G50" s="79">
        <f t="shared" ref="G50:G51" si="85">E50/4</f>
        <v>2175</v>
      </c>
      <c r="H50" s="109">
        <v>22</v>
      </c>
      <c r="I50" s="38" t="s">
        <v>37</v>
      </c>
      <c r="J50" s="97"/>
      <c r="K50" s="97"/>
      <c r="L50" s="41">
        <v>200</v>
      </c>
      <c r="M50" s="42">
        <f t="shared" si="72"/>
        <v>0</v>
      </c>
      <c r="N50" s="43"/>
      <c r="O50" s="42"/>
      <c r="P50" s="44">
        <f t="shared" si="73"/>
        <v>0</v>
      </c>
      <c r="Q50" s="43"/>
      <c r="R50" s="42"/>
      <c r="S50" s="44">
        <f t="shared" si="74"/>
        <v>0</v>
      </c>
      <c r="T50" s="43"/>
      <c r="U50" s="43"/>
      <c r="V50" s="43"/>
      <c r="W50" s="43"/>
      <c r="X50" s="42"/>
      <c r="Y50" s="44">
        <f t="shared" si="75"/>
        <v>0</v>
      </c>
      <c r="Z50" s="45"/>
      <c r="AA50" s="308"/>
      <c r="AB50" s="308"/>
      <c r="AC50" s="308"/>
      <c r="AD50" s="136"/>
      <c r="AE50" s="308"/>
      <c r="AF50" s="22">
        <f t="shared" si="76"/>
        <v>0</v>
      </c>
      <c r="AG50" s="29"/>
      <c r="AH50" s="258">
        <v>2259.7399999999998</v>
      </c>
      <c r="AI50" s="50"/>
      <c r="AJ50" s="25">
        <f t="shared" ref="AJ50:AJ52" si="86">AH50+AI50</f>
        <v>2259.7399999999998</v>
      </c>
      <c r="AK50" s="26">
        <f t="shared" si="77"/>
        <v>519.74019999999996</v>
      </c>
      <c r="AL50" s="51">
        <v>911.43</v>
      </c>
      <c r="AM50" s="52"/>
      <c r="AN50" s="51"/>
      <c r="AO50" s="53"/>
      <c r="AP50" s="53"/>
      <c r="AQ50" s="53"/>
      <c r="AR50" s="51"/>
      <c r="AS50" s="51">
        <v>828.57</v>
      </c>
      <c r="AT50" s="27">
        <f t="shared" si="84"/>
        <v>-2.0000000017716957E-4</v>
      </c>
      <c r="AU50" s="28">
        <f t="shared" si="78"/>
        <v>1740</v>
      </c>
      <c r="AV50" s="28"/>
      <c r="AW50" s="28"/>
      <c r="AX50" s="28">
        <f t="shared" si="79"/>
        <v>519.74019999999996</v>
      </c>
      <c r="AY50" s="29">
        <f t="shared" si="80"/>
        <v>497.14279999999997</v>
      </c>
      <c r="AZ50" s="30">
        <f t="shared" si="81"/>
        <v>1016.8829999999999</v>
      </c>
      <c r="BA50" s="31">
        <f t="shared" si="82"/>
        <v>0</v>
      </c>
      <c r="BB50" s="56">
        <f t="shared" si="71"/>
        <v>-2.0000000017716957E-4</v>
      </c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 ht="13.8">
      <c r="A51" s="132">
        <f t="shared" si="83"/>
        <v>5</v>
      </c>
      <c r="B51" s="257" t="s">
        <v>94</v>
      </c>
      <c r="C51" s="129" t="s">
        <v>287</v>
      </c>
      <c r="D51" s="137" t="s">
        <v>48</v>
      </c>
      <c r="E51" s="83">
        <v>8700</v>
      </c>
      <c r="F51" s="55">
        <v>46113</v>
      </c>
      <c r="G51" s="79">
        <f t="shared" si="85"/>
        <v>2175</v>
      </c>
      <c r="H51" s="109">
        <v>22</v>
      </c>
      <c r="I51" s="38" t="s">
        <v>37</v>
      </c>
      <c r="J51" s="40"/>
      <c r="K51" s="40"/>
      <c r="L51" s="41">
        <v>200</v>
      </c>
      <c r="M51" s="42">
        <f t="shared" si="72"/>
        <v>0</v>
      </c>
      <c r="N51" s="43"/>
      <c r="O51" s="42"/>
      <c r="P51" s="44">
        <f t="shared" si="73"/>
        <v>0</v>
      </c>
      <c r="Q51" s="43"/>
      <c r="R51" s="42"/>
      <c r="S51" s="44">
        <f t="shared" si="74"/>
        <v>0</v>
      </c>
      <c r="T51" s="43"/>
      <c r="U51" s="43"/>
      <c r="V51" s="43"/>
      <c r="W51" s="43"/>
      <c r="X51" s="42"/>
      <c r="Y51" s="44">
        <f t="shared" si="75"/>
        <v>0</v>
      </c>
      <c r="Z51" s="45"/>
      <c r="AA51" s="308"/>
      <c r="AB51" s="308"/>
      <c r="AC51" s="48"/>
      <c r="AD51" s="37"/>
      <c r="AE51" s="308"/>
      <c r="AF51" s="22">
        <f t="shared" si="76"/>
        <v>0</v>
      </c>
      <c r="AG51" s="29"/>
      <c r="AH51" s="258">
        <v>4586.7299999999996</v>
      </c>
      <c r="AI51" s="50"/>
      <c r="AJ51" s="25">
        <f t="shared" si="86"/>
        <v>4586.7299999999996</v>
      </c>
      <c r="AK51" s="26">
        <f t="shared" si="77"/>
        <v>1054.9478999999999</v>
      </c>
      <c r="AL51" s="51">
        <v>1708.93</v>
      </c>
      <c r="AM51" s="51"/>
      <c r="AN51" s="51"/>
      <c r="AO51" s="53"/>
      <c r="AP51" s="48"/>
      <c r="AQ51" s="53"/>
      <c r="AR51" s="51"/>
      <c r="AS51" s="51">
        <v>1822.85</v>
      </c>
      <c r="AT51" s="27">
        <f>AJ51-AK51-AL51-AP51-AS51</f>
        <v>2.0999999994728569E-3</v>
      </c>
      <c r="AU51" s="28">
        <f t="shared" si="78"/>
        <v>3531.7799999999997</v>
      </c>
      <c r="AV51" s="28"/>
      <c r="AW51" s="28"/>
      <c r="AX51" s="28">
        <f t="shared" si="79"/>
        <v>1054.9478999999999</v>
      </c>
      <c r="AY51" s="29">
        <f t="shared" si="80"/>
        <v>1009.0805999999999</v>
      </c>
      <c r="AZ51" s="30">
        <f t="shared" si="81"/>
        <v>2064.0284999999999</v>
      </c>
      <c r="BA51" s="31">
        <f t="shared" si="82"/>
        <v>0</v>
      </c>
      <c r="BB51" s="56">
        <f t="shared" si="71"/>
        <v>2.0999999997002305E-3</v>
      </c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 ht="27.6">
      <c r="A52" s="132">
        <f t="shared" si="83"/>
        <v>6</v>
      </c>
      <c r="B52" s="255" t="s">
        <v>95</v>
      </c>
      <c r="C52" s="129" t="s">
        <v>287</v>
      </c>
      <c r="D52" s="137" t="s">
        <v>48</v>
      </c>
      <c r="E52" s="134">
        <v>8700</v>
      </c>
      <c r="F52" s="135">
        <v>46115</v>
      </c>
      <c r="G52" s="110">
        <f>(E52/4)*3</f>
        <v>6525</v>
      </c>
      <c r="H52" s="109">
        <v>22</v>
      </c>
      <c r="I52" s="42" t="s">
        <v>41</v>
      </c>
      <c r="J52" s="40"/>
      <c r="K52" s="40"/>
      <c r="L52" s="41">
        <v>200</v>
      </c>
      <c r="M52" s="42">
        <f t="shared" si="72"/>
        <v>0</v>
      </c>
      <c r="N52" s="43"/>
      <c r="O52" s="42"/>
      <c r="P52" s="44">
        <f t="shared" si="73"/>
        <v>0</v>
      </c>
      <c r="Q52" s="43"/>
      <c r="R52" s="42"/>
      <c r="S52" s="44">
        <f t="shared" si="74"/>
        <v>0</v>
      </c>
      <c r="T52" s="43"/>
      <c r="U52" s="43"/>
      <c r="V52" s="43"/>
      <c r="W52" s="43"/>
      <c r="X52" s="42"/>
      <c r="Y52" s="44">
        <f t="shared" si="75"/>
        <v>0</v>
      </c>
      <c r="Z52" s="45"/>
      <c r="AA52" s="76"/>
      <c r="AB52" s="76"/>
      <c r="AC52" s="76"/>
      <c r="AD52" s="138"/>
      <c r="AE52" s="45"/>
      <c r="AF52" s="22">
        <f t="shared" si="76"/>
        <v>0</v>
      </c>
      <c r="AG52" s="29"/>
      <c r="AH52" s="258">
        <v>6440.26</v>
      </c>
      <c r="AI52" s="50"/>
      <c r="AJ52" s="25">
        <f t="shared" si="86"/>
        <v>6440.26</v>
      </c>
      <c r="AK52" s="26">
        <f t="shared" si="77"/>
        <v>1481.2598</v>
      </c>
      <c r="AL52" s="51">
        <v>2597.58</v>
      </c>
      <c r="AM52" s="52"/>
      <c r="AN52" s="52"/>
      <c r="AO52" s="53"/>
      <c r="AP52" s="53"/>
      <c r="AQ52" s="53"/>
      <c r="AR52" s="51"/>
      <c r="AS52" s="51">
        <v>2361.42</v>
      </c>
      <c r="AT52" s="27">
        <f t="shared" ref="AT52:AT53" si="87">AJ52-AK52-AL52-AS52-AN52-AQ52-AM52-AR52</f>
        <v>2.0000000040454324E-4</v>
      </c>
      <c r="AU52" s="28">
        <f t="shared" si="78"/>
        <v>4959</v>
      </c>
      <c r="AV52" s="28"/>
      <c r="AW52" s="28"/>
      <c r="AX52" s="28">
        <f t="shared" si="79"/>
        <v>1481.2598</v>
      </c>
      <c r="AY52" s="29">
        <f t="shared" si="80"/>
        <v>1416.8572000000001</v>
      </c>
      <c r="AZ52" s="30">
        <f t="shared" si="81"/>
        <v>2898.1170000000002</v>
      </c>
      <c r="BA52" s="240">
        <f t="shared" si="82"/>
        <v>0</v>
      </c>
      <c r="BB52" s="56">
        <f t="shared" si="71"/>
        <v>2.0000000040454324E-4</v>
      </c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 ht="27.6">
      <c r="A53" s="132">
        <f t="shared" si="83"/>
        <v>7</v>
      </c>
      <c r="B53" s="259" t="s">
        <v>96</v>
      </c>
      <c r="C53" s="129" t="s">
        <v>287</v>
      </c>
      <c r="D53" s="137" t="s">
        <v>48</v>
      </c>
      <c r="E53" s="134">
        <v>8700</v>
      </c>
      <c r="F53" s="139">
        <v>0.3</v>
      </c>
      <c r="G53" s="110"/>
      <c r="H53" s="109">
        <v>22</v>
      </c>
      <c r="I53" s="42" t="s">
        <v>41</v>
      </c>
      <c r="J53" s="40"/>
      <c r="K53" s="40"/>
      <c r="L53" s="41">
        <v>200</v>
      </c>
      <c r="M53" s="42">
        <f t="shared" si="72"/>
        <v>0</v>
      </c>
      <c r="N53" s="43"/>
      <c r="O53" s="42"/>
      <c r="P53" s="44">
        <f t="shared" si="73"/>
        <v>0</v>
      </c>
      <c r="Q53" s="43"/>
      <c r="R53" s="42"/>
      <c r="S53" s="44">
        <f t="shared" si="74"/>
        <v>0</v>
      </c>
      <c r="T53" s="43"/>
      <c r="U53" s="43"/>
      <c r="V53" s="43"/>
      <c r="W53" s="43"/>
      <c r="X53" s="42"/>
      <c r="Y53" s="44">
        <f t="shared" si="75"/>
        <v>0</v>
      </c>
      <c r="Z53" s="407">
        <v>1560</v>
      </c>
      <c r="AA53" s="408">
        <v>1948.05</v>
      </c>
      <c r="AB53" s="76"/>
      <c r="AC53" s="76"/>
      <c r="AD53" s="138"/>
      <c r="AE53" s="45"/>
      <c r="AF53" s="22">
        <f t="shared" si="76"/>
        <v>0</v>
      </c>
      <c r="AG53" s="29"/>
      <c r="AH53" s="258">
        <v>2259.7399999999998</v>
      </c>
      <c r="AI53" s="50"/>
      <c r="AJ53" s="25">
        <f t="shared" ref="AJ53:AJ55" si="88">AH53+AI53+Z53+AA53</f>
        <v>5767.79</v>
      </c>
      <c r="AK53" s="26">
        <f t="shared" si="77"/>
        <v>1326.5916999999999</v>
      </c>
      <c r="AL53" s="51">
        <v>911.43</v>
      </c>
      <c r="AM53" s="52"/>
      <c r="AN53" s="52"/>
      <c r="AO53" s="53"/>
      <c r="AP53" s="53"/>
      <c r="AQ53" s="53"/>
      <c r="AR53" s="407">
        <v>2701.2</v>
      </c>
      <c r="AS53" s="51">
        <v>828.57</v>
      </c>
      <c r="AT53" s="27">
        <f t="shared" si="87"/>
        <v>-1.6999999998006388E-3</v>
      </c>
      <c r="AU53" s="28">
        <f t="shared" si="78"/>
        <v>4441.2</v>
      </c>
      <c r="AV53" s="28"/>
      <c r="AW53" s="28"/>
      <c r="AX53" s="28">
        <f t="shared" si="79"/>
        <v>1326.5916999999999</v>
      </c>
      <c r="AY53" s="29">
        <f t="shared" si="80"/>
        <v>1268.9138</v>
      </c>
      <c r="AZ53" s="30">
        <f t="shared" si="81"/>
        <v>2595.5055000000002</v>
      </c>
      <c r="BA53" s="31">
        <f t="shared" si="82"/>
        <v>0</v>
      </c>
      <c r="BB53" s="56">
        <f t="shared" si="71"/>
        <v>-1.6999999998006388E-3</v>
      </c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 ht="27.6">
      <c r="A54" s="356">
        <f t="shared" si="83"/>
        <v>8</v>
      </c>
      <c r="B54" s="259" t="s">
        <v>97</v>
      </c>
      <c r="C54" s="129" t="s">
        <v>287</v>
      </c>
      <c r="D54" s="137" t="s">
        <v>48</v>
      </c>
      <c r="E54" s="134">
        <v>8700</v>
      </c>
      <c r="F54" s="135">
        <v>46054</v>
      </c>
      <c r="G54" s="110">
        <f t="shared" ref="G54:G55" si="89">E54/2</f>
        <v>4350</v>
      </c>
      <c r="H54" s="109">
        <v>22</v>
      </c>
      <c r="I54" s="42" t="s">
        <v>41</v>
      </c>
      <c r="J54" s="40"/>
      <c r="K54" s="40"/>
      <c r="L54" s="41">
        <v>200</v>
      </c>
      <c r="M54" s="42">
        <f t="shared" si="72"/>
        <v>0</v>
      </c>
      <c r="N54" s="43"/>
      <c r="O54" s="42"/>
      <c r="P54" s="44">
        <f t="shared" si="73"/>
        <v>0</v>
      </c>
      <c r="Q54" s="43"/>
      <c r="R54" s="42"/>
      <c r="S54" s="44">
        <f t="shared" si="74"/>
        <v>0</v>
      </c>
      <c r="T54" s="43"/>
      <c r="U54" s="43"/>
      <c r="V54" s="43"/>
      <c r="W54" s="43"/>
      <c r="X54" s="42"/>
      <c r="Y54" s="44">
        <f t="shared" si="75"/>
        <v>0</v>
      </c>
      <c r="Z54" s="407">
        <v>1260</v>
      </c>
      <c r="AA54" s="408">
        <v>1948.05</v>
      </c>
      <c r="AB54" s="76"/>
      <c r="AC54" s="76"/>
      <c r="AD54" s="138"/>
      <c r="AE54" s="45"/>
      <c r="AF54" s="22">
        <f t="shared" si="76"/>
        <v>0</v>
      </c>
      <c r="AG54" s="29"/>
      <c r="AH54" s="258">
        <v>4350</v>
      </c>
      <c r="AI54" s="50"/>
      <c r="AJ54" s="25">
        <f t="shared" si="88"/>
        <v>7558.05</v>
      </c>
      <c r="AK54" s="26">
        <f t="shared" si="77"/>
        <v>1738.3515000000002</v>
      </c>
      <c r="AL54" s="51">
        <v>1754.5</v>
      </c>
      <c r="AM54" s="52"/>
      <c r="AN54" s="52"/>
      <c r="AO54" s="47"/>
      <c r="AP54" s="53"/>
      <c r="AQ54" s="53"/>
      <c r="AR54" s="407">
        <v>2470.1999999999998</v>
      </c>
      <c r="AS54" s="51">
        <v>1595</v>
      </c>
      <c r="AT54" s="27">
        <f>AJ54-AK54-AL54-AS54-AN54-AQ54-AM54-AR54-AO54</f>
        <v>-1.4999999993960955E-3</v>
      </c>
      <c r="AU54" s="28">
        <f t="shared" si="78"/>
        <v>5819.7</v>
      </c>
      <c r="AV54" s="28"/>
      <c r="AW54" s="28"/>
      <c r="AX54" s="28">
        <f t="shared" si="79"/>
        <v>1738.3515000000002</v>
      </c>
      <c r="AY54" s="29">
        <f t="shared" si="80"/>
        <v>1662.771</v>
      </c>
      <c r="AZ54" s="30">
        <f t="shared" si="81"/>
        <v>3401.1225000000004</v>
      </c>
      <c r="BA54" s="31">
        <f t="shared" si="82"/>
        <v>0</v>
      </c>
      <c r="BB54" s="56">
        <f t="shared" si="71"/>
        <v>-1.4999999993960955E-3</v>
      </c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 ht="27.6">
      <c r="A55" s="132">
        <f t="shared" si="83"/>
        <v>9</v>
      </c>
      <c r="B55" s="260" t="s">
        <v>98</v>
      </c>
      <c r="C55" s="129" t="s">
        <v>287</v>
      </c>
      <c r="D55" s="137" t="s">
        <v>48</v>
      </c>
      <c r="E55" s="134">
        <v>8700</v>
      </c>
      <c r="F55" s="135">
        <v>46054</v>
      </c>
      <c r="G55" s="110">
        <f t="shared" si="89"/>
        <v>4350</v>
      </c>
      <c r="H55" s="109">
        <v>22</v>
      </c>
      <c r="I55" s="42" t="s">
        <v>41</v>
      </c>
      <c r="J55" s="40"/>
      <c r="K55" s="40"/>
      <c r="L55" s="41">
        <v>200</v>
      </c>
      <c r="M55" s="42">
        <f t="shared" si="72"/>
        <v>0</v>
      </c>
      <c r="N55" s="43"/>
      <c r="O55" s="42"/>
      <c r="P55" s="44">
        <f t="shared" si="73"/>
        <v>0</v>
      </c>
      <c r="Q55" s="43"/>
      <c r="R55" s="42"/>
      <c r="S55" s="44">
        <f t="shared" si="74"/>
        <v>0</v>
      </c>
      <c r="T55" s="43"/>
      <c r="U55" s="43"/>
      <c r="V55" s="43"/>
      <c r="W55" s="43"/>
      <c r="X55" s="42"/>
      <c r="Y55" s="44">
        <f t="shared" si="75"/>
        <v>0</v>
      </c>
      <c r="Z55" s="407">
        <v>1860</v>
      </c>
      <c r="AA55" s="408">
        <v>1948.05</v>
      </c>
      <c r="AB55" s="53"/>
      <c r="AC55" s="53"/>
      <c r="AD55" s="138"/>
      <c r="AE55" s="45"/>
      <c r="AF55" s="22">
        <f t="shared" si="76"/>
        <v>0</v>
      </c>
      <c r="AG55" s="29"/>
      <c r="AH55" s="258">
        <v>4586.7299999999996</v>
      </c>
      <c r="AI55" s="50"/>
      <c r="AJ55" s="25">
        <f t="shared" si="88"/>
        <v>8394.7799999999988</v>
      </c>
      <c r="AK55" s="26">
        <f t="shared" si="77"/>
        <v>1930.7993999999999</v>
      </c>
      <c r="AL55" s="51">
        <v>1708.93</v>
      </c>
      <c r="AM55" s="52"/>
      <c r="AN55" s="52"/>
      <c r="AO55" s="53"/>
      <c r="AP55" s="53"/>
      <c r="AQ55" s="53"/>
      <c r="AR55" s="407">
        <v>2932.2</v>
      </c>
      <c r="AS55" s="51">
        <v>1822.85</v>
      </c>
      <c r="AT55" s="27">
        <f>AJ55-AK55-AL55-AS55-AN55-AQ55-AM55-AR55</f>
        <v>5.9999999893989298E-4</v>
      </c>
      <c r="AU55" s="28">
        <f t="shared" si="78"/>
        <v>6463.98</v>
      </c>
      <c r="AV55" s="28"/>
      <c r="AW55" s="28"/>
      <c r="AX55" s="28">
        <f t="shared" si="79"/>
        <v>1930.7993999999999</v>
      </c>
      <c r="AY55" s="29">
        <f t="shared" si="80"/>
        <v>1846.8515999999997</v>
      </c>
      <c r="AZ55" s="30">
        <f t="shared" si="81"/>
        <v>3777.6509999999998</v>
      </c>
      <c r="BA55" s="31">
        <f t="shared" si="82"/>
        <v>0</v>
      </c>
      <c r="BB55" s="56">
        <f t="shared" si="71"/>
        <v>5.9999999939464033E-4</v>
      </c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 ht="27.6">
      <c r="A56" s="132">
        <f t="shared" si="83"/>
        <v>10</v>
      </c>
      <c r="B56" s="255" t="s">
        <v>99</v>
      </c>
      <c r="C56" s="129" t="s">
        <v>287</v>
      </c>
      <c r="D56" s="130" t="s">
        <v>44</v>
      </c>
      <c r="E56" s="83">
        <v>8700</v>
      </c>
      <c r="F56" s="261">
        <v>46113</v>
      </c>
      <c r="G56" s="79">
        <f t="shared" ref="G56:G57" si="90">E56/4</f>
        <v>2175</v>
      </c>
      <c r="H56" s="109">
        <v>22</v>
      </c>
      <c r="I56" s="42" t="s">
        <v>41</v>
      </c>
      <c r="J56" s="97"/>
      <c r="K56" s="262"/>
      <c r="L56" s="41">
        <v>200</v>
      </c>
      <c r="M56" s="42">
        <f t="shared" si="72"/>
        <v>0</v>
      </c>
      <c r="N56" s="43"/>
      <c r="O56" s="42"/>
      <c r="P56" s="44">
        <f t="shared" si="73"/>
        <v>0</v>
      </c>
      <c r="Q56" s="173">
        <v>12</v>
      </c>
      <c r="R56" s="89">
        <v>500</v>
      </c>
      <c r="S56" s="44">
        <f t="shared" si="74"/>
        <v>6000</v>
      </c>
      <c r="T56" s="173">
        <v>400</v>
      </c>
      <c r="U56" s="43"/>
      <c r="V56" s="43"/>
      <c r="W56" s="43"/>
      <c r="X56" s="42"/>
      <c r="Y56" s="44">
        <f t="shared" si="75"/>
        <v>0</v>
      </c>
      <c r="Z56" s="45"/>
      <c r="AA56" s="53"/>
      <c r="AB56" s="53"/>
      <c r="AC56" s="48"/>
      <c r="AD56" s="138"/>
      <c r="AE56" s="45"/>
      <c r="AF56" s="22">
        <f t="shared" ref="AF56:AF58" si="91">M56+P56+S56+V56+Y56+T56</f>
        <v>6400</v>
      </c>
      <c r="AG56" s="76"/>
      <c r="AH56" s="258">
        <v>2259.7399999999998</v>
      </c>
      <c r="AI56" s="309">
        <f t="shared" ref="AI56:AI58" si="92">(AQ56*100)/77</f>
        <v>8311.6883116883109</v>
      </c>
      <c r="AJ56" s="25">
        <f t="shared" ref="AJ56:AJ57" si="93">AH56+AI56</f>
        <v>10571.428311688311</v>
      </c>
      <c r="AK56" s="26">
        <f t="shared" si="77"/>
        <v>2431.4285116883116</v>
      </c>
      <c r="AL56" s="51">
        <v>911.43</v>
      </c>
      <c r="AM56" s="52"/>
      <c r="AN56" s="52"/>
      <c r="AO56" s="53"/>
      <c r="AP56" s="53"/>
      <c r="AQ56" s="49">
        <f t="shared" ref="AQ56:AQ58" si="94">AF56</f>
        <v>6400</v>
      </c>
      <c r="AR56" s="51"/>
      <c r="AS56" s="51">
        <v>828.57</v>
      </c>
      <c r="AT56" s="27">
        <f>AJ56-AK56-AL56-AS56-AN56-AQ56-AM56-AR56+AO56</f>
        <v>-2.0000000040454324E-4</v>
      </c>
      <c r="AU56" s="28">
        <f t="shared" si="78"/>
        <v>8140</v>
      </c>
      <c r="AV56" s="141"/>
      <c r="AW56" s="28"/>
      <c r="AX56" s="28">
        <f t="shared" si="79"/>
        <v>2431.4285116883116</v>
      </c>
      <c r="AY56" s="29">
        <f t="shared" si="80"/>
        <v>2325.7142285714285</v>
      </c>
      <c r="AZ56" s="30">
        <f t="shared" si="81"/>
        <v>4757.1427402597401</v>
      </c>
      <c r="BA56" s="31">
        <f t="shared" si="82"/>
        <v>0</v>
      </c>
      <c r="BB56" s="56">
        <f t="shared" si="71"/>
        <v>-2.0000000040454324E-4</v>
      </c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 ht="15.75" customHeight="1">
      <c r="A57" s="132">
        <f t="shared" si="83"/>
        <v>11</v>
      </c>
      <c r="B57" s="264" t="s">
        <v>206</v>
      </c>
      <c r="C57" s="129" t="s">
        <v>287</v>
      </c>
      <c r="D57" s="130" t="s">
        <v>44</v>
      </c>
      <c r="E57" s="83">
        <v>8700</v>
      </c>
      <c r="F57" s="261">
        <v>46113</v>
      </c>
      <c r="G57" s="79">
        <f t="shared" si="90"/>
        <v>2175</v>
      </c>
      <c r="H57" s="109">
        <v>22</v>
      </c>
      <c r="I57" s="42" t="s">
        <v>41</v>
      </c>
      <c r="J57" s="97"/>
      <c r="K57" s="97"/>
      <c r="L57" s="41">
        <v>200</v>
      </c>
      <c r="M57" s="42">
        <f t="shared" si="72"/>
        <v>0</v>
      </c>
      <c r="N57" s="43"/>
      <c r="O57" s="42"/>
      <c r="P57" s="44">
        <f t="shared" si="73"/>
        <v>0</v>
      </c>
      <c r="Q57" s="173">
        <v>3</v>
      </c>
      <c r="R57" s="89">
        <v>500</v>
      </c>
      <c r="S57" s="44">
        <f t="shared" si="74"/>
        <v>1500</v>
      </c>
      <c r="T57" s="173">
        <v>100</v>
      </c>
      <c r="U57" s="43"/>
      <c r="V57" s="43"/>
      <c r="W57" s="43"/>
      <c r="X57" s="42"/>
      <c r="Y57" s="44">
        <f t="shared" si="75"/>
        <v>0</v>
      </c>
      <c r="Z57" s="45"/>
      <c r="AA57" s="76"/>
      <c r="AB57" s="76"/>
      <c r="AC57" s="76"/>
      <c r="AD57" s="138"/>
      <c r="AE57" s="45"/>
      <c r="AF57" s="22">
        <f t="shared" si="91"/>
        <v>1600</v>
      </c>
      <c r="AG57" s="76"/>
      <c r="AH57" s="258">
        <v>2259.7399999999998</v>
      </c>
      <c r="AI57" s="309">
        <f t="shared" si="92"/>
        <v>2077.9220779220777</v>
      </c>
      <c r="AJ57" s="25">
        <f t="shared" si="93"/>
        <v>4337.6620779220775</v>
      </c>
      <c r="AK57" s="26">
        <f t="shared" si="77"/>
        <v>997.66227792207792</v>
      </c>
      <c r="AL57" s="51">
        <v>911.43</v>
      </c>
      <c r="AM57" s="52"/>
      <c r="AN57" s="52"/>
      <c r="AO57" s="53"/>
      <c r="AP57" s="53"/>
      <c r="AQ57" s="49">
        <f t="shared" si="94"/>
        <v>1600</v>
      </c>
      <c r="AR57" s="51"/>
      <c r="AS57" s="51">
        <v>828.57</v>
      </c>
      <c r="AT57" s="27">
        <f t="shared" ref="AT57:AT58" si="95">AJ57-AK57-AL57-AS57-AN57-AQ57-AM57-AR57</f>
        <v>-2.0000000040454324E-4</v>
      </c>
      <c r="AU57" s="28">
        <f t="shared" si="78"/>
        <v>3340</v>
      </c>
      <c r="AV57" s="28"/>
      <c r="AW57" s="28"/>
      <c r="AX57" s="28">
        <f t="shared" si="79"/>
        <v>997.66227792207792</v>
      </c>
      <c r="AY57" s="29">
        <f t="shared" si="80"/>
        <v>954.28565714285708</v>
      </c>
      <c r="AZ57" s="30">
        <f t="shared" si="81"/>
        <v>1951.9479350649349</v>
      </c>
      <c r="BA57" s="31">
        <f t="shared" si="82"/>
        <v>0</v>
      </c>
      <c r="BB57" s="56">
        <f t="shared" si="71"/>
        <v>-2.0000000040454324E-4</v>
      </c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 ht="27.6">
      <c r="A58" s="132">
        <f t="shared" si="83"/>
        <v>12</v>
      </c>
      <c r="B58" s="265" t="s">
        <v>100</v>
      </c>
      <c r="C58" s="129" t="s">
        <v>287</v>
      </c>
      <c r="D58" s="143" t="s">
        <v>101</v>
      </c>
      <c r="E58" s="134">
        <v>8700</v>
      </c>
      <c r="F58" s="144">
        <v>46054</v>
      </c>
      <c r="G58" s="110">
        <f>E58/2</f>
        <v>4350</v>
      </c>
      <c r="H58" s="109">
        <v>22</v>
      </c>
      <c r="I58" s="42" t="s">
        <v>41</v>
      </c>
      <c r="J58" s="97"/>
      <c r="K58" s="40"/>
      <c r="L58" s="41">
        <v>200</v>
      </c>
      <c r="M58" s="42">
        <f t="shared" si="72"/>
        <v>0</v>
      </c>
      <c r="N58" s="43"/>
      <c r="O58" s="42"/>
      <c r="P58" s="44">
        <f t="shared" si="73"/>
        <v>0</v>
      </c>
      <c r="Q58" s="43"/>
      <c r="R58" s="42"/>
      <c r="S58" s="44">
        <f t="shared" si="74"/>
        <v>0</v>
      </c>
      <c r="T58" s="173">
        <v>400</v>
      </c>
      <c r="U58" s="43"/>
      <c r="V58" s="43"/>
      <c r="W58" s="43"/>
      <c r="X58" s="42"/>
      <c r="Y58" s="44">
        <f t="shared" si="75"/>
        <v>0</v>
      </c>
      <c r="Z58" s="407">
        <v>1520</v>
      </c>
      <c r="AA58" s="408">
        <v>1948.05</v>
      </c>
      <c r="AB58" s="76"/>
      <c r="AC58" s="76"/>
      <c r="AD58" s="138"/>
      <c r="AE58" s="45"/>
      <c r="AF58" s="22">
        <f t="shared" si="91"/>
        <v>400</v>
      </c>
      <c r="AG58" s="76"/>
      <c r="AH58" s="266">
        <v>5595.55</v>
      </c>
      <c r="AI58" s="309">
        <f t="shared" si="92"/>
        <v>519.48051948051943</v>
      </c>
      <c r="AJ58" s="25">
        <f>AH58+AI58+Z58+AA58</f>
        <v>9583.0805194805198</v>
      </c>
      <c r="AK58" s="26">
        <f t="shared" si="77"/>
        <v>2204.1085194805196</v>
      </c>
      <c r="AL58" s="51">
        <v>2154.2800000000002</v>
      </c>
      <c r="AM58" s="52"/>
      <c r="AN58" s="52"/>
      <c r="AO58" s="53"/>
      <c r="AP58" s="53"/>
      <c r="AQ58" s="49">
        <f t="shared" si="94"/>
        <v>400</v>
      </c>
      <c r="AR58" s="407">
        <v>2670.4</v>
      </c>
      <c r="AS58" s="51">
        <v>2154.29</v>
      </c>
      <c r="AT58" s="27">
        <f t="shared" si="95"/>
        <v>1.9999999990432116E-3</v>
      </c>
      <c r="AU58" s="28">
        <f t="shared" si="78"/>
        <v>7378.97</v>
      </c>
      <c r="AV58" s="28"/>
      <c r="AW58" s="28"/>
      <c r="AX58" s="28">
        <f t="shared" si="79"/>
        <v>2204.1085194805196</v>
      </c>
      <c r="AY58" s="29">
        <f t="shared" si="80"/>
        <v>2108.2777142857144</v>
      </c>
      <c r="AZ58" s="30">
        <f t="shared" si="81"/>
        <v>4312.386233766234</v>
      </c>
      <c r="BA58" s="31">
        <f t="shared" si="82"/>
        <v>0</v>
      </c>
      <c r="BB58" s="56">
        <f t="shared" si="71"/>
        <v>1.9999999994979589E-3</v>
      </c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 ht="27.6">
      <c r="A59" s="132">
        <f t="shared" si="83"/>
        <v>13</v>
      </c>
      <c r="B59" s="142" t="s">
        <v>219</v>
      </c>
      <c r="C59" s="129" t="s">
        <v>287</v>
      </c>
      <c r="D59" s="143" t="s">
        <v>220</v>
      </c>
      <c r="E59" s="146">
        <v>8700</v>
      </c>
      <c r="F59" s="135">
        <v>46113</v>
      </c>
      <c r="G59" s="110">
        <f>E59/4</f>
        <v>2175</v>
      </c>
      <c r="H59" s="109">
        <v>22</v>
      </c>
      <c r="I59" s="42" t="s">
        <v>41</v>
      </c>
      <c r="J59" s="40"/>
      <c r="K59" s="40"/>
      <c r="L59" s="41"/>
      <c r="M59" s="42">
        <f t="shared" si="72"/>
        <v>0</v>
      </c>
      <c r="N59" s="43"/>
      <c r="O59" s="42"/>
      <c r="P59" s="44">
        <f t="shared" si="73"/>
        <v>0</v>
      </c>
      <c r="Q59" s="43"/>
      <c r="R59" s="42"/>
      <c r="S59" s="44">
        <f t="shared" si="74"/>
        <v>0</v>
      </c>
      <c r="T59" s="43"/>
      <c r="U59" s="43"/>
      <c r="V59" s="43"/>
      <c r="W59" s="43"/>
      <c r="X59" s="42"/>
      <c r="Y59" s="44">
        <f t="shared" si="75"/>
        <v>0</v>
      </c>
      <c r="Z59" s="45"/>
      <c r="AA59" s="76"/>
      <c r="AB59" s="76"/>
      <c r="AC59" s="76"/>
      <c r="AD59" s="140"/>
      <c r="AE59" s="152"/>
      <c r="AF59" s="22">
        <f t="shared" ref="AF59:AF61" si="96">M59+P59+S59+V59+Y59</f>
        <v>0</v>
      </c>
      <c r="AG59" s="53"/>
      <c r="AH59" s="53">
        <v>2259.7399999999998</v>
      </c>
      <c r="AI59" s="50"/>
      <c r="AJ59" s="25">
        <f>AH59+AI59+AE59</f>
        <v>2259.7399999999998</v>
      </c>
      <c r="AK59" s="26">
        <f t="shared" si="77"/>
        <v>519.74019999999996</v>
      </c>
      <c r="AL59" s="51">
        <v>911.43</v>
      </c>
      <c r="AM59" s="51"/>
      <c r="AN59" s="52"/>
      <c r="AO59" s="53"/>
      <c r="AP59" s="53"/>
      <c r="AQ59" s="53"/>
      <c r="AR59" s="51"/>
      <c r="AS59" s="51">
        <v>828.57</v>
      </c>
      <c r="AT59" s="27">
        <f>AJ59-AK59-AL59-AS59-AN59-AQ59-AM59-AR59-AO59</f>
        <v>-2.0000000017716957E-4</v>
      </c>
      <c r="AU59" s="28">
        <f t="shared" si="78"/>
        <v>1740</v>
      </c>
      <c r="AV59" s="28"/>
      <c r="AW59" s="28"/>
      <c r="AX59" s="28">
        <f t="shared" si="79"/>
        <v>519.74019999999996</v>
      </c>
      <c r="AY59" s="29">
        <f t="shared" si="80"/>
        <v>497.14279999999997</v>
      </c>
      <c r="AZ59" s="30">
        <f t="shared" si="81"/>
        <v>1016.8829999999999</v>
      </c>
      <c r="BA59" s="31">
        <f t="shared" si="82"/>
        <v>0</v>
      </c>
      <c r="BB59" s="56">
        <f t="shared" si="71"/>
        <v>-2.0000000017716957E-4</v>
      </c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 ht="13.8">
      <c r="A60" s="132">
        <f t="shared" si="83"/>
        <v>14</v>
      </c>
      <c r="B60" s="145" t="s">
        <v>102</v>
      </c>
      <c r="C60" s="129" t="s">
        <v>287</v>
      </c>
      <c r="D60" s="137" t="s">
        <v>48</v>
      </c>
      <c r="E60" s="146">
        <v>8700</v>
      </c>
      <c r="F60" s="135">
        <v>46054</v>
      </c>
      <c r="G60" s="109">
        <f>E60/2</f>
        <v>4350</v>
      </c>
      <c r="H60" s="109">
        <v>22</v>
      </c>
      <c r="I60" s="89" t="s">
        <v>37</v>
      </c>
      <c r="J60" s="40"/>
      <c r="K60" s="40"/>
      <c r="L60" s="41">
        <v>200</v>
      </c>
      <c r="M60" s="42">
        <f t="shared" si="72"/>
        <v>0</v>
      </c>
      <c r="N60" s="43"/>
      <c r="O60" s="42"/>
      <c r="P60" s="44">
        <f t="shared" si="73"/>
        <v>0</v>
      </c>
      <c r="Q60" s="43"/>
      <c r="R60" s="42"/>
      <c r="S60" s="44">
        <f t="shared" si="74"/>
        <v>0</v>
      </c>
      <c r="T60" s="43"/>
      <c r="U60" s="43"/>
      <c r="V60" s="43"/>
      <c r="W60" s="43"/>
      <c r="X60" s="42"/>
      <c r="Y60" s="44">
        <f t="shared" si="75"/>
        <v>0</v>
      </c>
      <c r="Z60" s="407">
        <v>1260</v>
      </c>
      <c r="AA60" s="408">
        <v>1948.05</v>
      </c>
      <c r="AB60" s="76"/>
      <c r="AC60" s="76"/>
      <c r="AD60" s="140"/>
      <c r="AE60" s="45"/>
      <c r="AF60" s="22">
        <f t="shared" si="96"/>
        <v>0</v>
      </c>
      <c r="AG60" s="76"/>
      <c r="AH60" s="53">
        <v>4350</v>
      </c>
      <c r="AI60" s="50"/>
      <c r="AJ60" s="25">
        <f>AH60+AI60+AD60+Z60+AA60</f>
        <v>7558.05</v>
      </c>
      <c r="AK60" s="26">
        <f t="shared" si="77"/>
        <v>1738.3515000000002</v>
      </c>
      <c r="AL60" s="152">
        <v>1754.5</v>
      </c>
      <c r="AM60" s="152"/>
      <c r="AN60" s="152"/>
      <c r="AO60" s="69"/>
      <c r="AP60" s="69"/>
      <c r="AQ60" s="69"/>
      <c r="AR60" s="407">
        <v>2470.1999999999998</v>
      </c>
      <c r="AS60" s="152">
        <v>1595</v>
      </c>
      <c r="AT60" s="27">
        <f t="shared" ref="AT60:AT61" si="97">AJ60-AK60-AL60-AS60-AN60-AQ60-AM60-AR60</f>
        <v>-1.4999999993960955E-3</v>
      </c>
      <c r="AU60" s="28">
        <f t="shared" si="78"/>
        <v>5819.7</v>
      </c>
      <c r="AV60" s="141"/>
      <c r="AW60" s="28"/>
      <c r="AX60" s="28">
        <f t="shared" si="79"/>
        <v>1738.3515000000002</v>
      </c>
      <c r="AY60" s="29">
        <f t="shared" si="80"/>
        <v>1662.771</v>
      </c>
      <c r="AZ60" s="30">
        <f t="shared" si="81"/>
        <v>3401.1225000000004</v>
      </c>
      <c r="BA60" s="31">
        <f t="shared" si="82"/>
        <v>0</v>
      </c>
      <c r="BB60" s="56">
        <f t="shared" si="71"/>
        <v>-1.4999999993960955E-3</v>
      </c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 ht="27.6">
      <c r="A61" s="132">
        <f t="shared" si="83"/>
        <v>15</v>
      </c>
      <c r="B61" s="268" t="s">
        <v>103</v>
      </c>
      <c r="C61" s="129" t="s">
        <v>287</v>
      </c>
      <c r="D61" s="137" t="s">
        <v>48</v>
      </c>
      <c r="E61" s="146">
        <v>8700</v>
      </c>
      <c r="F61" s="135">
        <v>46113</v>
      </c>
      <c r="G61" s="110">
        <f t="shared" ref="G61:G65" si="98">E61/4</f>
        <v>2175</v>
      </c>
      <c r="H61" s="109">
        <v>22</v>
      </c>
      <c r="I61" s="42" t="s">
        <v>41</v>
      </c>
      <c r="J61" s="40"/>
      <c r="K61" s="40"/>
      <c r="L61" s="41">
        <v>200</v>
      </c>
      <c r="M61" s="42">
        <f t="shared" si="72"/>
        <v>0</v>
      </c>
      <c r="N61" s="43"/>
      <c r="O61" s="42"/>
      <c r="P61" s="44">
        <f t="shared" si="73"/>
        <v>0</v>
      </c>
      <c r="Q61" s="43"/>
      <c r="R61" s="42"/>
      <c r="S61" s="44">
        <f t="shared" si="74"/>
        <v>0</v>
      </c>
      <c r="T61" s="43"/>
      <c r="U61" s="43"/>
      <c r="V61" s="43"/>
      <c r="W61" s="43"/>
      <c r="X61" s="42"/>
      <c r="Y61" s="44">
        <f t="shared" si="75"/>
        <v>0</v>
      </c>
      <c r="Z61" s="45"/>
      <c r="AA61" s="53"/>
      <c r="AB61" s="53"/>
      <c r="AC61" s="53"/>
      <c r="AD61" s="138"/>
      <c r="AE61" s="45"/>
      <c r="AF61" s="22">
        <f t="shared" si="96"/>
        <v>0</v>
      </c>
      <c r="AG61" s="29"/>
      <c r="AH61" s="258">
        <f>2259.74</f>
        <v>2259.7399999999998</v>
      </c>
      <c r="AI61" s="50"/>
      <c r="AJ61" s="25">
        <f t="shared" ref="AJ61:AJ65" si="99">AH61+AI61</f>
        <v>2259.7399999999998</v>
      </c>
      <c r="AK61" s="26">
        <f t="shared" si="77"/>
        <v>519.74019999999996</v>
      </c>
      <c r="AL61" s="51">
        <v>911.43</v>
      </c>
      <c r="AM61" s="52"/>
      <c r="AN61" s="52"/>
      <c r="AO61" s="53"/>
      <c r="AP61" s="53"/>
      <c r="AQ61" s="53"/>
      <c r="AR61" s="51"/>
      <c r="AS61" s="51">
        <v>828.57</v>
      </c>
      <c r="AT61" s="27">
        <f t="shared" si="97"/>
        <v>-2.0000000017716957E-4</v>
      </c>
      <c r="AU61" s="28">
        <f t="shared" si="78"/>
        <v>1740</v>
      </c>
      <c r="AV61" s="28"/>
      <c r="AW61" s="28"/>
      <c r="AX61" s="28">
        <f t="shared" si="79"/>
        <v>519.74019999999996</v>
      </c>
      <c r="AY61" s="29">
        <f t="shared" si="80"/>
        <v>497.14279999999997</v>
      </c>
      <c r="AZ61" s="30">
        <f t="shared" si="81"/>
        <v>1016.8829999999999</v>
      </c>
      <c r="BA61" s="31">
        <f t="shared" si="82"/>
        <v>0</v>
      </c>
      <c r="BB61" s="56">
        <f t="shared" si="71"/>
        <v>-2.0000000017716957E-4</v>
      </c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 ht="27.6">
      <c r="A62" s="132">
        <f t="shared" si="83"/>
        <v>16</v>
      </c>
      <c r="B62" s="357" t="s">
        <v>256</v>
      </c>
      <c r="C62" s="129" t="s">
        <v>287</v>
      </c>
      <c r="D62" s="130" t="s">
        <v>257</v>
      </c>
      <c r="E62" s="148">
        <v>8700</v>
      </c>
      <c r="F62" s="135">
        <v>46113</v>
      </c>
      <c r="G62" s="110">
        <f t="shared" si="98"/>
        <v>2175</v>
      </c>
      <c r="H62" s="109">
        <v>22</v>
      </c>
      <c r="I62" s="42" t="s">
        <v>41</v>
      </c>
      <c r="J62" s="40"/>
      <c r="K62" s="97"/>
      <c r="L62" s="41">
        <v>200</v>
      </c>
      <c r="M62" s="42">
        <f t="shared" si="72"/>
        <v>0</v>
      </c>
      <c r="N62" s="43"/>
      <c r="O62" s="42"/>
      <c r="P62" s="44">
        <f t="shared" si="73"/>
        <v>0</v>
      </c>
      <c r="Q62" s="173">
        <v>11</v>
      </c>
      <c r="R62" s="89">
        <v>500</v>
      </c>
      <c r="S62" s="44">
        <f t="shared" si="74"/>
        <v>5500</v>
      </c>
      <c r="T62" s="173">
        <v>600</v>
      </c>
      <c r="U62" s="43"/>
      <c r="V62" s="43"/>
      <c r="W62" s="43"/>
      <c r="X62" s="42"/>
      <c r="Y62" s="44">
        <f t="shared" si="75"/>
        <v>0</v>
      </c>
      <c r="Z62" s="45"/>
      <c r="AA62" s="53"/>
      <c r="AB62" s="53"/>
      <c r="AC62" s="53"/>
      <c r="AD62" s="138"/>
      <c r="AE62" s="45"/>
      <c r="AF62" s="22">
        <f>M62+P62+S62+V62+Y62+T62</f>
        <v>6100</v>
      </c>
      <c r="AG62" s="29"/>
      <c r="AH62" s="258">
        <v>2259.7399999999998</v>
      </c>
      <c r="AI62" s="309">
        <f>(AP62*100)/77</f>
        <v>7922.0779220779223</v>
      </c>
      <c r="AJ62" s="25">
        <f t="shared" si="99"/>
        <v>10181.817922077922</v>
      </c>
      <c r="AK62" s="26">
        <f t="shared" si="77"/>
        <v>2341.818122077922</v>
      </c>
      <c r="AL62" s="51">
        <v>911.43</v>
      </c>
      <c r="AM62" s="52"/>
      <c r="AN62" s="52"/>
      <c r="AO62" s="53"/>
      <c r="AP62" s="266">
        <f>AF62</f>
        <v>6100</v>
      </c>
      <c r="AQ62" s="53"/>
      <c r="AR62" s="51"/>
      <c r="AS62" s="51">
        <v>828.57</v>
      </c>
      <c r="AT62" s="27">
        <f>AJ62-AK62-AL62-AP62-AS62</f>
        <v>-2.0000000074560376E-4</v>
      </c>
      <c r="AU62" s="28">
        <f t="shared" si="78"/>
        <v>7840</v>
      </c>
      <c r="AV62" s="28"/>
      <c r="AW62" s="28"/>
      <c r="AX62" s="28">
        <f t="shared" si="79"/>
        <v>2341.818122077922</v>
      </c>
      <c r="AY62" s="29">
        <f t="shared" si="80"/>
        <v>2239.9999428571427</v>
      </c>
      <c r="AZ62" s="30">
        <f t="shared" si="81"/>
        <v>4581.8180649350652</v>
      </c>
      <c r="BA62" s="31">
        <f t="shared" si="82"/>
        <v>0</v>
      </c>
      <c r="BB62" s="56">
        <f t="shared" si="71"/>
        <v>-2.0000000040454324E-4</v>
      </c>
      <c r="BC62" s="280" t="s">
        <v>288</v>
      </c>
      <c r="BD62" s="281"/>
      <c r="BE62" s="28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 ht="27.6">
      <c r="A63" s="132">
        <f t="shared" si="83"/>
        <v>17</v>
      </c>
      <c r="B63" s="357" t="s">
        <v>258</v>
      </c>
      <c r="C63" s="129" t="s">
        <v>287</v>
      </c>
      <c r="D63" s="109" t="s">
        <v>80</v>
      </c>
      <c r="E63" s="148">
        <v>8700</v>
      </c>
      <c r="F63" s="135">
        <v>46114</v>
      </c>
      <c r="G63" s="110">
        <f t="shared" si="98"/>
        <v>2175</v>
      </c>
      <c r="H63" s="109">
        <v>22</v>
      </c>
      <c r="I63" s="42" t="s">
        <v>41</v>
      </c>
      <c r="J63" s="40"/>
      <c r="K63" s="97"/>
      <c r="L63" s="41">
        <v>200</v>
      </c>
      <c r="M63" s="42">
        <f t="shared" si="72"/>
        <v>0</v>
      </c>
      <c r="N63" s="43"/>
      <c r="O63" s="42"/>
      <c r="P63" s="44">
        <f t="shared" si="73"/>
        <v>0</v>
      </c>
      <c r="Q63" s="43"/>
      <c r="R63" s="42"/>
      <c r="S63" s="44">
        <f t="shared" si="74"/>
        <v>0</v>
      </c>
      <c r="T63" s="43"/>
      <c r="U63" s="43"/>
      <c r="V63" s="43"/>
      <c r="W63" s="43"/>
      <c r="X63" s="42"/>
      <c r="Y63" s="44">
        <f t="shared" si="75"/>
        <v>0</v>
      </c>
      <c r="Z63" s="45"/>
      <c r="AA63" s="53"/>
      <c r="AB63" s="53"/>
      <c r="AC63" s="53"/>
      <c r="AD63" s="138"/>
      <c r="AE63" s="45"/>
      <c r="AF63" s="22">
        <f t="shared" ref="AF63:AF70" si="100">M63+P63+S63+V63+Y63</f>
        <v>0</v>
      </c>
      <c r="AG63" s="29"/>
      <c r="AH63" s="258">
        <v>2259.7399999999998</v>
      </c>
      <c r="AI63" s="50"/>
      <c r="AJ63" s="25">
        <f t="shared" si="99"/>
        <v>2259.7399999999998</v>
      </c>
      <c r="AK63" s="26">
        <f t="shared" si="77"/>
        <v>519.74019999999996</v>
      </c>
      <c r="AL63" s="51">
        <v>911.43</v>
      </c>
      <c r="AM63" s="52"/>
      <c r="AN63" s="52"/>
      <c r="AO63" s="53"/>
      <c r="AP63" s="53"/>
      <c r="AQ63" s="53"/>
      <c r="AR63" s="51"/>
      <c r="AS63" s="51">
        <v>828.57</v>
      </c>
      <c r="AT63" s="27">
        <f t="shared" ref="AT63:AT66" si="101">AJ63-AK63-AL63-AS63-AN63-AQ63-AM63-AR63</f>
        <v>-2.0000000017716957E-4</v>
      </c>
      <c r="AU63" s="28">
        <f t="shared" si="78"/>
        <v>1740</v>
      </c>
      <c r="AV63" s="28"/>
      <c r="AW63" s="28"/>
      <c r="AX63" s="28">
        <f t="shared" si="79"/>
        <v>519.74019999999996</v>
      </c>
      <c r="AY63" s="29">
        <f t="shared" si="80"/>
        <v>497.14279999999997</v>
      </c>
      <c r="AZ63" s="30">
        <f t="shared" si="81"/>
        <v>1016.8829999999999</v>
      </c>
      <c r="BA63" s="31">
        <f t="shared" si="82"/>
        <v>0</v>
      </c>
      <c r="BB63" s="56">
        <f t="shared" si="71"/>
        <v>-2.0000000017716957E-4</v>
      </c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 ht="27.6">
      <c r="A64" s="132">
        <f t="shared" si="83"/>
        <v>18</v>
      </c>
      <c r="B64" s="259" t="s">
        <v>259</v>
      </c>
      <c r="C64" s="129" t="s">
        <v>287</v>
      </c>
      <c r="D64" s="134" t="s">
        <v>260</v>
      </c>
      <c r="E64" s="148">
        <v>8700</v>
      </c>
      <c r="F64" s="135">
        <v>46115</v>
      </c>
      <c r="G64" s="110">
        <f t="shared" si="98"/>
        <v>2175</v>
      </c>
      <c r="H64" s="109">
        <v>22</v>
      </c>
      <c r="I64" s="42" t="s">
        <v>41</v>
      </c>
      <c r="J64" s="40"/>
      <c r="K64" s="97"/>
      <c r="L64" s="41"/>
      <c r="M64" s="42"/>
      <c r="N64" s="43"/>
      <c r="O64" s="42"/>
      <c r="P64" s="44"/>
      <c r="Q64" s="43"/>
      <c r="R64" s="42"/>
      <c r="S64" s="44"/>
      <c r="T64" s="43"/>
      <c r="U64" s="43"/>
      <c r="V64" s="43"/>
      <c r="W64" s="43"/>
      <c r="X64" s="42"/>
      <c r="Y64" s="44"/>
      <c r="Z64" s="45"/>
      <c r="AA64" s="53"/>
      <c r="AB64" s="53"/>
      <c r="AC64" s="53"/>
      <c r="AD64" s="138"/>
      <c r="AE64" s="45"/>
      <c r="AF64" s="22">
        <f t="shared" si="100"/>
        <v>0</v>
      </c>
      <c r="AG64" s="29"/>
      <c r="AH64" s="258">
        <v>2259.7399999999998</v>
      </c>
      <c r="AI64" s="50"/>
      <c r="AJ64" s="25">
        <f t="shared" si="99"/>
        <v>2259.7399999999998</v>
      </c>
      <c r="AK64" s="26">
        <f t="shared" si="77"/>
        <v>519.74019999999996</v>
      </c>
      <c r="AL64" s="51">
        <v>911.43</v>
      </c>
      <c r="AM64" s="52"/>
      <c r="AN64" s="52"/>
      <c r="AO64" s="53"/>
      <c r="AP64" s="53"/>
      <c r="AQ64" s="53"/>
      <c r="AR64" s="51"/>
      <c r="AS64" s="51">
        <v>828.57</v>
      </c>
      <c r="AT64" s="27">
        <f t="shared" si="101"/>
        <v>-2.0000000017716957E-4</v>
      </c>
      <c r="AU64" s="28">
        <f t="shared" si="78"/>
        <v>1740</v>
      </c>
      <c r="AV64" s="28"/>
      <c r="AW64" s="28"/>
      <c r="AX64" s="28">
        <f t="shared" si="79"/>
        <v>519.74019999999996</v>
      </c>
      <c r="AY64" s="29">
        <f t="shared" si="80"/>
        <v>497.14279999999997</v>
      </c>
      <c r="AZ64" s="30">
        <f t="shared" si="81"/>
        <v>1016.8829999999999</v>
      </c>
      <c r="BA64" s="31">
        <f t="shared" si="82"/>
        <v>0</v>
      </c>
      <c r="BB64" s="56">
        <f t="shared" si="71"/>
        <v>-2.0000000017716957E-4</v>
      </c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 ht="27.6">
      <c r="A65" s="132">
        <f t="shared" si="83"/>
        <v>19</v>
      </c>
      <c r="B65" s="259" t="s">
        <v>50</v>
      </c>
      <c r="C65" s="129" t="s">
        <v>287</v>
      </c>
      <c r="D65" s="134" t="s">
        <v>261</v>
      </c>
      <c r="E65" s="146">
        <v>8700</v>
      </c>
      <c r="F65" s="135">
        <v>46113</v>
      </c>
      <c r="G65" s="110">
        <f t="shared" si="98"/>
        <v>2175</v>
      </c>
      <c r="H65" s="109">
        <v>22</v>
      </c>
      <c r="I65" s="42" t="s">
        <v>41</v>
      </c>
      <c r="J65" s="40"/>
      <c r="K65" s="97"/>
      <c r="L65" s="41"/>
      <c r="M65" s="42"/>
      <c r="N65" s="43"/>
      <c r="O65" s="42"/>
      <c r="P65" s="44"/>
      <c r="Q65" s="43"/>
      <c r="R65" s="42"/>
      <c r="S65" s="44"/>
      <c r="T65" s="43"/>
      <c r="U65" s="43"/>
      <c r="V65" s="43"/>
      <c r="W65" s="43"/>
      <c r="X65" s="42"/>
      <c r="Y65" s="44"/>
      <c r="Z65" s="45"/>
      <c r="AA65" s="53"/>
      <c r="AB65" s="53"/>
      <c r="AC65" s="53"/>
      <c r="AD65" s="138"/>
      <c r="AE65" s="45"/>
      <c r="AF65" s="22">
        <f t="shared" si="100"/>
        <v>0</v>
      </c>
      <c r="AG65" s="29"/>
      <c r="AH65" s="258">
        <v>2175</v>
      </c>
      <c r="AI65" s="50"/>
      <c r="AJ65" s="25">
        <f t="shared" si="99"/>
        <v>2175</v>
      </c>
      <c r="AK65" s="26">
        <f t="shared" si="77"/>
        <v>500.25</v>
      </c>
      <c r="AL65" s="51">
        <v>877.26</v>
      </c>
      <c r="AM65" s="52"/>
      <c r="AN65" s="52"/>
      <c r="AO65" s="53"/>
      <c r="AP65" s="53"/>
      <c r="AQ65" s="53"/>
      <c r="AR65" s="51"/>
      <c r="AS65" s="51">
        <v>797.49</v>
      </c>
      <c r="AT65" s="27">
        <f t="shared" si="101"/>
        <v>0</v>
      </c>
      <c r="AU65" s="28">
        <f t="shared" si="78"/>
        <v>1674.75</v>
      </c>
      <c r="AV65" s="28"/>
      <c r="AW65" s="28"/>
      <c r="AX65" s="28">
        <f t="shared" si="79"/>
        <v>500.25</v>
      </c>
      <c r="AY65" s="29">
        <f t="shared" si="80"/>
        <v>478.5</v>
      </c>
      <c r="AZ65" s="30">
        <f t="shared" si="81"/>
        <v>978.75</v>
      </c>
      <c r="BA65" s="31">
        <f t="shared" si="82"/>
        <v>0</v>
      </c>
      <c r="BB65" s="56">
        <f t="shared" si="71"/>
        <v>0</v>
      </c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 ht="27.6">
      <c r="A66" s="132">
        <f t="shared" si="83"/>
        <v>20</v>
      </c>
      <c r="B66" s="269" t="s">
        <v>104</v>
      </c>
      <c r="C66" s="129" t="s">
        <v>287</v>
      </c>
      <c r="D66" s="147" t="s">
        <v>105</v>
      </c>
      <c r="E66" s="148">
        <v>8700</v>
      </c>
      <c r="F66" s="134" t="s">
        <v>253</v>
      </c>
      <c r="G66" s="109">
        <v>8700</v>
      </c>
      <c r="H66" s="109">
        <v>22</v>
      </c>
      <c r="I66" s="42" t="s">
        <v>41</v>
      </c>
      <c r="J66" s="331">
        <v>3300</v>
      </c>
      <c r="K66" s="97"/>
      <c r="L66" s="41"/>
      <c r="M66" s="42"/>
      <c r="N66" s="43"/>
      <c r="O66" s="42"/>
      <c r="P66" s="44"/>
      <c r="Q66" s="43"/>
      <c r="R66" s="42"/>
      <c r="S66" s="44"/>
      <c r="T66" s="43"/>
      <c r="U66" s="43"/>
      <c r="V66" s="43"/>
      <c r="W66" s="173">
        <v>105</v>
      </c>
      <c r="X66" s="89">
        <v>160</v>
      </c>
      <c r="Y66" s="44">
        <f t="shared" ref="Y66:Y70" si="102">W66*X66</f>
        <v>16800</v>
      </c>
      <c r="Z66" s="407">
        <v>1260</v>
      </c>
      <c r="AA66" s="408">
        <v>1948.05</v>
      </c>
      <c r="AB66" s="53"/>
      <c r="AC66" s="48">
        <v>21518</v>
      </c>
      <c r="AD66" s="140"/>
      <c r="AE66" s="45"/>
      <c r="AF66" s="22">
        <f t="shared" si="100"/>
        <v>16800</v>
      </c>
      <c r="AG66" s="29"/>
      <c r="AH66" s="275">
        <v>4586.74</v>
      </c>
      <c r="AI66" s="309"/>
      <c r="AJ66" s="25">
        <f>AH66+AI66+AD66+AC66+Z66+AA66</f>
        <v>29312.789999999997</v>
      </c>
      <c r="AK66" s="26">
        <f t="shared" si="77"/>
        <v>6741.9416999999994</v>
      </c>
      <c r="AL66" s="69">
        <v>3417.86</v>
      </c>
      <c r="AM66" s="69"/>
      <c r="AN66" s="69"/>
      <c r="AO66" s="69"/>
      <c r="AP66" s="69"/>
      <c r="AQ66" s="47">
        <v>16568.86</v>
      </c>
      <c r="AR66" s="408">
        <v>2470.1999999999998</v>
      </c>
      <c r="AS66" s="69">
        <v>113.93</v>
      </c>
      <c r="AT66" s="27">
        <f t="shared" si="101"/>
        <v>-1.7000000034386176E-3</v>
      </c>
      <c r="AU66" s="28">
        <f t="shared" si="78"/>
        <v>22570.850000000002</v>
      </c>
      <c r="AV66" s="28"/>
      <c r="AW66" s="28"/>
      <c r="AX66" s="28">
        <f t="shared" si="79"/>
        <v>6741.9416999999994</v>
      </c>
      <c r="AY66" s="29">
        <f t="shared" si="80"/>
        <v>6448.813799999999</v>
      </c>
      <c r="AZ66" s="30">
        <f t="shared" si="81"/>
        <v>13190.755499999999</v>
      </c>
      <c r="BA66" s="31">
        <f t="shared" si="82"/>
        <v>0</v>
      </c>
      <c r="BB66" s="56">
        <f t="shared" si="71"/>
        <v>-1.7000000043481123E-3</v>
      </c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 ht="13.8">
      <c r="A67" s="132">
        <f t="shared" si="83"/>
        <v>21</v>
      </c>
      <c r="B67" s="269" t="s">
        <v>106</v>
      </c>
      <c r="C67" s="129" t="s">
        <v>287</v>
      </c>
      <c r="D67" s="147" t="s">
        <v>105</v>
      </c>
      <c r="E67" s="149">
        <v>8700</v>
      </c>
      <c r="F67" s="135">
        <v>46113</v>
      </c>
      <c r="G67" s="110">
        <f>E67/5</f>
        <v>1740</v>
      </c>
      <c r="H67" s="109">
        <v>22</v>
      </c>
      <c r="I67" s="38" t="s">
        <v>37</v>
      </c>
      <c r="J67" s="331">
        <v>3300</v>
      </c>
      <c r="K67" s="97"/>
      <c r="L67" s="41"/>
      <c r="M67" s="42"/>
      <c r="N67" s="43"/>
      <c r="O67" s="42"/>
      <c r="P67" s="44"/>
      <c r="Q67" s="43"/>
      <c r="R67" s="42"/>
      <c r="S67" s="44"/>
      <c r="T67" s="43"/>
      <c r="U67" s="43"/>
      <c r="V67" s="43"/>
      <c r="W67" s="173">
        <v>27</v>
      </c>
      <c r="X67" s="89">
        <v>160</v>
      </c>
      <c r="Y67" s="44">
        <f t="shared" si="102"/>
        <v>4320</v>
      </c>
      <c r="Z67" s="45"/>
      <c r="AA67" s="53"/>
      <c r="AB67" s="53"/>
      <c r="AC67" s="48">
        <v>7665</v>
      </c>
      <c r="AD67" s="140"/>
      <c r="AE67" s="45"/>
      <c r="AF67" s="22">
        <f t="shared" si="100"/>
        <v>4320</v>
      </c>
      <c r="AG67" s="29"/>
      <c r="AH67" s="275">
        <v>2231.17</v>
      </c>
      <c r="AI67" s="309"/>
      <c r="AJ67" s="25">
        <f>AH67+AI67+AC67</f>
        <v>9896.17</v>
      </c>
      <c r="AK67" s="26">
        <f t="shared" si="77"/>
        <v>2276.1190999999999</v>
      </c>
      <c r="AL67" s="53">
        <v>1051.1400000000001</v>
      </c>
      <c r="AM67" s="53"/>
      <c r="AN67" s="53"/>
      <c r="AO67" s="53"/>
      <c r="AP67" s="98"/>
      <c r="AQ67" s="47">
        <v>5902.05</v>
      </c>
      <c r="AR67" s="53"/>
      <c r="AS67" s="53">
        <v>666.86</v>
      </c>
      <c r="AT67" s="27">
        <f t="shared" ref="AT67:AT89" si="103">AJ67-AK67-AL67-AS67-AN67-AM67-AR67-AQ67</f>
        <v>9.0000000000145519E-4</v>
      </c>
      <c r="AU67" s="28">
        <f t="shared" si="78"/>
        <v>7620.05</v>
      </c>
      <c r="AV67" s="28"/>
      <c r="AW67" s="28"/>
      <c r="AX67" s="28">
        <f t="shared" si="79"/>
        <v>2276.1190999999999</v>
      </c>
      <c r="AY67" s="29">
        <f t="shared" si="80"/>
        <v>2177.1574000000001</v>
      </c>
      <c r="AZ67" s="30">
        <f t="shared" si="81"/>
        <v>4453.2764999999999</v>
      </c>
      <c r="BA67" s="31">
        <f t="shared" si="82"/>
        <v>0</v>
      </c>
      <c r="BB67" s="56">
        <f t="shared" si="71"/>
        <v>9.0000000000145519E-4</v>
      </c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 ht="27.6">
      <c r="A68" s="132">
        <f t="shared" si="83"/>
        <v>22</v>
      </c>
      <c r="B68" s="269" t="s">
        <v>107</v>
      </c>
      <c r="C68" s="129" t="s">
        <v>287</v>
      </c>
      <c r="D68" s="147" t="s">
        <v>105</v>
      </c>
      <c r="E68" s="134">
        <v>8700</v>
      </c>
      <c r="F68" s="135">
        <v>46054</v>
      </c>
      <c r="G68" s="110">
        <f>E68/2</f>
        <v>4350</v>
      </c>
      <c r="H68" s="109">
        <v>22</v>
      </c>
      <c r="I68" s="42" t="s">
        <v>41</v>
      </c>
      <c r="J68" s="331">
        <v>3300</v>
      </c>
      <c r="K68" s="97"/>
      <c r="L68" s="41"/>
      <c r="M68" s="42"/>
      <c r="N68" s="43"/>
      <c r="O68" s="42"/>
      <c r="P68" s="44"/>
      <c r="Q68" s="43"/>
      <c r="R68" s="42"/>
      <c r="S68" s="44"/>
      <c r="T68" s="43"/>
      <c r="U68" s="43"/>
      <c r="V68" s="43"/>
      <c r="W68" s="173">
        <v>72</v>
      </c>
      <c r="X68" s="89">
        <v>160</v>
      </c>
      <c r="Y68" s="44">
        <f t="shared" si="102"/>
        <v>11520</v>
      </c>
      <c r="Z68" s="407">
        <v>1860</v>
      </c>
      <c r="AA68" s="408">
        <v>1948.05</v>
      </c>
      <c r="AB68" s="53"/>
      <c r="AC68" s="48">
        <v>14660</v>
      </c>
      <c r="AD68" s="138"/>
      <c r="AE68" s="45"/>
      <c r="AF68" s="22">
        <f t="shared" si="100"/>
        <v>11520</v>
      </c>
      <c r="AG68" s="29"/>
      <c r="AH68" s="275">
        <v>4586.7299999999996</v>
      </c>
      <c r="AI68" s="309"/>
      <c r="AJ68" s="25">
        <f>AH68+AI68+AC68+Z68+AA68</f>
        <v>23054.78</v>
      </c>
      <c r="AK68" s="26">
        <f t="shared" si="77"/>
        <v>5302.5994000000001</v>
      </c>
      <c r="AL68" s="53">
        <v>1708.93</v>
      </c>
      <c r="AM68" s="53"/>
      <c r="AN68" s="53"/>
      <c r="AO68" s="53"/>
      <c r="AP68" s="53"/>
      <c r="AQ68" s="47">
        <v>11288.2</v>
      </c>
      <c r="AR68" s="408">
        <v>2932.2</v>
      </c>
      <c r="AS68" s="53">
        <v>1822.85</v>
      </c>
      <c r="AT68" s="27">
        <f t="shared" si="103"/>
        <v>5.9999999939464033E-4</v>
      </c>
      <c r="AU68" s="28">
        <f t="shared" si="78"/>
        <v>17752.18</v>
      </c>
      <c r="AV68" s="28"/>
      <c r="AW68" s="28"/>
      <c r="AX68" s="28">
        <f t="shared" si="79"/>
        <v>5302.5994000000001</v>
      </c>
      <c r="AY68" s="29">
        <f t="shared" si="80"/>
        <v>5072.0515999999998</v>
      </c>
      <c r="AZ68" s="30">
        <f t="shared" si="81"/>
        <v>10374.651</v>
      </c>
      <c r="BA68" s="31">
        <f t="shared" si="82"/>
        <v>0</v>
      </c>
      <c r="BB68" s="56">
        <f t="shared" si="71"/>
        <v>5.9999999939464033E-4</v>
      </c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 ht="13.8">
      <c r="A69" s="132">
        <f t="shared" si="83"/>
        <v>23</v>
      </c>
      <c r="B69" s="269" t="s">
        <v>108</v>
      </c>
      <c r="C69" s="129" t="s">
        <v>287</v>
      </c>
      <c r="D69" s="147" t="s">
        <v>105</v>
      </c>
      <c r="E69" s="146">
        <v>8700</v>
      </c>
      <c r="F69" s="134" t="s">
        <v>289</v>
      </c>
      <c r="G69" s="110">
        <f t="shared" ref="G69:G70" si="104">E69/4</f>
        <v>2175</v>
      </c>
      <c r="H69" s="109">
        <v>22</v>
      </c>
      <c r="I69" s="38" t="s">
        <v>37</v>
      </c>
      <c r="J69" s="331">
        <v>3300</v>
      </c>
      <c r="K69" s="97"/>
      <c r="L69" s="41"/>
      <c r="M69" s="42"/>
      <c r="N69" s="43"/>
      <c r="O69" s="42"/>
      <c r="P69" s="44"/>
      <c r="Q69" s="43"/>
      <c r="R69" s="42"/>
      <c r="S69" s="44"/>
      <c r="T69" s="43"/>
      <c r="U69" s="43"/>
      <c r="V69" s="43"/>
      <c r="W69" s="173">
        <v>102</v>
      </c>
      <c r="X69" s="89">
        <v>160</v>
      </c>
      <c r="Y69" s="44">
        <f t="shared" si="102"/>
        <v>16320</v>
      </c>
      <c r="Z69" s="45"/>
      <c r="AA69" s="53"/>
      <c r="AB69" s="53"/>
      <c r="AC69" s="48">
        <v>20894</v>
      </c>
      <c r="AD69" s="140"/>
      <c r="AE69" s="45"/>
      <c r="AF69" s="22">
        <f t="shared" si="100"/>
        <v>16320</v>
      </c>
      <c r="AG69" s="29"/>
      <c r="AH69" s="275">
        <v>4586.74</v>
      </c>
      <c r="AI69" s="309"/>
      <c r="AJ69" s="25">
        <f>AH69+AI69+AC69</f>
        <v>25480.739999999998</v>
      </c>
      <c r="AK69" s="26">
        <f t="shared" si="77"/>
        <v>5860.5702000000001</v>
      </c>
      <c r="AL69" s="53">
        <v>851.36</v>
      </c>
      <c r="AM69" s="53"/>
      <c r="AN69" s="53"/>
      <c r="AO69" s="53"/>
      <c r="AP69" s="53"/>
      <c r="AQ69" s="47">
        <v>16088.38</v>
      </c>
      <c r="AR69" s="53"/>
      <c r="AS69" s="53">
        <v>2680.43</v>
      </c>
      <c r="AT69" s="27">
        <f t="shared" si="103"/>
        <v>-2.0000000404252205E-4</v>
      </c>
      <c r="AU69" s="28">
        <f t="shared" si="78"/>
        <v>19620.169999999998</v>
      </c>
      <c r="AV69" s="28"/>
      <c r="AW69" s="28"/>
      <c r="AX69" s="28">
        <f t="shared" si="79"/>
        <v>5860.5702000000001</v>
      </c>
      <c r="AY69" s="29">
        <f t="shared" si="80"/>
        <v>5605.7627999999995</v>
      </c>
      <c r="AZ69" s="30">
        <f t="shared" si="81"/>
        <v>11466.332999999999</v>
      </c>
      <c r="BA69" s="31">
        <f t="shared" si="82"/>
        <v>0</v>
      </c>
      <c r="BB69" s="56">
        <f t="shared" si="71"/>
        <v>-2.0000000222353265E-4</v>
      </c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 ht="13.8">
      <c r="A70" s="132">
        <f t="shared" si="83"/>
        <v>24</v>
      </c>
      <c r="B70" s="271" t="s">
        <v>109</v>
      </c>
      <c r="C70" s="129" t="s">
        <v>287</v>
      </c>
      <c r="D70" s="147" t="s">
        <v>105</v>
      </c>
      <c r="E70" s="146">
        <v>8700</v>
      </c>
      <c r="F70" s="135">
        <v>46054</v>
      </c>
      <c r="G70" s="110">
        <f t="shared" si="104"/>
        <v>2175</v>
      </c>
      <c r="H70" s="109">
        <v>22</v>
      </c>
      <c r="I70" s="38" t="s">
        <v>37</v>
      </c>
      <c r="J70" s="331">
        <v>3300</v>
      </c>
      <c r="K70" s="97"/>
      <c r="L70" s="41"/>
      <c r="M70" s="42"/>
      <c r="N70" s="43"/>
      <c r="O70" s="42"/>
      <c r="P70" s="44"/>
      <c r="Q70" s="43"/>
      <c r="R70" s="42"/>
      <c r="S70" s="44"/>
      <c r="T70" s="43"/>
      <c r="U70" s="43"/>
      <c r="V70" s="43"/>
      <c r="W70" s="173">
        <v>101</v>
      </c>
      <c r="X70" s="89">
        <v>160</v>
      </c>
      <c r="Y70" s="44">
        <f t="shared" si="102"/>
        <v>16160</v>
      </c>
      <c r="Z70" s="407">
        <v>1860</v>
      </c>
      <c r="AA70" s="408">
        <v>1948.05</v>
      </c>
      <c r="AB70" s="53"/>
      <c r="AC70" s="48">
        <v>20686</v>
      </c>
      <c r="AD70" s="140"/>
      <c r="AE70" s="45"/>
      <c r="AF70" s="22">
        <f t="shared" si="100"/>
        <v>16160</v>
      </c>
      <c r="AG70" s="29"/>
      <c r="AH70" s="275">
        <v>4586.7299999999996</v>
      </c>
      <c r="AI70" s="309"/>
      <c r="AJ70" s="25">
        <f t="shared" ref="AJ70:AJ71" si="105">AH70+AI70+AC70+Z70+AA70</f>
        <v>29080.78</v>
      </c>
      <c r="AK70" s="26">
        <f t="shared" si="77"/>
        <v>6688.5793999999996</v>
      </c>
      <c r="AL70" s="53">
        <v>1708.93</v>
      </c>
      <c r="AM70" s="53"/>
      <c r="AN70" s="53"/>
      <c r="AO70" s="53"/>
      <c r="AP70" s="53"/>
      <c r="AQ70" s="47">
        <f>AF70-231.78</f>
        <v>15928.22</v>
      </c>
      <c r="AR70" s="408">
        <v>2932.2</v>
      </c>
      <c r="AS70" s="53">
        <v>1822.85</v>
      </c>
      <c r="AT70" s="27">
        <f t="shared" si="103"/>
        <v>6.0000000121362973E-4</v>
      </c>
      <c r="AU70" s="28">
        <f t="shared" si="78"/>
        <v>22392.199999999997</v>
      </c>
      <c r="AV70" s="28"/>
      <c r="AW70" s="28"/>
      <c r="AX70" s="28">
        <f t="shared" si="79"/>
        <v>6688.5793999999996</v>
      </c>
      <c r="AY70" s="29">
        <f t="shared" si="80"/>
        <v>6397.7716</v>
      </c>
      <c r="AZ70" s="30">
        <f t="shared" si="81"/>
        <v>13086.350999999999</v>
      </c>
      <c r="BA70" s="31">
        <f t="shared" si="82"/>
        <v>0</v>
      </c>
      <c r="BB70" s="56">
        <f t="shared" si="71"/>
        <v>6.0000000303261913E-4</v>
      </c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 ht="13.8">
      <c r="A71" s="355" t="s">
        <v>290</v>
      </c>
      <c r="B71" s="409" t="s">
        <v>291</v>
      </c>
      <c r="C71" s="129" t="s">
        <v>287</v>
      </c>
      <c r="D71" s="147" t="s">
        <v>105</v>
      </c>
      <c r="E71" s="146">
        <v>8700</v>
      </c>
      <c r="F71" s="135">
        <v>46113</v>
      </c>
      <c r="G71" s="109">
        <v>1740</v>
      </c>
      <c r="H71" s="109">
        <v>22</v>
      </c>
      <c r="I71" s="38" t="s">
        <v>37</v>
      </c>
      <c r="J71" s="331">
        <v>3300</v>
      </c>
      <c r="K71" s="97"/>
      <c r="L71" s="41"/>
      <c r="M71" s="42"/>
      <c r="N71" s="43"/>
      <c r="O71" s="42"/>
      <c r="P71" s="44"/>
      <c r="Q71" s="43"/>
      <c r="R71" s="42"/>
      <c r="S71" s="44"/>
      <c r="T71" s="43"/>
      <c r="U71" s="43"/>
      <c r="V71" s="43"/>
      <c r="W71" s="43"/>
      <c r="X71" s="42"/>
      <c r="Y71" s="44"/>
      <c r="Z71" s="45"/>
      <c r="AA71" s="53"/>
      <c r="AB71" s="53"/>
      <c r="AC71" s="48"/>
      <c r="AD71" s="140"/>
      <c r="AE71" s="45"/>
      <c r="AF71" s="22"/>
      <c r="AG71" s="29"/>
      <c r="AH71" s="275">
        <v>2044.53</v>
      </c>
      <c r="AI71" s="309"/>
      <c r="AJ71" s="25">
        <f t="shared" si="105"/>
        <v>2044.53</v>
      </c>
      <c r="AK71" s="26">
        <f t="shared" si="77"/>
        <v>470.24189999999999</v>
      </c>
      <c r="AL71" s="53"/>
      <c r="AM71" s="53"/>
      <c r="AN71" s="53"/>
      <c r="AO71" s="53"/>
      <c r="AP71" s="53"/>
      <c r="AQ71" s="69"/>
      <c r="AR71" s="53"/>
      <c r="AS71" s="53">
        <v>1574.29</v>
      </c>
      <c r="AT71" s="27">
        <f t="shared" si="103"/>
        <v>-1.8999999999778083E-3</v>
      </c>
      <c r="AU71" s="28">
        <f t="shared" si="78"/>
        <v>1574.29</v>
      </c>
      <c r="AV71" s="28"/>
      <c r="AW71" s="28"/>
      <c r="AX71" s="28">
        <f t="shared" si="79"/>
        <v>470.24189999999999</v>
      </c>
      <c r="AY71" s="29">
        <f t="shared" si="80"/>
        <v>449.79660000000001</v>
      </c>
      <c r="AZ71" s="30">
        <f t="shared" si="81"/>
        <v>920.0385</v>
      </c>
      <c r="BA71" s="31">
        <f t="shared" si="82"/>
        <v>0</v>
      </c>
      <c r="BB71" s="56">
        <f t="shared" si="71"/>
        <v>-1.8999999999778083E-3</v>
      </c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 ht="13.8">
      <c r="A72" s="355" t="s">
        <v>292</v>
      </c>
      <c r="B72" s="410" t="s">
        <v>293</v>
      </c>
      <c r="C72" s="35" t="s">
        <v>40</v>
      </c>
      <c r="D72" s="411" t="s">
        <v>294</v>
      </c>
      <c r="E72" s="38">
        <v>8700</v>
      </c>
      <c r="F72" s="412">
        <v>46113</v>
      </c>
      <c r="G72" s="413">
        <f t="shared" ref="G72:G73" si="106">E72/4</f>
        <v>2175</v>
      </c>
      <c r="H72" s="38">
        <v>22</v>
      </c>
      <c r="I72" s="38" t="s">
        <v>37</v>
      </c>
      <c r="J72" s="331">
        <v>3300</v>
      </c>
      <c r="K72" s="97"/>
      <c r="L72" s="2"/>
      <c r="M72" s="42"/>
      <c r="N72" s="43"/>
      <c r="O72" s="42"/>
      <c r="P72" s="44"/>
      <c r="Q72" s="43"/>
      <c r="R72" s="42"/>
      <c r="S72" s="44"/>
      <c r="T72" s="43"/>
      <c r="U72" s="43"/>
      <c r="V72" s="43"/>
      <c r="W72" s="43"/>
      <c r="X72" s="42"/>
      <c r="Y72" s="44"/>
      <c r="Z72" s="45"/>
      <c r="AA72" s="76"/>
      <c r="AB72" s="76"/>
      <c r="AC72" s="76"/>
      <c r="AD72" s="138"/>
      <c r="AE72" s="45"/>
      <c r="AF72" s="22">
        <f>M72+P72+S72+V72+Y72+T72</f>
        <v>0</v>
      </c>
      <c r="AG72" s="29"/>
      <c r="AH72" s="152">
        <v>2259.7399999999998</v>
      </c>
      <c r="AI72" s="45"/>
      <c r="AJ72" s="25">
        <f>AH72+AI72+AC72</f>
        <v>2259.7399999999998</v>
      </c>
      <c r="AK72" s="26">
        <f t="shared" si="77"/>
        <v>519.74019999999996</v>
      </c>
      <c r="AL72" s="53">
        <v>911.43</v>
      </c>
      <c r="AM72" s="53"/>
      <c r="AN72" s="53"/>
      <c r="AO72" s="53"/>
      <c r="AP72" s="53"/>
      <c r="AQ72" s="53"/>
      <c r="AR72" s="53"/>
      <c r="AS72" s="53">
        <v>828.57</v>
      </c>
      <c r="AT72" s="27">
        <f t="shared" si="103"/>
        <v>-2.0000000017716957E-4</v>
      </c>
      <c r="AU72" s="28">
        <f t="shared" si="78"/>
        <v>1740</v>
      </c>
      <c r="AV72" s="28"/>
      <c r="AW72" s="28"/>
      <c r="AX72" s="28">
        <f t="shared" si="79"/>
        <v>519.74019999999996</v>
      </c>
      <c r="AY72" s="29">
        <f t="shared" si="80"/>
        <v>497.14279999999997</v>
      </c>
      <c r="AZ72" s="30">
        <f t="shared" si="81"/>
        <v>1016.8829999999999</v>
      </c>
      <c r="BA72" s="31">
        <f t="shared" si="82"/>
        <v>0</v>
      </c>
      <c r="BB72" s="56">
        <f t="shared" si="71"/>
        <v>-2.0000000017716957E-4</v>
      </c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 ht="13.8">
      <c r="A73" s="132">
        <f>A70+1</f>
        <v>25</v>
      </c>
      <c r="B73" s="272" t="s">
        <v>111</v>
      </c>
      <c r="C73" s="129" t="s">
        <v>287</v>
      </c>
      <c r="D73" s="147" t="s">
        <v>70</v>
      </c>
      <c r="E73" s="146">
        <v>8700</v>
      </c>
      <c r="F73" s="135">
        <v>46113</v>
      </c>
      <c r="G73" s="110">
        <f t="shared" si="106"/>
        <v>2175</v>
      </c>
      <c r="H73" s="109">
        <v>22</v>
      </c>
      <c r="I73" s="38" t="s">
        <v>37</v>
      </c>
      <c r="J73" s="40">
        <v>13500</v>
      </c>
      <c r="K73" s="97"/>
      <c r="L73" s="41"/>
      <c r="M73" s="42"/>
      <c r="N73" s="43"/>
      <c r="O73" s="42"/>
      <c r="P73" s="44"/>
      <c r="Q73" s="43"/>
      <c r="R73" s="42"/>
      <c r="S73" s="44"/>
      <c r="T73" s="43"/>
      <c r="U73" s="43"/>
      <c r="V73" s="43"/>
      <c r="W73" s="43"/>
      <c r="X73" s="42"/>
      <c r="Y73" s="44"/>
      <c r="Z73" s="45"/>
      <c r="AA73" s="53"/>
      <c r="AB73" s="53"/>
      <c r="AC73" s="48"/>
      <c r="AD73" s="140">
        <v>3449.04</v>
      </c>
      <c r="AE73" s="45"/>
      <c r="AF73" s="22">
        <f>M73+P73+S73+V73+Y73</f>
        <v>0</v>
      </c>
      <c r="AG73" s="29"/>
      <c r="AH73" s="275">
        <v>630.04999999999995</v>
      </c>
      <c r="AI73" s="309">
        <f>(AQ73*100)/77</f>
        <v>0</v>
      </c>
      <c r="AJ73" s="25">
        <f>AH73+AI73+AD73</f>
        <v>4079.09</v>
      </c>
      <c r="AK73" s="26">
        <f t="shared" si="77"/>
        <v>938.19070000000011</v>
      </c>
      <c r="AL73" s="53"/>
      <c r="AM73" s="53"/>
      <c r="AN73" s="53">
        <v>3140.9</v>
      </c>
      <c r="AO73" s="53"/>
      <c r="AP73" s="53"/>
      <c r="AQ73" s="69">
        <f>AF73</f>
        <v>0</v>
      </c>
      <c r="AR73" s="53"/>
      <c r="AS73" s="53"/>
      <c r="AT73" s="27">
        <f t="shared" si="103"/>
        <v>-7.000000000516593E-4</v>
      </c>
      <c r="AU73" s="28">
        <f t="shared" si="78"/>
        <v>3140.9</v>
      </c>
      <c r="AV73" s="28"/>
      <c r="AW73" s="28"/>
      <c r="AX73" s="28">
        <f t="shared" si="79"/>
        <v>938.19070000000011</v>
      </c>
      <c r="AY73" s="29">
        <f t="shared" si="80"/>
        <v>897.39980000000003</v>
      </c>
      <c r="AZ73" s="30">
        <f t="shared" si="81"/>
        <v>1835.5905000000002</v>
      </c>
      <c r="BA73" s="31">
        <f t="shared" si="82"/>
        <v>0</v>
      </c>
      <c r="BB73" s="56">
        <f t="shared" si="71"/>
        <v>-7.000000000516593E-4</v>
      </c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 ht="13.8">
      <c r="A74" s="132">
        <f>A73+1</f>
        <v>26</v>
      </c>
      <c r="B74" s="128" t="s">
        <v>112</v>
      </c>
      <c r="C74" s="129" t="s">
        <v>287</v>
      </c>
      <c r="D74" s="147" t="s">
        <v>70</v>
      </c>
      <c r="E74" s="146">
        <v>8700</v>
      </c>
      <c r="F74" s="134">
        <v>1</v>
      </c>
      <c r="G74" s="109">
        <v>8700</v>
      </c>
      <c r="H74" s="109">
        <v>22</v>
      </c>
      <c r="I74" s="38" t="s">
        <v>37</v>
      </c>
      <c r="J74" s="97"/>
      <c r="K74" s="97"/>
      <c r="L74" s="41"/>
      <c r="M74" s="42"/>
      <c r="N74" s="43"/>
      <c r="O74" s="42"/>
      <c r="P74" s="44"/>
      <c r="Q74" s="43"/>
      <c r="R74" s="42"/>
      <c r="S74" s="44"/>
      <c r="T74" s="43"/>
      <c r="U74" s="43"/>
      <c r="V74" s="43"/>
      <c r="W74" s="43"/>
      <c r="X74" s="42"/>
      <c r="Y74" s="44"/>
      <c r="Z74" s="45"/>
      <c r="AA74" s="76"/>
      <c r="AB74" s="76"/>
      <c r="AC74" s="76"/>
      <c r="AD74" s="138"/>
      <c r="AE74" s="45"/>
      <c r="AF74" s="22"/>
      <c r="AG74" s="29"/>
      <c r="AH74" s="152"/>
      <c r="AI74" s="45"/>
      <c r="AJ74" s="25">
        <f>AH74+AI74</f>
        <v>0</v>
      </c>
      <c r="AK74" s="26">
        <f t="shared" si="77"/>
        <v>0</v>
      </c>
      <c r="AL74" s="53"/>
      <c r="AM74" s="53"/>
      <c r="AN74" s="53"/>
      <c r="AO74" s="53"/>
      <c r="AP74" s="53"/>
      <c r="AQ74" s="53"/>
      <c r="AR74" s="53"/>
      <c r="AS74" s="53"/>
      <c r="AT74" s="27">
        <f t="shared" si="103"/>
        <v>0</v>
      </c>
      <c r="AU74" s="28">
        <f t="shared" si="78"/>
        <v>0</v>
      </c>
      <c r="AV74" s="28"/>
      <c r="AW74" s="28"/>
      <c r="AX74" s="28">
        <f t="shared" si="79"/>
        <v>0</v>
      </c>
      <c r="AY74" s="29">
        <f t="shared" si="80"/>
        <v>0</v>
      </c>
      <c r="AZ74" s="30">
        <f t="shared" si="81"/>
        <v>0</v>
      </c>
      <c r="BA74" s="31">
        <f t="shared" si="82"/>
        <v>0</v>
      </c>
      <c r="BB74" s="56">
        <f t="shared" si="71"/>
        <v>0</v>
      </c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 ht="13.8">
      <c r="A75" s="355" t="s">
        <v>295</v>
      </c>
      <c r="B75" s="414" t="s">
        <v>296</v>
      </c>
      <c r="C75" s="35" t="s">
        <v>40</v>
      </c>
      <c r="D75" s="411" t="s">
        <v>297</v>
      </c>
      <c r="E75" s="38">
        <v>8700</v>
      </c>
      <c r="F75" s="412">
        <v>46113</v>
      </c>
      <c r="G75" s="413">
        <f>E75/4</f>
        <v>2175</v>
      </c>
      <c r="H75" s="38">
        <v>22</v>
      </c>
      <c r="I75" s="38" t="s">
        <v>41</v>
      </c>
      <c r="J75" s="97"/>
      <c r="K75" s="97"/>
      <c r="L75" s="2"/>
      <c r="M75" s="42"/>
      <c r="N75" s="43"/>
      <c r="O75" s="42"/>
      <c r="P75" s="44"/>
      <c r="Q75" s="173"/>
      <c r="R75" s="89"/>
      <c r="S75" s="44">
        <f>Q75*R75</f>
        <v>0</v>
      </c>
      <c r="T75" s="43"/>
      <c r="U75" s="43"/>
      <c r="V75" s="43"/>
      <c r="W75" s="173">
        <v>36</v>
      </c>
      <c r="X75" s="89">
        <v>160</v>
      </c>
      <c r="Y75" s="44">
        <f>W75*X75</f>
        <v>5760</v>
      </c>
      <c r="Z75" s="407">
        <v>1020</v>
      </c>
      <c r="AA75" s="408">
        <v>1948.05</v>
      </c>
      <c r="AB75" s="76"/>
      <c r="AC75" s="48">
        <v>7481</v>
      </c>
      <c r="AD75" s="138"/>
      <c r="AE75" s="45"/>
      <c r="AF75" s="22">
        <f>M75+P75+S75+V75+Y75+T75</f>
        <v>5760</v>
      </c>
      <c r="AG75" s="29"/>
      <c r="AH75" s="45">
        <f>2515.31</f>
        <v>2515.31</v>
      </c>
      <c r="AI75" s="45"/>
      <c r="AJ75" s="25">
        <f>AH75+AI75+AC75+Z75+AA75</f>
        <v>12964.359999999999</v>
      </c>
      <c r="AK75" s="26">
        <f t="shared" si="77"/>
        <v>2981.8027999999999</v>
      </c>
      <c r="AL75" s="53">
        <v>56.75</v>
      </c>
      <c r="AM75" s="53"/>
      <c r="AN75" s="53"/>
      <c r="AO75" s="53"/>
      <c r="AP75" s="53"/>
      <c r="AQ75" s="47">
        <v>5760.37</v>
      </c>
      <c r="AR75" s="408">
        <f>785.4+1500</f>
        <v>2285.4</v>
      </c>
      <c r="AS75" s="53">
        <v>1880.04</v>
      </c>
      <c r="AT75" s="27">
        <f t="shared" si="103"/>
        <v>-2.8000000011161319E-3</v>
      </c>
      <c r="AU75" s="28">
        <f t="shared" si="78"/>
        <v>9982.5600000000013</v>
      </c>
      <c r="AV75" s="28"/>
      <c r="AW75" s="28"/>
      <c r="AX75" s="28">
        <f t="shared" si="79"/>
        <v>2981.8027999999999</v>
      </c>
      <c r="AY75" s="29">
        <f t="shared" si="80"/>
        <v>2852.1591999999996</v>
      </c>
      <c r="AZ75" s="30">
        <f t="shared" si="81"/>
        <v>5833.9619999999995</v>
      </c>
      <c r="BA75" s="31">
        <f t="shared" si="82"/>
        <v>0</v>
      </c>
      <c r="BB75" s="56">
        <f t="shared" si="71"/>
        <v>-2.8000000020256266E-3</v>
      </c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 ht="27.6">
      <c r="A76" s="132">
        <f>A33+1</f>
        <v>28</v>
      </c>
      <c r="B76" s="95" t="s">
        <v>113</v>
      </c>
      <c r="C76" s="129" t="s">
        <v>287</v>
      </c>
      <c r="D76" s="62" t="s">
        <v>221</v>
      </c>
      <c r="E76" s="40">
        <v>80000</v>
      </c>
      <c r="F76" s="134">
        <v>1</v>
      </c>
      <c r="G76" s="109">
        <v>80000</v>
      </c>
      <c r="H76" s="109">
        <v>22</v>
      </c>
      <c r="I76" s="42" t="s">
        <v>41</v>
      </c>
      <c r="J76" s="97"/>
      <c r="K76" s="97"/>
      <c r="L76" s="138"/>
      <c r="M76" s="138"/>
      <c r="N76" s="97"/>
      <c r="O76" s="138"/>
      <c r="P76" s="324"/>
      <c r="Q76" s="97"/>
      <c r="R76" s="138"/>
      <c r="S76" s="324"/>
      <c r="T76" s="97"/>
      <c r="U76" s="97"/>
      <c r="V76" s="97"/>
      <c r="W76" s="97"/>
      <c r="X76" s="138"/>
      <c r="Y76" s="324"/>
      <c r="Z76" s="52"/>
      <c r="AA76" s="76"/>
      <c r="AB76" s="76"/>
      <c r="AC76" s="76"/>
      <c r="AD76" s="138"/>
      <c r="AE76" s="52"/>
      <c r="AF76" s="22"/>
      <c r="AG76" s="53"/>
      <c r="AH76" s="51">
        <v>80000</v>
      </c>
      <c r="AI76" s="52"/>
      <c r="AJ76" s="25">
        <f>AH76+AI76</f>
        <v>80000</v>
      </c>
      <c r="AK76" s="26">
        <f t="shared" si="77"/>
        <v>18400</v>
      </c>
      <c r="AL76" s="53">
        <v>32266.66</v>
      </c>
      <c r="AM76" s="53"/>
      <c r="AN76" s="53"/>
      <c r="AO76" s="53"/>
      <c r="AP76" s="53"/>
      <c r="AQ76" s="53"/>
      <c r="AR76" s="53"/>
      <c r="AS76" s="53">
        <v>29333.34</v>
      </c>
      <c r="AT76" s="27">
        <f t="shared" si="103"/>
        <v>0</v>
      </c>
      <c r="AU76" s="28">
        <f t="shared" si="78"/>
        <v>61600</v>
      </c>
      <c r="AV76" s="28"/>
      <c r="AW76" s="28"/>
      <c r="AX76" s="28">
        <f t="shared" si="79"/>
        <v>18400</v>
      </c>
      <c r="AY76" s="29">
        <f t="shared" si="80"/>
        <v>17600</v>
      </c>
      <c r="AZ76" s="30">
        <f t="shared" si="81"/>
        <v>36000</v>
      </c>
      <c r="BA76" s="31">
        <f t="shared" si="82"/>
        <v>0</v>
      </c>
      <c r="BB76" s="56">
        <f t="shared" si="71"/>
        <v>0</v>
      </c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 ht="27.6">
      <c r="A77" s="132">
        <f t="shared" ref="A77:A80" si="107">A76+1</f>
        <v>29</v>
      </c>
      <c r="B77" s="415" t="s">
        <v>116</v>
      </c>
      <c r="C77" s="129" t="s">
        <v>287</v>
      </c>
      <c r="D77" s="38" t="s">
        <v>262</v>
      </c>
      <c r="E77" s="38">
        <v>8700</v>
      </c>
      <c r="F77" s="78">
        <v>1</v>
      </c>
      <c r="G77" s="38">
        <v>8700</v>
      </c>
      <c r="H77" s="38">
        <v>8.41</v>
      </c>
      <c r="I77" s="42" t="s">
        <v>41</v>
      </c>
      <c r="J77" s="40">
        <v>26000</v>
      </c>
      <c r="K77" s="97"/>
      <c r="L77" s="2"/>
      <c r="M77" s="42"/>
      <c r="N77" s="43"/>
      <c r="O77" s="42"/>
      <c r="P77" s="44"/>
      <c r="Q77" s="43"/>
      <c r="R77" s="42"/>
      <c r="S77" s="44"/>
      <c r="T77" s="43"/>
      <c r="U77" s="43"/>
      <c r="V77" s="43"/>
      <c r="W77" s="43"/>
      <c r="X77" s="42"/>
      <c r="Y77" s="44"/>
      <c r="Z77" s="45"/>
      <c r="AA77" s="53"/>
      <c r="AB77" s="53"/>
      <c r="AC77" s="48">
        <v>25067</v>
      </c>
      <c r="AD77" s="140"/>
      <c r="AE77" s="45"/>
      <c r="AF77" s="22"/>
      <c r="AG77" s="29"/>
      <c r="AH77" s="275">
        <v>8700</v>
      </c>
      <c r="AI77" s="45"/>
      <c r="AJ77" s="25">
        <f>AH77+AI77+AC77</f>
        <v>33767</v>
      </c>
      <c r="AK77" s="26">
        <f t="shared" si="77"/>
        <v>7766.4100000000008</v>
      </c>
      <c r="AL77" s="53">
        <v>3508.99</v>
      </c>
      <c r="AM77" s="53"/>
      <c r="AN77" s="53"/>
      <c r="AO77" s="53"/>
      <c r="AP77" s="53"/>
      <c r="AQ77" s="47">
        <v>19301.59</v>
      </c>
      <c r="AR77" s="53"/>
      <c r="AS77" s="53">
        <v>3190.01</v>
      </c>
      <c r="AT77" s="27">
        <f t="shared" si="103"/>
        <v>0</v>
      </c>
      <c r="AU77" s="28">
        <f t="shared" si="78"/>
        <v>26000.590000000004</v>
      </c>
      <c r="AV77" s="28"/>
      <c r="AW77" s="28"/>
      <c r="AX77" s="28">
        <f t="shared" si="79"/>
        <v>7766.4100000000008</v>
      </c>
      <c r="AY77" s="29">
        <f t="shared" si="80"/>
        <v>2839.8047000000001</v>
      </c>
      <c r="AZ77" s="30">
        <f t="shared" si="81"/>
        <v>10606.2147</v>
      </c>
      <c r="BA77" s="31">
        <f t="shared" si="82"/>
        <v>0</v>
      </c>
      <c r="BB77" s="56">
        <f t="shared" si="71"/>
        <v>0</v>
      </c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 ht="27.6">
      <c r="A78" s="132">
        <f t="shared" si="107"/>
        <v>30</v>
      </c>
      <c r="B78" s="95" t="s">
        <v>222</v>
      </c>
      <c r="C78" s="129" t="s">
        <v>287</v>
      </c>
      <c r="D78" s="38" t="s">
        <v>223</v>
      </c>
      <c r="E78" s="38">
        <v>8700</v>
      </c>
      <c r="F78" s="78">
        <v>1</v>
      </c>
      <c r="G78" s="38">
        <v>8700</v>
      </c>
      <c r="H78" s="38">
        <v>22</v>
      </c>
      <c r="I78" s="42" t="s">
        <v>41</v>
      </c>
      <c r="J78" s="40"/>
      <c r="K78" s="97"/>
      <c r="L78" s="2"/>
      <c r="M78" s="42"/>
      <c r="N78" s="43"/>
      <c r="O78" s="42"/>
      <c r="P78" s="44"/>
      <c r="Q78" s="43"/>
      <c r="R78" s="42"/>
      <c r="S78" s="44"/>
      <c r="T78" s="43"/>
      <c r="U78" s="43"/>
      <c r="V78" s="43"/>
      <c r="W78" s="43"/>
      <c r="X78" s="42"/>
      <c r="Y78" s="44"/>
      <c r="Z78" s="45"/>
      <c r="AA78" s="53"/>
      <c r="AB78" s="53"/>
      <c r="AC78" s="53"/>
      <c r="AD78" s="138"/>
      <c r="AE78" s="45"/>
      <c r="AF78" s="22"/>
      <c r="AG78" s="29"/>
      <c r="AH78" s="275">
        <v>2175</v>
      </c>
      <c r="AI78" s="45"/>
      <c r="AJ78" s="25">
        <f>AH78+AI78</f>
        <v>2175</v>
      </c>
      <c r="AK78" s="26">
        <f t="shared" si="77"/>
        <v>500.25</v>
      </c>
      <c r="AL78" s="53">
        <v>877.26</v>
      </c>
      <c r="AM78" s="53"/>
      <c r="AN78" s="53"/>
      <c r="AO78" s="53"/>
      <c r="AP78" s="53"/>
      <c r="AQ78" s="53"/>
      <c r="AR78" s="53"/>
      <c r="AS78" s="53">
        <v>797.49</v>
      </c>
      <c r="AT78" s="27">
        <f t="shared" si="103"/>
        <v>0</v>
      </c>
      <c r="AU78" s="28">
        <f t="shared" si="78"/>
        <v>1674.75</v>
      </c>
      <c r="AV78" s="28"/>
      <c r="AW78" s="28"/>
      <c r="AX78" s="28">
        <f t="shared" si="79"/>
        <v>500.25</v>
      </c>
      <c r="AY78" s="29">
        <f t="shared" si="80"/>
        <v>478.5</v>
      </c>
      <c r="AZ78" s="30">
        <f t="shared" si="81"/>
        <v>978.75</v>
      </c>
      <c r="BA78" s="31">
        <f t="shared" si="82"/>
        <v>0</v>
      </c>
      <c r="BB78" s="56">
        <f t="shared" si="71"/>
        <v>0</v>
      </c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 ht="27.6">
      <c r="A79" s="132">
        <f t="shared" si="107"/>
        <v>31</v>
      </c>
      <c r="B79" s="151" t="s">
        <v>224</v>
      </c>
      <c r="C79" s="129" t="s">
        <v>287</v>
      </c>
      <c r="D79" s="38" t="s">
        <v>225</v>
      </c>
      <c r="E79" s="38">
        <v>8700</v>
      </c>
      <c r="F79" s="135">
        <v>46054</v>
      </c>
      <c r="G79" s="110">
        <f>E79/2</f>
        <v>4350</v>
      </c>
      <c r="H79" s="109">
        <v>22</v>
      </c>
      <c r="I79" s="42" t="s">
        <v>41</v>
      </c>
      <c r="J79" s="40">
        <v>12000</v>
      </c>
      <c r="K79" s="97"/>
      <c r="L79" s="2"/>
      <c r="M79" s="42"/>
      <c r="N79" s="43"/>
      <c r="O79" s="42"/>
      <c r="P79" s="44"/>
      <c r="Q79" s="43"/>
      <c r="R79" s="42"/>
      <c r="S79" s="44"/>
      <c r="T79" s="43"/>
      <c r="U79" s="43"/>
      <c r="V79" s="43"/>
      <c r="W79" s="43"/>
      <c r="X79" s="42"/>
      <c r="Y79" s="44"/>
      <c r="Z79" s="45"/>
      <c r="AA79" s="76"/>
      <c r="AB79" s="76"/>
      <c r="AC79" s="48">
        <v>11235</v>
      </c>
      <c r="AD79" s="138"/>
      <c r="AE79" s="45"/>
      <c r="AF79" s="22"/>
      <c r="AG79" s="29"/>
      <c r="AH79" s="152">
        <v>4350</v>
      </c>
      <c r="AI79" s="309"/>
      <c r="AJ79" s="25">
        <f t="shared" ref="AJ79:AJ80" si="108">AH79+AI79+AC79</f>
        <v>15585</v>
      </c>
      <c r="AK79" s="26">
        <f t="shared" si="77"/>
        <v>3584.55</v>
      </c>
      <c r="AL79" s="53">
        <v>1754.5</v>
      </c>
      <c r="AM79" s="53"/>
      <c r="AN79" s="53"/>
      <c r="AO79" s="53"/>
      <c r="AP79" s="53"/>
      <c r="AQ79" s="47">
        <v>8650.9500000000007</v>
      </c>
      <c r="AR79" s="53"/>
      <c r="AS79" s="53">
        <v>1595</v>
      </c>
      <c r="AT79" s="27">
        <f t="shared" si="103"/>
        <v>0</v>
      </c>
      <c r="AU79" s="28">
        <f t="shared" si="78"/>
        <v>12000.45</v>
      </c>
      <c r="AV79" s="28"/>
      <c r="AW79" s="28"/>
      <c r="AX79" s="28">
        <f t="shared" si="79"/>
        <v>3584.55</v>
      </c>
      <c r="AY79" s="29">
        <f t="shared" si="80"/>
        <v>3428.7</v>
      </c>
      <c r="AZ79" s="30">
        <f t="shared" si="81"/>
        <v>7013.25</v>
      </c>
      <c r="BA79" s="31">
        <f t="shared" si="82"/>
        <v>0</v>
      </c>
      <c r="BB79" s="56">
        <f t="shared" si="71"/>
        <v>0</v>
      </c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 ht="27.6">
      <c r="A80" s="132">
        <f t="shared" si="107"/>
        <v>32</v>
      </c>
      <c r="B80" s="151" t="s">
        <v>117</v>
      </c>
      <c r="C80" s="129" t="s">
        <v>287</v>
      </c>
      <c r="D80" s="38" t="s">
        <v>115</v>
      </c>
      <c r="E80" s="38">
        <v>54000</v>
      </c>
      <c r="F80" s="358">
        <v>46115</v>
      </c>
      <c r="G80" s="38">
        <v>40500</v>
      </c>
      <c r="H80" s="38">
        <v>8.41</v>
      </c>
      <c r="I80" s="42" t="s">
        <v>41</v>
      </c>
      <c r="J80" s="97"/>
      <c r="K80" s="97"/>
      <c r="L80" s="2"/>
      <c r="M80" s="42"/>
      <c r="N80" s="43"/>
      <c r="O80" s="42"/>
      <c r="P80" s="44"/>
      <c r="Q80" s="43"/>
      <c r="R80" s="42"/>
      <c r="S80" s="44"/>
      <c r="T80" s="43"/>
      <c r="U80" s="43"/>
      <c r="V80" s="43"/>
      <c r="W80" s="43"/>
      <c r="X80" s="42"/>
      <c r="Y80" s="44"/>
      <c r="Z80" s="45"/>
      <c r="AA80" s="76"/>
      <c r="AB80" s="76"/>
      <c r="AC80" s="48"/>
      <c r="AD80" s="138"/>
      <c r="AE80" s="45"/>
      <c r="AF80" s="22"/>
      <c r="AG80" s="69"/>
      <c r="AH80" s="152">
        <v>40500</v>
      </c>
      <c r="AI80" s="45"/>
      <c r="AJ80" s="25">
        <f t="shared" si="108"/>
        <v>40500</v>
      </c>
      <c r="AK80" s="26">
        <f t="shared" si="77"/>
        <v>9315</v>
      </c>
      <c r="AL80" s="53">
        <v>16335.01</v>
      </c>
      <c r="AM80" s="53"/>
      <c r="AN80" s="53"/>
      <c r="AO80" s="53"/>
      <c r="AP80" s="53"/>
      <c r="AQ80" s="53"/>
      <c r="AR80" s="53"/>
      <c r="AS80" s="53">
        <v>14849.99</v>
      </c>
      <c r="AT80" s="27">
        <f t="shared" si="103"/>
        <v>0</v>
      </c>
      <c r="AU80" s="28">
        <f t="shared" si="78"/>
        <v>31185</v>
      </c>
      <c r="AV80" s="28"/>
      <c r="AW80" s="141"/>
      <c r="AX80" s="28">
        <f t="shared" si="79"/>
        <v>9315</v>
      </c>
      <c r="AY80" s="29">
        <f t="shared" si="80"/>
        <v>3406.05</v>
      </c>
      <c r="AZ80" s="30">
        <f t="shared" si="81"/>
        <v>12721.05</v>
      </c>
      <c r="BA80" s="31">
        <f t="shared" si="82"/>
        <v>0</v>
      </c>
      <c r="BB80" s="56">
        <f t="shared" si="71"/>
        <v>0</v>
      </c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 ht="27.6">
      <c r="A81" s="132">
        <f>A34+1</f>
        <v>30</v>
      </c>
      <c r="B81" s="142" t="s">
        <v>118</v>
      </c>
      <c r="C81" s="129" t="s">
        <v>287</v>
      </c>
      <c r="D81" s="38" t="s">
        <v>119</v>
      </c>
      <c r="E81" s="38">
        <v>62000</v>
      </c>
      <c r="F81" s="135">
        <v>46054</v>
      </c>
      <c r="G81" s="110">
        <f>E81/2</f>
        <v>31000</v>
      </c>
      <c r="H81" s="109">
        <v>22</v>
      </c>
      <c r="I81" s="42" t="s">
        <v>41</v>
      </c>
      <c r="J81" s="40">
        <v>23870</v>
      </c>
      <c r="K81" s="97"/>
      <c r="L81" s="2"/>
      <c r="M81" s="42"/>
      <c r="N81" s="43"/>
      <c r="O81" s="42"/>
      <c r="P81" s="44"/>
      <c r="Q81" s="43"/>
      <c r="R81" s="42"/>
      <c r="S81" s="44"/>
      <c r="T81" s="43"/>
      <c r="U81" s="43"/>
      <c r="V81" s="43"/>
      <c r="W81" s="43"/>
      <c r="X81" s="42"/>
      <c r="Y81" s="44"/>
      <c r="Z81" s="45"/>
      <c r="AA81" s="76"/>
      <c r="AB81" s="76"/>
      <c r="AC81" s="48"/>
      <c r="AD81" s="138"/>
      <c r="AE81" s="45"/>
      <c r="AF81" s="22"/>
      <c r="AG81" s="29"/>
      <c r="AH81" s="152">
        <v>31000</v>
      </c>
      <c r="AI81" s="45"/>
      <c r="AJ81" s="25">
        <f t="shared" ref="AJ81:AJ83" si="109">AH81+AI81+AG81+AC81</f>
        <v>31000</v>
      </c>
      <c r="AK81" s="26">
        <f t="shared" si="77"/>
        <v>7130</v>
      </c>
      <c r="AL81" s="53">
        <v>10890.01</v>
      </c>
      <c r="AM81" s="53"/>
      <c r="AN81" s="53"/>
      <c r="AO81" s="53"/>
      <c r="AP81" s="53"/>
      <c r="AQ81" s="53"/>
      <c r="AR81" s="53"/>
      <c r="AS81" s="53">
        <v>12979.99</v>
      </c>
      <c r="AT81" s="27">
        <f t="shared" si="103"/>
        <v>0</v>
      </c>
      <c r="AU81" s="28">
        <f t="shared" si="78"/>
        <v>23870</v>
      </c>
      <c r="AV81" s="28"/>
      <c r="AW81" s="141"/>
      <c r="AX81" s="28">
        <f t="shared" si="79"/>
        <v>7130</v>
      </c>
      <c r="AY81" s="29">
        <f t="shared" si="80"/>
        <v>6820</v>
      </c>
      <c r="AZ81" s="30">
        <f t="shared" si="81"/>
        <v>13950</v>
      </c>
      <c r="BA81" s="31">
        <f t="shared" si="82"/>
        <v>0</v>
      </c>
      <c r="BB81" s="56">
        <f t="shared" si="71"/>
        <v>0</v>
      </c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 ht="27.6">
      <c r="A82" s="355" t="s">
        <v>282</v>
      </c>
      <c r="B82" s="142" t="s">
        <v>286</v>
      </c>
      <c r="C82" s="129" t="s">
        <v>287</v>
      </c>
      <c r="D82" s="38" t="s">
        <v>119</v>
      </c>
      <c r="E82" s="38">
        <v>40000</v>
      </c>
      <c r="F82" s="412">
        <v>46054</v>
      </c>
      <c r="G82" s="38">
        <v>20000</v>
      </c>
      <c r="H82" s="38">
        <v>22</v>
      </c>
      <c r="I82" s="42" t="s">
        <v>41</v>
      </c>
      <c r="J82" s="40">
        <v>15400</v>
      </c>
      <c r="K82" s="40"/>
      <c r="L82" s="41"/>
      <c r="M82" s="42"/>
      <c r="N82" s="43"/>
      <c r="O82" s="42"/>
      <c r="P82" s="44"/>
      <c r="Q82" s="173"/>
      <c r="R82" s="89"/>
      <c r="S82" s="44"/>
      <c r="T82" s="43"/>
      <c r="U82" s="43"/>
      <c r="V82" s="43"/>
      <c r="W82" s="43"/>
      <c r="X82" s="42"/>
      <c r="Y82" s="44"/>
      <c r="Z82" s="45"/>
      <c r="AA82" s="76"/>
      <c r="AB82" s="76"/>
      <c r="AC82" s="48"/>
      <c r="AD82" s="138"/>
      <c r="AE82" s="45"/>
      <c r="AF82" s="22"/>
      <c r="AG82" s="29"/>
      <c r="AH82" s="152">
        <v>2857.14</v>
      </c>
      <c r="AI82" s="45"/>
      <c r="AJ82" s="25">
        <f t="shared" si="109"/>
        <v>2857.14</v>
      </c>
      <c r="AK82" s="26">
        <f t="shared" si="77"/>
        <v>657.1422</v>
      </c>
      <c r="AL82" s="53"/>
      <c r="AM82" s="53"/>
      <c r="AN82" s="53"/>
      <c r="AO82" s="53"/>
      <c r="AP82" s="53"/>
      <c r="AQ82" s="53"/>
      <c r="AR82" s="53"/>
      <c r="AS82" s="53">
        <v>2200</v>
      </c>
      <c r="AT82" s="27">
        <f t="shared" si="103"/>
        <v>-2.1999999999025022E-3</v>
      </c>
      <c r="AU82" s="28">
        <f t="shared" si="78"/>
        <v>2200</v>
      </c>
      <c r="AV82" s="28"/>
      <c r="AW82" s="141"/>
      <c r="AX82" s="28">
        <f t="shared" si="79"/>
        <v>657.1422</v>
      </c>
      <c r="AY82" s="29">
        <f t="shared" si="80"/>
        <v>628.57079999999996</v>
      </c>
      <c r="AZ82" s="30">
        <f t="shared" si="81"/>
        <v>1285.713</v>
      </c>
      <c r="BA82" s="31">
        <f t="shared" si="82"/>
        <v>0</v>
      </c>
      <c r="BB82" s="56">
        <f t="shared" si="71"/>
        <v>-2.1999999999025022E-3</v>
      </c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 ht="13.8">
      <c r="A83" s="132">
        <f>A81+1</f>
        <v>31</v>
      </c>
      <c r="B83" s="142" t="s">
        <v>120</v>
      </c>
      <c r="C83" s="129" t="s">
        <v>287</v>
      </c>
      <c r="D83" s="38" t="s">
        <v>262</v>
      </c>
      <c r="E83" s="38">
        <v>26000</v>
      </c>
      <c r="F83" s="78">
        <v>1</v>
      </c>
      <c r="G83" s="38">
        <v>26000</v>
      </c>
      <c r="H83" s="38">
        <v>22</v>
      </c>
      <c r="I83" s="38" t="s">
        <v>37</v>
      </c>
      <c r="J83" s="97"/>
      <c r="K83" s="40"/>
      <c r="L83" s="41">
        <v>25</v>
      </c>
      <c r="M83" s="42">
        <f>K83*L83</f>
        <v>0</v>
      </c>
      <c r="N83" s="173" t="s">
        <v>298</v>
      </c>
      <c r="O83" s="42"/>
      <c r="P83" s="44"/>
      <c r="Q83" s="173"/>
      <c r="R83" s="89">
        <v>500</v>
      </c>
      <c r="S83" s="44">
        <f>Q83*R83</f>
        <v>0</v>
      </c>
      <c r="T83" s="43"/>
      <c r="U83" s="43"/>
      <c r="V83" s="43"/>
      <c r="W83" s="43"/>
      <c r="X83" s="42"/>
      <c r="Y83" s="44"/>
      <c r="Z83" s="45"/>
      <c r="AA83" s="76"/>
      <c r="AB83" s="76"/>
      <c r="AC83" s="48"/>
      <c r="AD83" s="138"/>
      <c r="AE83" s="45"/>
      <c r="AF83" s="22">
        <f t="shared" ref="AF83:AF89" si="110">M83+P83+S83+V83+Y83+T83</f>
        <v>0</v>
      </c>
      <c r="AG83" s="29"/>
      <c r="AH83" s="152">
        <v>26000</v>
      </c>
      <c r="AI83" s="45"/>
      <c r="AJ83" s="25">
        <f t="shared" si="109"/>
        <v>26000</v>
      </c>
      <c r="AK83" s="26">
        <f t="shared" si="77"/>
        <v>5980</v>
      </c>
      <c r="AL83" s="53">
        <v>10486.67</v>
      </c>
      <c r="AM83" s="53"/>
      <c r="AN83" s="53"/>
      <c r="AO83" s="53"/>
      <c r="AP83" s="53"/>
      <c r="AQ83" s="53"/>
      <c r="AR83" s="53"/>
      <c r="AS83" s="53">
        <v>9533.33</v>
      </c>
      <c r="AT83" s="27">
        <f t="shared" si="103"/>
        <v>0</v>
      </c>
      <c r="AU83" s="28">
        <f t="shared" si="78"/>
        <v>20020</v>
      </c>
      <c r="AV83" s="28"/>
      <c r="AW83" s="141"/>
      <c r="AX83" s="28">
        <f t="shared" si="79"/>
        <v>5980</v>
      </c>
      <c r="AY83" s="29">
        <f t="shared" si="80"/>
        <v>5720</v>
      </c>
      <c r="AZ83" s="30">
        <f t="shared" si="81"/>
        <v>11700</v>
      </c>
      <c r="BA83" s="31">
        <f t="shared" si="82"/>
        <v>0</v>
      </c>
      <c r="BB83" s="56">
        <f t="shared" si="71"/>
        <v>0</v>
      </c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 ht="27.6">
      <c r="A84" s="132">
        <f>A36+1</f>
        <v>32</v>
      </c>
      <c r="B84" s="142" t="s">
        <v>121</v>
      </c>
      <c r="C84" s="129" t="s">
        <v>40</v>
      </c>
      <c r="D84" s="38" t="s">
        <v>122</v>
      </c>
      <c r="E84" s="38">
        <v>26000</v>
      </c>
      <c r="F84" s="78">
        <v>1</v>
      </c>
      <c r="G84" s="38">
        <v>26000</v>
      </c>
      <c r="H84" s="38">
        <v>22</v>
      </c>
      <c r="I84" s="42" t="s">
        <v>41</v>
      </c>
      <c r="J84" s="97"/>
      <c r="K84" s="97"/>
      <c r="L84" s="2"/>
      <c r="M84" s="42"/>
      <c r="N84" s="43"/>
      <c r="O84" s="42"/>
      <c r="P84" s="44"/>
      <c r="Q84" s="43"/>
      <c r="R84" s="42"/>
      <c r="S84" s="44"/>
      <c r="T84" s="43"/>
      <c r="U84" s="43"/>
      <c r="V84" s="43"/>
      <c r="W84" s="43"/>
      <c r="X84" s="42"/>
      <c r="Y84" s="44"/>
      <c r="Z84" s="45"/>
      <c r="AA84" s="76"/>
      <c r="AB84" s="76"/>
      <c r="AC84" s="76"/>
      <c r="AD84" s="138"/>
      <c r="AE84" s="45"/>
      <c r="AF84" s="22">
        <f t="shared" si="110"/>
        <v>0</v>
      </c>
      <c r="AG84" s="29"/>
      <c r="AH84" s="152">
        <v>26000</v>
      </c>
      <c r="AI84" s="45"/>
      <c r="AJ84" s="25">
        <f t="shared" ref="AJ84:AJ86" si="111">AH84+AI84</f>
        <v>26000</v>
      </c>
      <c r="AK84" s="26">
        <f t="shared" si="77"/>
        <v>5980</v>
      </c>
      <c r="AL84" s="53">
        <v>10486.67</v>
      </c>
      <c r="AM84" s="53"/>
      <c r="AN84" s="53"/>
      <c r="AO84" s="53"/>
      <c r="AP84" s="53"/>
      <c r="AQ84" s="53"/>
      <c r="AR84" s="53"/>
      <c r="AS84" s="53">
        <v>9533.33</v>
      </c>
      <c r="AT84" s="27">
        <f t="shared" si="103"/>
        <v>0</v>
      </c>
      <c r="AU84" s="28">
        <f t="shared" si="78"/>
        <v>20020</v>
      </c>
      <c r="AV84" s="28"/>
      <c r="AW84" s="141"/>
      <c r="AX84" s="28">
        <f t="shared" si="79"/>
        <v>5980</v>
      </c>
      <c r="AY84" s="29">
        <f t="shared" si="80"/>
        <v>5720</v>
      </c>
      <c r="AZ84" s="30">
        <f t="shared" si="81"/>
        <v>11700</v>
      </c>
      <c r="BA84" s="31">
        <f t="shared" si="82"/>
        <v>0</v>
      </c>
      <c r="BB84" s="56">
        <f t="shared" si="71"/>
        <v>0</v>
      </c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 ht="13.8">
      <c r="A85" s="132">
        <f t="shared" ref="A85:A87" si="112">A84+1</f>
        <v>33</v>
      </c>
      <c r="B85" s="142" t="s">
        <v>263</v>
      </c>
      <c r="C85" s="129" t="s">
        <v>40</v>
      </c>
      <c r="D85" s="38" t="s">
        <v>262</v>
      </c>
      <c r="E85" s="38">
        <v>26000</v>
      </c>
      <c r="F85" s="135">
        <v>46113</v>
      </c>
      <c r="G85" s="38">
        <f>E85/4</f>
        <v>6500</v>
      </c>
      <c r="H85" s="38">
        <v>22</v>
      </c>
      <c r="I85" s="38" t="s">
        <v>37</v>
      </c>
      <c r="J85" s="97"/>
      <c r="K85" s="97"/>
      <c r="L85" s="2"/>
      <c r="M85" s="42"/>
      <c r="N85" s="43"/>
      <c r="O85" s="42"/>
      <c r="P85" s="44"/>
      <c r="Q85" s="43"/>
      <c r="R85" s="42"/>
      <c r="S85" s="44"/>
      <c r="T85" s="43"/>
      <c r="U85" s="43"/>
      <c r="V85" s="43"/>
      <c r="W85" s="43"/>
      <c r="X85" s="42"/>
      <c r="Y85" s="44"/>
      <c r="Z85" s="45"/>
      <c r="AA85" s="76"/>
      <c r="AB85" s="76"/>
      <c r="AC85" s="76"/>
      <c r="AD85" s="138"/>
      <c r="AE85" s="45"/>
      <c r="AF85" s="22">
        <f t="shared" si="110"/>
        <v>0</v>
      </c>
      <c r="AG85" s="29"/>
      <c r="AH85" s="152">
        <v>3256.25</v>
      </c>
      <c r="AI85" s="45"/>
      <c r="AJ85" s="25">
        <f t="shared" si="111"/>
        <v>3256.25</v>
      </c>
      <c r="AK85" s="26">
        <f t="shared" si="77"/>
        <v>748.9375</v>
      </c>
      <c r="AL85" s="53">
        <v>1313.35</v>
      </c>
      <c r="AM85" s="53"/>
      <c r="AN85" s="53"/>
      <c r="AO85" s="53"/>
      <c r="AP85" s="53"/>
      <c r="AQ85" s="53"/>
      <c r="AR85" s="53"/>
      <c r="AS85" s="53">
        <v>1193.96</v>
      </c>
      <c r="AT85" s="27">
        <f t="shared" si="103"/>
        <v>2.5000000000545697E-3</v>
      </c>
      <c r="AU85" s="28">
        <f t="shared" si="78"/>
        <v>2507.31</v>
      </c>
      <c r="AV85" s="28"/>
      <c r="AW85" s="141"/>
      <c r="AX85" s="28">
        <f t="shared" si="79"/>
        <v>748.9375</v>
      </c>
      <c r="AY85" s="29">
        <f t="shared" si="80"/>
        <v>716.375</v>
      </c>
      <c r="AZ85" s="30">
        <f t="shared" si="81"/>
        <v>1465.3125</v>
      </c>
      <c r="BA85" s="31">
        <f t="shared" si="82"/>
        <v>0</v>
      </c>
      <c r="BB85" s="56">
        <f t="shared" si="71"/>
        <v>2.5000000000545697E-3</v>
      </c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 ht="13.8">
      <c r="A86" s="132">
        <f t="shared" si="112"/>
        <v>34</v>
      </c>
      <c r="B86" s="142" t="s">
        <v>123</v>
      </c>
      <c r="C86" s="35"/>
      <c r="D86" s="38" t="s">
        <v>124</v>
      </c>
      <c r="E86" s="79"/>
      <c r="F86" s="153"/>
      <c r="G86" s="79"/>
      <c r="H86" s="38"/>
      <c r="I86" s="79"/>
      <c r="J86" s="97"/>
      <c r="K86" s="97"/>
      <c r="L86" s="2"/>
      <c r="M86" s="42"/>
      <c r="N86" s="43"/>
      <c r="O86" s="42"/>
      <c r="P86" s="44"/>
      <c r="Q86" s="43"/>
      <c r="R86" s="42"/>
      <c r="S86" s="44"/>
      <c r="T86" s="43"/>
      <c r="U86" s="43"/>
      <c r="V86" s="43"/>
      <c r="W86" s="43"/>
      <c r="X86" s="42"/>
      <c r="Y86" s="44"/>
      <c r="Z86" s="45"/>
      <c r="AA86" s="76"/>
      <c r="AB86" s="76"/>
      <c r="AC86" s="76"/>
      <c r="AD86" s="138"/>
      <c r="AE86" s="45"/>
      <c r="AF86" s="22">
        <f t="shared" si="110"/>
        <v>0</v>
      </c>
      <c r="AG86" s="29"/>
      <c r="AH86" s="45"/>
      <c r="AI86" s="45"/>
      <c r="AJ86" s="25">
        <f t="shared" si="111"/>
        <v>0</v>
      </c>
      <c r="AK86" s="26">
        <f t="shared" si="77"/>
        <v>0</v>
      </c>
      <c r="AL86" s="53"/>
      <c r="AM86" s="53"/>
      <c r="AN86" s="53"/>
      <c r="AO86" s="53"/>
      <c r="AP86" s="53"/>
      <c r="AQ86" s="53"/>
      <c r="AR86" s="53"/>
      <c r="AS86" s="53"/>
      <c r="AT86" s="27">
        <f t="shared" si="103"/>
        <v>0</v>
      </c>
      <c r="AU86" s="28">
        <f t="shared" si="78"/>
        <v>0</v>
      </c>
      <c r="AV86" s="28"/>
      <c r="AW86" s="141"/>
      <c r="AX86" s="28">
        <f t="shared" si="79"/>
        <v>0</v>
      </c>
      <c r="AY86" s="29">
        <f t="shared" si="80"/>
        <v>0</v>
      </c>
      <c r="AZ86" s="30">
        <f t="shared" si="81"/>
        <v>0</v>
      </c>
      <c r="BA86" s="31">
        <f t="shared" si="82"/>
        <v>0</v>
      </c>
      <c r="BB86" s="56">
        <f t="shared" si="71"/>
        <v>0</v>
      </c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 ht="27.6">
      <c r="A87" s="132">
        <f t="shared" si="112"/>
        <v>35</v>
      </c>
      <c r="B87" s="415" t="s">
        <v>125</v>
      </c>
      <c r="C87" s="35" t="s">
        <v>40</v>
      </c>
      <c r="D87" s="38" t="s">
        <v>126</v>
      </c>
      <c r="E87" s="38">
        <v>52000</v>
      </c>
      <c r="F87" s="135">
        <v>46054</v>
      </c>
      <c r="G87" s="109">
        <v>26000</v>
      </c>
      <c r="H87" s="109">
        <v>22</v>
      </c>
      <c r="I87" s="42" t="s">
        <v>41</v>
      </c>
      <c r="J87" s="40">
        <v>20020</v>
      </c>
      <c r="K87" s="97"/>
      <c r="L87" s="2"/>
      <c r="M87" s="42"/>
      <c r="N87" s="43"/>
      <c r="O87" s="42"/>
      <c r="P87" s="44"/>
      <c r="Q87" s="43"/>
      <c r="R87" s="42"/>
      <c r="S87" s="44"/>
      <c r="T87" s="43"/>
      <c r="U87" s="43"/>
      <c r="V87" s="43"/>
      <c r="W87" s="43"/>
      <c r="X87" s="42"/>
      <c r="Y87" s="44"/>
      <c r="Z87" s="45"/>
      <c r="AA87" s="53"/>
      <c r="AB87" s="53"/>
      <c r="AC87" s="69"/>
      <c r="AD87" s="138"/>
      <c r="AE87" s="45"/>
      <c r="AF87" s="22">
        <f t="shared" si="110"/>
        <v>0</v>
      </c>
      <c r="AG87" s="29"/>
      <c r="AH87" s="275">
        <v>26000</v>
      </c>
      <c r="AI87" s="45"/>
      <c r="AJ87" s="25">
        <f t="shared" ref="AJ87:AJ88" si="113">AH87+AI87+AC87</f>
        <v>26000</v>
      </c>
      <c r="AK87" s="26">
        <f t="shared" si="77"/>
        <v>5980</v>
      </c>
      <c r="AL87" s="53">
        <v>10486.67</v>
      </c>
      <c r="AM87" s="53"/>
      <c r="AN87" s="53"/>
      <c r="AO87" s="53"/>
      <c r="AP87" s="53"/>
      <c r="AQ87" s="69"/>
      <c r="AR87" s="53"/>
      <c r="AS87" s="53">
        <v>9533.33</v>
      </c>
      <c r="AT87" s="27">
        <f t="shared" si="103"/>
        <v>0</v>
      </c>
      <c r="AU87" s="28">
        <f t="shared" si="78"/>
        <v>20020</v>
      </c>
      <c r="AV87" s="28"/>
      <c r="AW87" s="28"/>
      <c r="AX87" s="28">
        <f t="shared" si="79"/>
        <v>5980</v>
      </c>
      <c r="AY87" s="29">
        <f t="shared" si="80"/>
        <v>5720</v>
      </c>
      <c r="AZ87" s="30">
        <f t="shared" si="81"/>
        <v>11700</v>
      </c>
      <c r="BA87" s="31">
        <f t="shared" si="82"/>
        <v>0</v>
      </c>
      <c r="BB87" s="56">
        <f t="shared" si="71"/>
        <v>0</v>
      </c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 ht="13.8">
      <c r="A88" s="132">
        <f>A37+1</f>
        <v>33</v>
      </c>
      <c r="B88" s="154" t="s">
        <v>127</v>
      </c>
      <c r="C88" s="35"/>
      <c r="D88" s="155" t="s">
        <v>127</v>
      </c>
      <c r="E88" s="79"/>
      <c r="F88" s="79"/>
      <c r="G88" s="79"/>
      <c r="H88" s="38"/>
      <c r="I88" s="79"/>
      <c r="J88" s="97"/>
      <c r="K88" s="97"/>
      <c r="L88" s="2"/>
      <c r="M88" s="42"/>
      <c r="N88" s="43"/>
      <c r="O88" s="42"/>
      <c r="P88" s="44"/>
      <c r="Q88" s="43"/>
      <c r="R88" s="42"/>
      <c r="S88" s="44"/>
      <c r="T88" s="43"/>
      <c r="U88" s="43"/>
      <c r="V88" s="43"/>
      <c r="W88" s="43"/>
      <c r="X88" s="42"/>
      <c r="Y88" s="44"/>
      <c r="Z88" s="45"/>
      <c r="AA88" s="76"/>
      <c r="AB88" s="76"/>
      <c r="AC88" s="76"/>
      <c r="AD88" s="138"/>
      <c r="AE88" s="45"/>
      <c r="AF88" s="22">
        <f t="shared" si="110"/>
        <v>0</v>
      </c>
      <c r="AG88" s="29"/>
      <c r="AH88" s="45"/>
      <c r="AI88" s="45"/>
      <c r="AJ88" s="25">
        <f t="shared" si="113"/>
        <v>0</v>
      </c>
      <c r="AK88" s="26">
        <f t="shared" si="77"/>
        <v>0</v>
      </c>
      <c r="AL88" s="53"/>
      <c r="AM88" s="53"/>
      <c r="AN88" s="53"/>
      <c r="AO88" s="53"/>
      <c r="AP88" s="53"/>
      <c r="AQ88" s="53"/>
      <c r="AR88" s="53"/>
      <c r="AS88" s="53"/>
      <c r="AT88" s="27">
        <f t="shared" si="103"/>
        <v>0</v>
      </c>
      <c r="AU88" s="28">
        <f t="shared" si="78"/>
        <v>0</v>
      </c>
      <c r="AV88" s="28"/>
      <c r="AW88" s="28"/>
      <c r="AX88" s="28">
        <f t="shared" si="79"/>
        <v>0</v>
      </c>
      <c r="AY88" s="29">
        <f t="shared" si="80"/>
        <v>0</v>
      </c>
      <c r="AZ88" s="30">
        <f t="shared" si="81"/>
        <v>0</v>
      </c>
      <c r="BA88" s="31">
        <f t="shared" si="82"/>
        <v>0</v>
      </c>
      <c r="BB88" s="56">
        <f t="shared" si="71"/>
        <v>0</v>
      </c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 ht="13.8">
      <c r="A89" s="132">
        <f>A88+1</f>
        <v>34</v>
      </c>
      <c r="B89" s="156" t="s">
        <v>128</v>
      </c>
      <c r="C89" s="35"/>
      <c r="D89" s="157" t="s">
        <v>128</v>
      </c>
      <c r="E89" s="79"/>
      <c r="F89" s="79"/>
      <c r="G89" s="79"/>
      <c r="H89" s="38"/>
      <c r="I89" s="79"/>
      <c r="J89" s="97"/>
      <c r="K89" s="97"/>
      <c r="L89" s="2"/>
      <c r="M89" s="42"/>
      <c r="N89" s="43"/>
      <c r="O89" s="42"/>
      <c r="P89" s="44"/>
      <c r="Q89" s="43"/>
      <c r="R89" s="42"/>
      <c r="S89" s="44"/>
      <c r="T89" s="43"/>
      <c r="U89" s="43"/>
      <c r="V89" s="43"/>
      <c r="W89" s="43"/>
      <c r="X89" s="42"/>
      <c r="Y89" s="44"/>
      <c r="Z89" s="45"/>
      <c r="AA89" s="76"/>
      <c r="AB89" s="76"/>
      <c r="AC89" s="76"/>
      <c r="AD89" s="138"/>
      <c r="AE89" s="45"/>
      <c r="AF89" s="22">
        <f t="shared" si="110"/>
        <v>0</v>
      </c>
      <c r="AG89" s="29"/>
      <c r="AH89" s="45"/>
      <c r="AI89" s="45"/>
      <c r="AJ89" s="25">
        <f>AH89+AI89</f>
        <v>0</v>
      </c>
      <c r="AK89" s="26">
        <f t="shared" si="77"/>
        <v>0</v>
      </c>
      <c r="AL89" s="53"/>
      <c r="AM89" s="53"/>
      <c r="AN89" s="53"/>
      <c r="AO89" s="53"/>
      <c r="AP89" s="53"/>
      <c r="AQ89" s="53"/>
      <c r="AR89" s="53"/>
      <c r="AS89" s="53"/>
      <c r="AT89" s="27">
        <f t="shared" si="103"/>
        <v>0</v>
      </c>
      <c r="AU89" s="28">
        <f t="shared" si="78"/>
        <v>0</v>
      </c>
      <c r="AV89" s="28"/>
      <c r="AW89" s="141"/>
      <c r="AX89" s="28">
        <f t="shared" si="79"/>
        <v>0</v>
      </c>
      <c r="AY89" s="29">
        <f t="shared" si="80"/>
        <v>0</v>
      </c>
      <c r="AZ89" s="30">
        <f t="shared" si="81"/>
        <v>0</v>
      </c>
      <c r="BA89" s="31">
        <f t="shared" si="82"/>
        <v>0</v>
      </c>
      <c r="BB89" s="56">
        <f t="shared" si="71"/>
        <v>0</v>
      </c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 ht="13.8">
      <c r="A90" s="102"/>
      <c r="B90" s="103" t="s">
        <v>129</v>
      </c>
      <c r="C90" s="158"/>
      <c r="D90" s="158"/>
      <c r="E90" s="158"/>
      <c r="F90" s="158"/>
      <c r="G90" s="158"/>
      <c r="H90" s="158"/>
      <c r="I90" s="158"/>
      <c r="J90" s="105"/>
      <c r="K90" s="105">
        <f>SUM(K47:K89)</f>
        <v>0</v>
      </c>
      <c r="L90" s="105"/>
      <c r="M90" s="105">
        <f t="shared" ref="M90:N90" si="114">SUM(M47:M89)</f>
        <v>0</v>
      </c>
      <c r="N90" s="105">
        <f t="shared" si="114"/>
        <v>0</v>
      </c>
      <c r="O90" s="105"/>
      <c r="P90" s="105">
        <f t="shared" ref="P90:Q90" si="115">SUM(P47:P89)</f>
        <v>0</v>
      </c>
      <c r="Q90" s="105">
        <f t="shared" si="115"/>
        <v>26</v>
      </c>
      <c r="R90" s="105"/>
      <c r="S90" s="105">
        <f>SUM(S47:S89)</f>
        <v>13000</v>
      </c>
      <c r="T90" s="105"/>
      <c r="U90" s="105"/>
      <c r="V90" s="105">
        <f t="shared" ref="V90:W90" si="116">SUM(V47:V89)</f>
        <v>0</v>
      </c>
      <c r="W90" s="105">
        <f t="shared" si="116"/>
        <v>443</v>
      </c>
      <c r="X90" s="105"/>
      <c r="Y90" s="105">
        <f t="shared" ref="Y90:Z90" si="117">SUM(Y47:Y89)</f>
        <v>70880</v>
      </c>
      <c r="Z90" s="106">
        <f t="shared" si="117"/>
        <v>16880</v>
      </c>
      <c r="AA90" s="106"/>
      <c r="AB90" s="106"/>
      <c r="AC90" s="106">
        <f t="shared" ref="AC90:BA90" si="118">SUM(AC47:AC89)</f>
        <v>129206</v>
      </c>
      <c r="AD90" s="105">
        <f t="shared" si="118"/>
        <v>3449.04</v>
      </c>
      <c r="AE90" s="106">
        <f t="shared" si="118"/>
        <v>0</v>
      </c>
      <c r="AF90" s="106">
        <f t="shared" si="118"/>
        <v>85380</v>
      </c>
      <c r="AG90" s="106">
        <f t="shared" si="118"/>
        <v>0</v>
      </c>
      <c r="AH90" s="106">
        <f t="shared" si="118"/>
        <v>356814.92000000004</v>
      </c>
      <c r="AI90" s="106">
        <f t="shared" si="118"/>
        <v>18831.16883116883</v>
      </c>
      <c r="AJ90" s="106">
        <f t="shared" si="118"/>
        <v>546609.67883116892</v>
      </c>
      <c r="AK90" s="106">
        <f t="shared" si="118"/>
        <v>125720.22613116883</v>
      </c>
      <c r="AL90" s="106">
        <f t="shared" si="118"/>
        <v>137823.29</v>
      </c>
      <c r="AM90" s="106">
        <f t="shared" si="118"/>
        <v>0</v>
      </c>
      <c r="AN90" s="106">
        <f t="shared" si="118"/>
        <v>3140.9</v>
      </c>
      <c r="AO90" s="106">
        <f t="shared" si="118"/>
        <v>0</v>
      </c>
      <c r="AP90" s="106">
        <f t="shared" si="118"/>
        <v>6100</v>
      </c>
      <c r="AQ90" s="106">
        <f t="shared" si="118"/>
        <v>107888.61999999998</v>
      </c>
      <c r="AR90" s="106">
        <f t="shared" si="118"/>
        <v>29497.590000000007</v>
      </c>
      <c r="AS90" s="106">
        <f t="shared" si="118"/>
        <v>136439.06000000003</v>
      </c>
      <c r="AT90" s="106">
        <f t="shared" si="118"/>
        <v>-7.3000000114689101E-3</v>
      </c>
      <c r="AU90" s="106">
        <f t="shared" si="118"/>
        <v>420889.46</v>
      </c>
      <c r="AV90" s="106">
        <f t="shared" si="118"/>
        <v>0</v>
      </c>
      <c r="AW90" s="106">
        <f t="shared" si="118"/>
        <v>0</v>
      </c>
      <c r="AX90" s="106">
        <f t="shared" si="118"/>
        <v>125720.22613116883</v>
      </c>
      <c r="AY90" s="106">
        <f t="shared" si="118"/>
        <v>110161.24404285714</v>
      </c>
      <c r="AZ90" s="106">
        <f t="shared" si="118"/>
        <v>235881.47017402598</v>
      </c>
      <c r="BA90" s="106">
        <f t="shared" si="118"/>
        <v>0</v>
      </c>
      <c r="BB90" s="56">
        <f t="shared" si="71"/>
        <v>-7.2999999392777681E-3</v>
      </c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 ht="13.8">
      <c r="A91" s="108"/>
      <c r="B91" s="7" t="s">
        <v>130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250"/>
      <c r="AB91" s="250"/>
      <c r="AC91" s="250"/>
      <c r="AD91" s="8"/>
      <c r="AE91" s="8"/>
      <c r="AF91" s="8"/>
      <c r="AG91" s="8"/>
      <c r="AH91" s="8"/>
      <c r="AI91" s="250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9"/>
      <c r="AY91" s="9"/>
      <c r="AZ91" s="9"/>
      <c r="BA91" s="9"/>
      <c r="BB91" s="32">
        <f t="shared" si="71"/>
        <v>0</v>
      </c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 ht="27.6">
      <c r="A92" s="159">
        <v>1</v>
      </c>
      <c r="B92" s="276" t="s">
        <v>131</v>
      </c>
      <c r="C92" s="35" t="s">
        <v>40</v>
      </c>
      <c r="D92" s="133" t="s">
        <v>132</v>
      </c>
      <c r="E92" s="77">
        <v>8700</v>
      </c>
      <c r="F92" s="160">
        <v>46113</v>
      </c>
      <c r="G92" s="42">
        <f>8700/4</f>
        <v>2175</v>
      </c>
      <c r="H92" s="38">
        <v>22</v>
      </c>
      <c r="I92" s="42" t="s">
        <v>41</v>
      </c>
      <c r="J92" s="40"/>
      <c r="K92" s="40"/>
      <c r="L92" s="109">
        <v>200</v>
      </c>
      <c r="M92" s="110">
        <f t="shared" ref="M92:M98" si="119">K92*L92</f>
        <v>0</v>
      </c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326"/>
      <c r="AB92" s="326"/>
      <c r="AC92" s="326"/>
      <c r="AD92" s="109"/>
      <c r="AE92" s="110"/>
      <c r="AF92" s="22">
        <f t="shared" ref="AF92:AF105" si="120">M92+P92+S92+V92+Y92</f>
        <v>0</v>
      </c>
      <c r="AG92" s="110"/>
      <c r="AH92" s="258">
        <v>2259.7399999999998</v>
      </c>
      <c r="AI92" s="50"/>
      <c r="AJ92" s="25">
        <f>AH92+AI92</f>
        <v>2259.7399999999998</v>
      </c>
      <c r="AK92" s="26">
        <f t="shared" ref="AK92:AK105" si="121">AJ92*23%</f>
        <v>519.74019999999996</v>
      </c>
      <c r="AL92" s="51">
        <v>911.43</v>
      </c>
      <c r="AM92" s="52"/>
      <c r="AN92" s="52"/>
      <c r="AO92" s="53"/>
      <c r="AP92" s="53"/>
      <c r="AQ92" s="53"/>
      <c r="AR92" s="51"/>
      <c r="AS92" s="51">
        <v>828.57</v>
      </c>
      <c r="AT92" s="27">
        <f t="shared" ref="AT92:AT94" si="122">AJ92-AK92-AL92-AS92-AN92-AQ92-AM92-AR92</f>
        <v>-2.0000000017716957E-4</v>
      </c>
      <c r="AU92" s="28">
        <f t="shared" ref="AU92:AU105" si="123">AL92+AM92+AN92+AQ92+AR92+AS92+AO92+AP92</f>
        <v>1740</v>
      </c>
      <c r="AV92" s="110"/>
      <c r="AW92" s="110"/>
      <c r="AX92" s="28">
        <f t="shared" ref="AX92:AX105" si="124">AJ92*23%</f>
        <v>519.74019999999996</v>
      </c>
      <c r="AY92" s="29">
        <f t="shared" ref="AY92:AY105" si="125">AJ92*H92%</f>
        <v>497.14279999999997</v>
      </c>
      <c r="AZ92" s="30">
        <f t="shared" ref="AZ92:AZ105" si="126">AX92+AY92</f>
        <v>1016.8829999999999</v>
      </c>
      <c r="BA92" s="31">
        <f t="shared" ref="BA92:BA105" si="127">AZ92-AY92-AK92</f>
        <v>0</v>
      </c>
      <c r="BB92" s="56">
        <f t="shared" si="71"/>
        <v>-2.0000000017716957E-4</v>
      </c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 ht="27.6">
      <c r="A93" s="163">
        <f t="shared" ref="A93:A105" si="128">A92+1</f>
        <v>2</v>
      </c>
      <c r="B93" s="276" t="s">
        <v>133</v>
      </c>
      <c r="C93" s="35" t="s">
        <v>40</v>
      </c>
      <c r="D93" s="133" t="s">
        <v>48</v>
      </c>
      <c r="E93" s="134">
        <v>8700</v>
      </c>
      <c r="F93" s="135">
        <v>46054</v>
      </c>
      <c r="G93" s="110">
        <f>E93/2</f>
        <v>4350</v>
      </c>
      <c r="H93" s="38">
        <v>22</v>
      </c>
      <c r="I93" s="42" t="s">
        <v>41</v>
      </c>
      <c r="J93" s="40"/>
      <c r="K93" s="40"/>
      <c r="L93" s="109">
        <v>200</v>
      </c>
      <c r="M93" s="110">
        <f t="shared" si="119"/>
        <v>0</v>
      </c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327">
        <v>1260</v>
      </c>
      <c r="AA93" s="53"/>
      <c r="AB93" s="53"/>
      <c r="AC93" s="326"/>
      <c r="AD93" s="109"/>
      <c r="AE93" s="110"/>
      <c r="AF93" s="22">
        <f t="shared" si="120"/>
        <v>0</v>
      </c>
      <c r="AG93" s="110"/>
      <c r="AH93" s="258">
        <v>4350</v>
      </c>
      <c r="AI93" s="50"/>
      <c r="AJ93" s="25">
        <f>AH93+AI93+Z93</f>
        <v>5610</v>
      </c>
      <c r="AK93" s="26">
        <f t="shared" si="121"/>
        <v>1290.3</v>
      </c>
      <c r="AL93" s="51">
        <v>1754.5</v>
      </c>
      <c r="AM93" s="52"/>
      <c r="AN93" s="52"/>
      <c r="AO93" s="53"/>
      <c r="AP93" s="53"/>
      <c r="AQ93" s="53"/>
      <c r="AR93" s="407">
        <v>970.2</v>
      </c>
      <c r="AS93" s="51">
        <v>1595</v>
      </c>
      <c r="AT93" s="27">
        <f t="shared" si="122"/>
        <v>0</v>
      </c>
      <c r="AU93" s="28">
        <f t="shared" si="123"/>
        <v>4319.7</v>
      </c>
      <c r="AV93" s="110"/>
      <c r="AW93" s="110"/>
      <c r="AX93" s="28">
        <f t="shared" si="124"/>
        <v>1290.3</v>
      </c>
      <c r="AY93" s="29">
        <f t="shared" si="125"/>
        <v>1234.2</v>
      </c>
      <c r="AZ93" s="30">
        <f t="shared" si="126"/>
        <v>2524.5</v>
      </c>
      <c r="BA93" s="31">
        <f t="shared" si="127"/>
        <v>0</v>
      </c>
      <c r="BB93" s="56">
        <f t="shared" si="71"/>
        <v>0</v>
      </c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 ht="27.6">
      <c r="A94" s="163">
        <f t="shared" si="128"/>
        <v>3</v>
      </c>
      <c r="B94" s="276" t="s">
        <v>134</v>
      </c>
      <c r="C94" s="35" t="s">
        <v>40</v>
      </c>
      <c r="D94" s="164" t="s">
        <v>80</v>
      </c>
      <c r="E94" s="77">
        <v>8700</v>
      </c>
      <c r="F94" s="160">
        <v>46113</v>
      </c>
      <c r="G94" s="42">
        <f t="shared" ref="G94:G101" si="129">8700/4</f>
        <v>2175</v>
      </c>
      <c r="H94" s="38">
        <v>22</v>
      </c>
      <c r="I94" s="42" t="s">
        <v>41</v>
      </c>
      <c r="J94" s="40"/>
      <c r="K94" s="40"/>
      <c r="L94" s="109">
        <v>200</v>
      </c>
      <c r="M94" s="110">
        <f t="shared" si="119"/>
        <v>0</v>
      </c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51"/>
      <c r="AB94" s="51"/>
      <c r="AC94" s="326"/>
      <c r="AD94" s="109"/>
      <c r="AE94" s="110"/>
      <c r="AF94" s="22">
        <f t="shared" si="120"/>
        <v>0</v>
      </c>
      <c r="AG94" s="110"/>
      <c r="AH94" s="53">
        <v>4586.7299999999996</v>
      </c>
      <c r="AI94" s="50"/>
      <c r="AJ94" s="25">
        <f t="shared" ref="AJ94:AJ95" si="130">AH94+AI94</f>
        <v>4586.7299999999996</v>
      </c>
      <c r="AK94" s="26">
        <f t="shared" si="121"/>
        <v>1054.9478999999999</v>
      </c>
      <c r="AL94" s="51">
        <v>1708.93</v>
      </c>
      <c r="AM94" s="52"/>
      <c r="AN94" s="52"/>
      <c r="AO94" s="53"/>
      <c r="AP94" s="53"/>
      <c r="AQ94" s="53"/>
      <c r="AR94" s="51"/>
      <c r="AS94" s="51">
        <v>1822.85</v>
      </c>
      <c r="AT94" s="27">
        <f t="shared" si="122"/>
        <v>2.0999999994728569E-3</v>
      </c>
      <c r="AU94" s="28">
        <f t="shared" si="123"/>
        <v>3531.7799999999997</v>
      </c>
      <c r="AV94" s="110"/>
      <c r="AW94" s="110"/>
      <c r="AX94" s="28">
        <f t="shared" si="124"/>
        <v>1054.9478999999999</v>
      </c>
      <c r="AY94" s="29">
        <f t="shared" si="125"/>
        <v>1009.0805999999999</v>
      </c>
      <c r="AZ94" s="30">
        <f t="shared" si="126"/>
        <v>2064.0284999999999</v>
      </c>
      <c r="BA94" s="31">
        <f t="shared" si="127"/>
        <v>0</v>
      </c>
      <c r="BB94" s="56">
        <f t="shared" si="71"/>
        <v>2.0999999997002305E-3</v>
      </c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 ht="27.6">
      <c r="A95" s="163">
        <f t="shared" si="128"/>
        <v>4</v>
      </c>
      <c r="B95" s="277" t="s">
        <v>135</v>
      </c>
      <c r="C95" s="35" t="s">
        <v>40</v>
      </c>
      <c r="D95" s="164" t="s">
        <v>80</v>
      </c>
      <c r="E95" s="77">
        <v>8700</v>
      </c>
      <c r="F95" s="160">
        <v>46113</v>
      </c>
      <c r="G95" s="42">
        <f t="shared" si="129"/>
        <v>2175</v>
      </c>
      <c r="H95" s="38">
        <v>22</v>
      </c>
      <c r="I95" s="42" t="s">
        <v>41</v>
      </c>
      <c r="J95" s="40"/>
      <c r="K95" s="40"/>
      <c r="L95" s="109">
        <v>200</v>
      </c>
      <c r="M95" s="110">
        <f t="shared" si="119"/>
        <v>0</v>
      </c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52"/>
      <c r="AB95" s="52"/>
      <c r="AC95" s="252"/>
      <c r="AD95" s="109"/>
      <c r="AE95" s="110"/>
      <c r="AF95" s="22">
        <f t="shared" si="120"/>
        <v>0</v>
      </c>
      <c r="AG95" s="97"/>
      <c r="AI95" s="50"/>
      <c r="AJ95" s="25">
        <f t="shared" si="130"/>
        <v>0</v>
      </c>
      <c r="AK95" s="26">
        <f t="shared" si="121"/>
        <v>0</v>
      </c>
      <c r="AL95" s="51"/>
      <c r="AM95" s="52"/>
      <c r="AN95" s="52"/>
      <c r="AO95" s="53"/>
      <c r="AP95" s="53"/>
      <c r="AQ95" s="53"/>
      <c r="AR95" s="51"/>
      <c r="AS95" s="51"/>
      <c r="AT95" s="328">
        <v>0</v>
      </c>
      <c r="AU95" s="28">
        <f t="shared" si="123"/>
        <v>0</v>
      </c>
      <c r="AV95" s="40"/>
      <c r="AW95" s="110"/>
      <c r="AX95" s="28">
        <f t="shared" si="124"/>
        <v>0</v>
      </c>
      <c r="AY95" s="29">
        <f t="shared" si="125"/>
        <v>0</v>
      </c>
      <c r="AZ95" s="30">
        <f t="shared" si="126"/>
        <v>0</v>
      </c>
      <c r="BA95" s="31">
        <f t="shared" si="127"/>
        <v>0</v>
      </c>
      <c r="BB95" s="56">
        <f t="shared" si="71"/>
        <v>0</v>
      </c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 ht="27.6">
      <c r="A96" s="163">
        <f t="shared" si="128"/>
        <v>5</v>
      </c>
      <c r="B96" s="278" t="s">
        <v>136</v>
      </c>
      <c r="C96" s="35" t="s">
        <v>40</v>
      </c>
      <c r="D96" s="164" t="s">
        <v>80</v>
      </c>
      <c r="E96" s="77">
        <v>8700</v>
      </c>
      <c r="F96" s="160">
        <v>46113</v>
      </c>
      <c r="G96" s="42">
        <f t="shared" si="129"/>
        <v>2175</v>
      </c>
      <c r="H96" s="38">
        <v>22</v>
      </c>
      <c r="I96" s="42" t="s">
        <v>41</v>
      </c>
      <c r="J96" s="40"/>
      <c r="K96" s="40"/>
      <c r="L96" s="109">
        <v>200</v>
      </c>
      <c r="M96" s="110">
        <f t="shared" si="119"/>
        <v>0</v>
      </c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416">
        <v>1860</v>
      </c>
      <c r="AA96" s="408">
        <v>1948.05</v>
      </c>
      <c r="AB96" s="53"/>
      <c r="AC96" s="326">
        <v>3896</v>
      </c>
      <c r="AD96" s="109"/>
      <c r="AE96" s="110"/>
      <c r="AF96" s="22">
        <f t="shared" si="120"/>
        <v>0</v>
      </c>
      <c r="AG96" s="110"/>
      <c r="AH96" s="258">
        <v>4586.7299999999996</v>
      </c>
      <c r="AI96" s="45"/>
      <c r="AJ96" s="25">
        <f>AH96+AI96+Z96+AC96+AA96</f>
        <v>12290.779999999999</v>
      </c>
      <c r="AK96" s="26">
        <f t="shared" si="121"/>
        <v>2826.8793999999998</v>
      </c>
      <c r="AL96" s="51">
        <v>1708.93</v>
      </c>
      <c r="AM96" s="52"/>
      <c r="AN96" s="52"/>
      <c r="AO96" s="53"/>
      <c r="AP96" s="53"/>
      <c r="AQ96" s="47">
        <v>3000</v>
      </c>
      <c r="AR96" s="407">
        <v>2932.19</v>
      </c>
      <c r="AS96" s="51">
        <v>1822.78</v>
      </c>
      <c r="AT96" s="27">
        <f t="shared" ref="AT96:AT103" si="131">AJ96-AK96-AL96-AS96-AN96-AQ96-AM96-AR96</f>
        <v>5.9999999893989298E-4</v>
      </c>
      <c r="AU96" s="28">
        <f t="shared" si="123"/>
        <v>9463.9000000000015</v>
      </c>
      <c r="AV96" s="110"/>
      <c r="AW96" s="110"/>
      <c r="AX96" s="28">
        <f t="shared" si="124"/>
        <v>2826.8793999999998</v>
      </c>
      <c r="AY96" s="29">
        <f t="shared" si="125"/>
        <v>2703.9715999999999</v>
      </c>
      <c r="AZ96" s="30">
        <f t="shared" si="126"/>
        <v>5530.8509999999997</v>
      </c>
      <c r="BA96" s="31">
        <f t="shared" si="127"/>
        <v>0</v>
      </c>
      <c r="BB96" s="56">
        <f t="shared" si="71"/>
        <v>5.9999999757565092E-4</v>
      </c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 ht="27.6">
      <c r="A97" s="163">
        <f t="shared" si="128"/>
        <v>6</v>
      </c>
      <c r="B97" s="277" t="s">
        <v>137</v>
      </c>
      <c r="C97" s="35" t="s">
        <v>40</v>
      </c>
      <c r="D97" s="164" t="s">
        <v>80</v>
      </c>
      <c r="E97" s="77">
        <v>8700</v>
      </c>
      <c r="F97" s="160">
        <v>46113</v>
      </c>
      <c r="G97" s="42">
        <f t="shared" si="129"/>
        <v>2175</v>
      </c>
      <c r="H97" s="38">
        <v>22</v>
      </c>
      <c r="I97" s="42" t="s">
        <v>41</v>
      </c>
      <c r="J97" s="40"/>
      <c r="K97" s="40"/>
      <c r="L97" s="109">
        <v>200</v>
      </c>
      <c r="M97" s="110">
        <f t="shared" si="119"/>
        <v>0</v>
      </c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416">
        <v>1860</v>
      </c>
      <c r="AA97" s="408">
        <v>1948.05</v>
      </c>
      <c r="AB97" s="53"/>
      <c r="AC97" s="326"/>
      <c r="AD97" s="109"/>
      <c r="AE97" s="110"/>
      <c r="AF97" s="22">
        <f t="shared" si="120"/>
        <v>0</v>
      </c>
      <c r="AG97" s="110"/>
      <c r="AH97" s="258">
        <v>4586.7299999999996</v>
      </c>
      <c r="AI97" s="50"/>
      <c r="AJ97" s="25">
        <f>AH97+AI97+Z97+AA97</f>
        <v>8394.7799999999988</v>
      </c>
      <c r="AK97" s="26">
        <f t="shared" si="121"/>
        <v>1930.7993999999999</v>
      </c>
      <c r="AL97" s="51">
        <v>1708.93</v>
      </c>
      <c r="AM97" s="52"/>
      <c r="AN97" s="52"/>
      <c r="AO97" s="53"/>
      <c r="AP97" s="53"/>
      <c r="AQ97" s="53"/>
      <c r="AR97" s="407">
        <v>2932.19</v>
      </c>
      <c r="AS97" s="51">
        <v>1822.86</v>
      </c>
      <c r="AT97" s="27">
        <f t="shared" si="131"/>
        <v>5.9999999893989298E-4</v>
      </c>
      <c r="AU97" s="28">
        <f t="shared" si="123"/>
        <v>6463.98</v>
      </c>
      <c r="AV97" s="110"/>
      <c r="AW97" s="110"/>
      <c r="AX97" s="28">
        <f t="shared" si="124"/>
        <v>1930.7993999999999</v>
      </c>
      <c r="AY97" s="29">
        <f t="shared" si="125"/>
        <v>1846.8515999999997</v>
      </c>
      <c r="AZ97" s="30">
        <f t="shared" si="126"/>
        <v>3777.6509999999998</v>
      </c>
      <c r="BA97" s="31">
        <f t="shared" si="127"/>
        <v>0</v>
      </c>
      <c r="BB97" s="56">
        <f t="shared" si="71"/>
        <v>5.9999999939464033E-4</v>
      </c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 ht="27.6">
      <c r="A98" s="163">
        <f t="shared" si="128"/>
        <v>7</v>
      </c>
      <c r="B98" s="278" t="s">
        <v>138</v>
      </c>
      <c r="C98" s="35" t="s">
        <v>40</v>
      </c>
      <c r="D98" s="164" t="s">
        <v>48</v>
      </c>
      <c r="E98" s="77">
        <v>8700</v>
      </c>
      <c r="F98" s="160">
        <v>46113</v>
      </c>
      <c r="G98" s="42">
        <f t="shared" si="129"/>
        <v>2175</v>
      </c>
      <c r="H98" s="38">
        <v>22</v>
      </c>
      <c r="I98" s="42" t="s">
        <v>41</v>
      </c>
      <c r="J98" s="40"/>
      <c r="K98" s="40"/>
      <c r="L98" s="109">
        <v>200</v>
      </c>
      <c r="M98" s="110">
        <f t="shared" si="119"/>
        <v>0</v>
      </c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326"/>
      <c r="AB98" s="326"/>
      <c r="AC98" s="326"/>
      <c r="AD98" s="110"/>
      <c r="AE98" s="110"/>
      <c r="AF98" s="22">
        <f t="shared" si="120"/>
        <v>0</v>
      </c>
      <c r="AG98" s="110"/>
      <c r="AH98" s="258">
        <v>4586.7299999999996</v>
      </c>
      <c r="AI98" s="50"/>
      <c r="AJ98" s="25">
        <f>AH98+AI98</f>
        <v>4586.7299999999996</v>
      </c>
      <c r="AK98" s="26">
        <f t="shared" si="121"/>
        <v>1054.9478999999999</v>
      </c>
      <c r="AL98" s="51">
        <v>1708.93</v>
      </c>
      <c r="AM98" s="52"/>
      <c r="AN98" s="52"/>
      <c r="AO98" s="53"/>
      <c r="AP98" s="53"/>
      <c r="AQ98" s="53"/>
      <c r="AR98" s="51"/>
      <c r="AS98" s="51">
        <v>1822.85</v>
      </c>
      <c r="AT98" s="27">
        <f t="shared" si="131"/>
        <v>2.0999999994728569E-3</v>
      </c>
      <c r="AU98" s="28">
        <f t="shared" si="123"/>
        <v>3531.7799999999997</v>
      </c>
      <c r="AV98" s="110"/>
      <c r="AW98" s="110"/>
      <c r="AX98" s="28">
        <f t="shared" si="124"/>
        <v>1054.9478999999999</v>
      </c>
      <c r="AY98" s="29">
        <f t="shared" si="125"/>
        <v>1009.0805999999999</v>
      </c>
      <c r="AZ98" s="30">
        <f t="shared" si="126"/>
        <v>2064.0284999999999</v>
      </c>
      <c r="BA98" s="31">
        <f t="shared" si="127"/>
        <v>0</v>
      </c>
      <c r="BB98" s="56">
        <f t="shared" si="71"/>
        <v>2.0999999997002305E-3</v>
      </c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 ht="27.6">
      <c r="A99" s="163">
        <f t="shared" si="128"/>
        <v>8</v>
      </c>
      <c r="B99" s="279" t="s">
        <v>139</v>
      </c>
      <c r="C99" s="35" t="s">
        <v>40</v>
      </c>
      <c r="D99" s="133" t="s">
        <v>105</v>
      </c>
      <c r="E99" s="77">
        <v>8700</v>
      </c>
      <c r="F99" s="160">
        <v>46113</v>
      </c>
      <c r="G99" s="42">
        <f t="shared" si="129"/>
        <v>2175</v>
      </c>
      <c r="H99" s="38">
        <v>22</v>
      </c>
      <c r="I99" s="42" t="s">
        <v>41</v>
      </c>
      <c r="J99" s="40">
        <v>6658</v>
      </c>
      <c r="K99" s="97"/>
      <c r="L99" s="109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407">
        <v>1260</v>
      </c>
      <c r="AA99" s="408">
        <v>1948.05</v>
      </c>
      <c r="AB99" s="51"/>
      <c r="AC99" s="84">
        <v>4060</v>
      </c>
      <c r="AD99" s="110"/>
      <c r="AE99" s="110"/>
      <c r="AF99" s="22">
        <f t="shared" si="120"/>
        <v>0</v>
      </c>
      <c r="AG99" s="110"/>
      <c r="AH99" s="92">
        <v>4586.74</v>
      </c>
      <c r="AI99" s="50"/>
      <c r="AJ99" s="25">
        <f>AH99+AI99+AC99+Z99+AA99</f>
        <v>11854.789999999999</v>
      </c>
      <c r="AK99" s="26">
        <f t="shared" si="121"/>
        <v>2726.6016999999997</v>
      </c>
      <c r="AL99" s="40">
        <v>851.36</v>
      </c>
      <c r="AM99" s="40"/>
      <c r="AN99" s="97"/>
      <c r="AO99" s="53"/>
      <c r="AP99" s="53"/>
      <c r="AQ99" s="47">
        <v>3126.2</v>
      </c>
      <c r="AR99" s="416">
        <v>2470.1999999999998</v>
      </c>
      <c r="AS99" s="329">
        <v>2680.43</v>
      </c>
      <c r="AT99" s="27">
        <f t="shared" si="131"/>
        <v>-1.7000000007101335E-3</v>
      </c>
      <c r="AU99" s="28">
        <f t="shared" si="123"/>
        <v>9128.19</v>
      </c>
      <c r="AV99" s="110"/>
      <c r="AW99" s="110"/>
      <c r="AX99" s="28">
        <f t="shared" si="124"/>
        <v>2726.6016999999997</v>
      </c>
      <c r="AY99" s="29">
        <f t="shared" si="125"/>
        <v>2608.0537999999997</v>
      </c>
      <c r="AZ99" s="30">
        <f t="shared" si="126"/>
        <v>5334.6554999999989</v>
      </c>
      <c r="BA99" s="31">
        <f t="shared" si="127"/>
        <v>0</v>
      </c>
      <c r="BB99" s="56">
        <f t="shared" si="71"/>
        <v>-1.7000000007101335E-3</v>
      </c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 ht="27.6">
      <c r="A100" s="163">
        <f t="shared" si="128"/>
        <v>9</v>
      </c>
      <c r="B100" s="279" t="s">
        <v>140</v>
      </c>
      <c r="C100" s="35" t="s">
        <v>40</v>
      </c>
      <c r="D100" s="133" t="s">
        <v>105</v>
      </c>
      <c r="E100" s="77">
        <v>8700</v>
      </c>
      <c r="F100" s="160">
        <v>46113</v>
      </c>
      <c r="G100" s="42">
        <f t="shared" si="129"/>
        <v>2175</v>
      </c>
      <c r="H100" s="38">
        <v>22</v>
      </c>
      <c r="I100" s="42" t="s">
        <v>41</v>
      </c>
      <c r="J100" s="40">
        <v>6658</v>
      </c>
      <c r="K100" s="97"/>
      <c r="L100" s="109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51"/>
      <c r="AB100" s="51"/>
      <c r="AC100" s="84">
        <v>4060</v>
      </c>
      <c r="AD100" s="110"/>
      <c r="AE100" s="110"/>
      <c r="AF100" s="22">
        <f t="shared" si="120"/>
        <v>0</v>
      </c>
      <c r="AG100" s="110"/>
      <c r="AH100" s="92">
        <v>4586.74</v>
      </c>
      <c r="AI100" s="252"/>
      <c r="AJ100" s="25">
        <f t="shared" ref="AJ100:AJ101" si="132">AH100+AI100+AC100</f>
        <v>8646.74</v>
      </c>
      <c r="AK100" s="26">
        <f t="shared" si="121"/>
        <v>1988.7501999999999</v>
      </c>
      <c r="AL100" s="40">
        <v>851.36</v>
      </c>
      <c r="AM100" s="40"/>
      <c r="AN100" s="166"/>
      <c r="AO100" s="53"/>
      <c r="AP100" s="53"/>
      <c r="AQ100" s="47">
        <v>3126.2</v>
      </c>
      <c r="AR100" s="97"/>
      <c r="AS100" s="329">
        <v>2680.43</v>
      </c>
      <c r="AT100" s="27">
        <f t="shared" si="131"/>
        <v>-1.9999999994979589E-4</v>
      </c>
      <c r="AU100" s="28">
        <f t="shared" si="123"/>
        <v>6657.99</v>
      </c>
      <c r="AV100" s="110"/>
      <c r="AW100" s="110"/>
      <c r="AX100" s="28">
        <f t="shared" si="124"/>
        <v>1988.7501999999999</v>
      </c>
      <c r="AY100" s="29">
        <f t="shared" si="125"/>
        <v>1902.2828</v>
      </c>
      <c r="AZ100" s="30">
        <f t="shared" si="126"/>
        <v>3891.0329999999999</v>
      </c>
      <c r="BA100" s="31">
        <f t="shared" si="127"/>
        <v>0</v>
      </c>
      <c r="BB100" s="56">
        <f t="shared" si="71"/>
        <v>-2.0000000040454324E-4</v>
      </c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 ht="27.6">
      <c r="A101" s="163">
        <f t="shared" si="128"/>
        <v>10</v>
      </c>
      <c r="B101" s="279" t="s">
        <v>141</v>
      </c>
      <c r="C101" s="35" t="s">
        <v>40</v>
      </c>
      <c r="D101" s="133" t="s">
        <v>105</v>
      </c>
      <c r="E101" s="77">
        <v>8700</v>
      </c>
      <c r="F101" s="160">
        <v>46113</v>
      </c>
      <c r="G101" s="42">
        <f t="shared" si="129"/>
        <v>2175</v>
      </c>
      <c r="H101" s="38">
        <v>22</v>
      </c>
      <c r="I101" s="42" t="s">
        <v>41</v>
      </c>
      <c r="J101" s="40">
        <v>6658</v>
      </c>
      <c r="K101" s="97"/>
      <c r="L101" s="109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51"/>
      <c r="AB101" s="51"/>
      <c r="AC101" s="84">
        <v>4060</v>
      </c>
      <c r="AD101" s="110"/>
      <c r="AE101" s="110"/>
      <c r="AF101" s="22">
        <f t="shared" si="120"/>
        <v>0</v>
      </c>
      <c r="AG101" s="110"/>
      <c r="AH101" s="92">
        <v>4586.74</v>
      </c>
      <c r="AI101" s="252"/>
      <c r="AJ101" s="25">
        <f t="shared" si="132"/>
        <v>8646.74</v>
      </c>
      <c r="AK101" s="26">
        <f t="shared" si="121"/>
        <v>1988.7501999999999</v>
      </c>
      <c r="AL101" s="40">
        <v>851.36</v>
      </c>
      <c r="AM101" s="40"/>
      <c r="AN101" s="110"/>
      <c r="AO101" s="53"/>
      <c r="AP101" s="53"/>
      <c r="AQ101" s="47">
        <v>3126.2</v>
      </c>
      <c r="AR101" s="97"/>
      <c r="AS101" s="329">
        <v>2680.43</v>
      </c>
      <c r="AT101" s="27">
        <f t="shared" si="131"/>
        <v>-1.9999999994979589E-4</v>
      </c>
      <c r="AU101" s="28">
        <f t="shared" si="123"/>
        <v>6657.99</v>
      </c>
      <c r="AV101" s="110"/>
      <c r="AW101" s="110"/>
      <c r="AX101" s="28">
        <f t="shared" si="124"/>
        <v>1988.7501999999999</v>
      </c>
      <c r="AY101" s="29">
        <f t="shared" si="125"/>
        <v>1902.2828</v>
      </c>
      <c r="AZ101" s="30">
        <f t="shared" si="126"/>
        <v>3891.0329999999999</v>
      </c>
      <c r="BA101" s="31">
        <f t="shared" si="127"/>
        <v>0</v>
      </c>
      <c r="BB101" s="56">
        <f t="shared" si="71"/>
        <v>-2.0000000040454324E-4</v>
      </c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 ht="27.6">
      <c r="A102" s="163">
        <f t="shared" si="128"/>
        <v>11</v>
      </c>
      <c r="B102" s="269" t="s">
        <v>142</v>
      </c>
      <c r="C102" s="35" t="s">
        <v>40</v>
      </c>
      <c r="D102" s="133" t="s">
        <v>105</v>
      </c>
      <c r="E102" s="134">
        <v>8700</v>
      </c>
      <c r="F102" s="135">
        <v>46054</v>
      </c>
      <c r="G102" s="110">
        <f>E102/2</f>
        <v>4350</v>
      </c>
      <c r="H102" s="38">
        <v>22</v>
      </c>
      <c r="I102" s="42" t="s">
        <v>41</v>
      </c>
      <c r="J102" s="40">
        <v>12000</v>
      </c>
      <c r="K102" s="97"/>
      <c r="L102" s="109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51"/>
      <c r="AB102" s="51"/>
      <c r="AC102" s="84">
        <v>12855</v>
      </c>
      <c r="AD102" s="110"/>
      <c r="AE102" s="110"/>
      <c r="AF102" s="22">
        <f t="shared" si="120"/>
        <v>0</v>
      </c>
      <c r="AG102" s="110"/>
      <c r="AH102" s="92">
        <f>2730.24+AC102</f>
        <v>15585.24</v>
      </c>
      <c r="AI102" s="252"/>
      <c r="AJ102" s="25">
        <f>AH102+AI102</f>
        <v>15585.24</v>
      </c>
      <c r="AK102" s="26">
        <f t="shared" si="121"/>
        <v>3584.6052</v>
      </c>
      <c r="AL102" s="109">
        <v>1051.1400000000001</v>
      </c>
      <c r="AM102" s="109"/>
      <c r="AN102" s="110"/>
      <c r="AO102" s="53"/>
      <c r="AP102" s="53"/>
      <c r="AQ102" s="47">
        <v>9898.35</v>
      </c>
      <c r="AR102" s="97"/>
      <c r="AS102" s="40">
        <v>1051.1400000000001</v>
      </c>
      <c r="AT102" s="27">
        <f t="shared" si="131"/>
        <v>4.8000000006140908E-3</v>
      </c>
      <c r="AU102" s="28">
        <f t="shared" si="123"/>
        <v>12000.63</v>
      </c>
      <c r="AV102" s="110"/>
      <c r="AW102" s="110"/>
      <c r="AX102" s="28">
        <f t="shared" si="124"/>
        <v>3584.6052</v>
      </c>
      <c r="AY102" s="29">
        <f t="shared" si="125"/>
        <v>3428.7527999999998</v>
      </c>
      <c r="AZ102" s="30">
        <f t="shared" si="126"/>
        <v>7013.3580000000002</v>
      </c>
      <c r="BA102" s="31">
        <f t="shared" si="127"/>
        <v>0</v>
      </c>
      <c r="BB102" s="56">
        <f t="shared" si="71"/>
        <v>4.8000000006140908E-3</v>
      </c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 ht="27.6">
      <c r="A103" s="163">
        <f t="shared" si="128"/>
        <v>12</v>
      </c>
      <c r="B103" s="269" t="s">
        <v>143</v>
      </c>
      <c r="C103" s="35" t="s">
        <v>40</v>
      </c>
      <c r="D103" s="133" t="s">
        <v>105</v>
      </c>
      <c r="E103" s="134">
        <v>8700</v>
      </c>
      <c r="F103" s="167">
        <v>1</v>
      </c>
      <c r="G103" s="110">
        <f>E103/4</f>
        <v>2175</v>
      </c>
      <c r="H103" s="38">
        <v>22</v>
      </c>
      <c r="I103" s="42" t="s">
        <v>41</v>
      </c>
      <c r="J103" s="40">
        <v>3330</v>
      </c>
      <c r="K103" s="97"/>
      <c r="L103" s="109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51"/>
      <c r="AB103" s="51"/>
      <c r="AC103" s="152"/>
      <c r="AD103" s="110"/>
      <c r="AE103" s="110"/>
      <c r="AF103" s="22">
        <f t="shared" si="120"/>
        <v>0</v>
      </c>
      <c r="AG103" s="110"/>
      <c r="AH103" s="92">
        <v>4368.38</v>
      </c>
      <c r="AI103" s="252"/>
      <c r="AJ103" s="25">
        <f t="shared" ref="AJ103:AJ104" si="133">AH103+AI103+AC103</f>
        <v>4368.38</v>
      </c>
      <c r="AK103" s="26">
        <f t="shared" si="121"/>
        <v>1004.7274000000001</v>
      </c>
      <c r="AL103" s="109">
        <v>1051.1400000000001</v>
      </c>
      <c r="AM103" s="109"/>
      <c r="AN103" s="110"/>
      <c r="AO103" s="53"/>
      <c r="AP103" s="53"/>
      <c r="AQ103" s="69"/>
      <c r="AR103" s="97"/>
      <c r="AS103" s="40">
        <v>2312.5100000000002</v>
      </c>
      <c r="AT103" s="27">
        <f t="shared" si="131"/>
        <v>2.599999999802094E-3</v>
      </c>
      <c r="AU103" s="28">
        <f t="shared" si="123"/>
        <v>3363.6500000000005</v>
      </c>
      <c r="AV103" s="110"/>
      <c r="AW103" s="110"/>
      <c r="AX103" s="28">
        <f t="shared" si="124"/>
        <v>1004.7274000000001</v>
      </c>
      <c r="AY103" s="29">
        <f t="shared" si="125"/>
        <v>961.04360000000008</v>
      </c>
      <c r="AZ103" s="30">
        <f t="shared" si="126"/>
        <v>1965.7710000000002</v>
      </c>
      <c r="BA103" s="31">
        <f t="shared" si="127"/>
        <v>0</v>
      </c>
      <c r="BB103" s="56">
        <f t="shared" si="71"/>
        <v>2.5999999993473466E-3</v>
      </c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 ht="27.6">
      <c r="A104" s="163">
        <f t="shared" si="128"/>
        <v>13</v>
      </c>
      <c r="B104" s="271" t="s">
        <v>207</v>
      </c>
      <c r="C104" s="35" t="s">
        <v>40</v>
      </c>
      <c r="D104" s="133" t="s">
        <v>105</v>
      </c>
      <c r="E104" s="134">
        <v>8700</v>
      </c>
      <c r="F104" s="144">
        <v>46145</v>
      </c>
      <c r="G104" s="110">
        <f>(E104/5)*3</f>
        <v>5220</v>
      </c>
      <c r="H104" s="38">
        <v>22</v>
      </c>
      <c r="I104" s="42" t="s">
        <v>41</v>
      </c>
      <c r="J104" s="40"/>
      <c r="K104" s="97"/>
      <c r="L104" s="109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51"/>
      <c r="AB104" s="51"/>
      <c r="AC104" s="152"/>
      <c r="AD104" s="110"/>
      <c r="AE104" s="109">
        <v>1107.5999999999999</v>
      </c>
      <c r="AF104" s="22">
        <f t="shared" si="120"/>
        <v>0</v>
      </c>
      <c r="AG104" s="110"/>
      <c r="AH104" s="92">
        <f>3528.31+AE104</f>
        <v>4635.91</v>
      </c>
      <c r="AI104" s="252"/>
      <c r="AJ104" s="25">
        <f t="shared" si="133"/>
        <v>4635.91</v>
      </c>
      <c r="AK104" s="26">
        <f t="shared" si="121"/>
        <v>1066.2592999999999</v>
      </c>
      <c r="AL104" s="109">
        <v>1617.14</v>
      </c>
      <c r="AM104" s="109"/>
      <c r="AN104" s="110"/>
      <c r="AO104" s="53">
        <v>852.73</v>
      </c>
      <c r="AP104" s="53"/>
      <c r="AQ104" s="69"/>
      <c r="AR104" s="97"/>
      <c r="AS104" s="40">
        <v>1099.78</v>
      </c>
      <c r="AT104" s="27">
        <f>AJ104-AK104-AL104-AS104-AN104-AQ104-AM104-AR104-AO104</f>
        <v>7.000000000516593E-4</v>
      </c>
      <c r="AU104" s="28">
        <f t="shared" si="123"/>
        <v>3569.65</v>
      </c>
      <c r="AV104" s="110"/>
      <c r="AW104" s="110"/>
      <c r="AX104" s="28">
        <f t="shared" si="124"/>
        <v>1066.2592999999999</v>
      </c>
      <c r="AY104" s="29">
        <f t="shared" si="125"/>
        <v>1019.9001999999999</v>
      </c>
      <c r="AZ104" s="30">
        <f t="shared" si="126"/>
        <v>2086.1594999999998</v>
      </c>
      <c r="BA104" s="31">
        <f t="shared" si="127"/>
        <v>0</v>
      </c>
      <c r="BB104" s="56">
        <f t="shared" si="71"/>
        <v>7.000000000516593E-4</v>
      </c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 ht="27.6">
      <c r="A105" s="163">
        <f t="shared" si="128"/>
        <v>14</v>
      </c>
      <c r="B105" s="279" t="s">
        <v>144</v>
      </c>
      <c r="C105" s="35" t="s">
        <v>40</v>
      </c>
      <c r="D105" s="133" t="s">
        <v>105</v>
      </c>
      <c r="E105" s="77">
        <v>8700</v>
      </c>
      <c r="F105" s="160">
        <v>46113</v>
      </c>
      <c r="G105" s="42">
        <f>8700/4</f>
        <v>2175</v>
      </c>
      <c r="H105" s="38">
        <v>22</v>
      </c>
      <c r="I105" s="42" t="s">
        <v>41</v>
      </c>
      <c r="J105" s="40">
        <v>6658</v>
      </c>
      <c r="K105" s="97"/>
      <c r="L105" s="109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51"/>
      <c r="AB105" s="51"/>
      <c r="AC105" s="84">
        <v>4060</v>
      </c>
      <c r="AD105" s="109"/>
      <c r="AE105" s="110"/>
      <c r="AF105" s="22">
        <f t="shared" si="120"/>
        <v>0</v>
      </c>
      <c r="AG105" s="110"/>
      <c r="AH105" s="92">
        <f>4586.74+AC105</f>
        <v>8646.74</v>
      </c>
      <c r="AI105" s="252"/>
      <c r="AJ105" s="25">
        <f>AH105+AI105</f>
        <v>8646.74</v>
      </c>
      <c r="AK105" s="26">
        <f t="shared" si="121"/>
        <v>1988.7501999999999</v>
      </c>
      <c r="AL105" s="109">
        <v>851.36</v>
      </c>
      <c r="AM105" s="109"/>
      <c r="AN105" s="110"/>
      <c r="AO105" s="53"/>
      <c r="AP105" s="53"/>
      <c r="AQ105" s="47">
        <v>3126.2</v>
      </c>
      <c r="AR105" s="110"/>
      <c r="AS105" s="40">
        <v>2680.43</v>
      </c>
      <c r="AT105" s="27">
        <f>AJ105-AK105-AL105-AS105-AN105-AQ105-AM105-AR105</f>
        <v>-1.9999999994979589E-4</v>
      </c>
      <c r="AU105" s="28">
        <f t="shared" si="123"/>
        <v>6657.99</v>
      </c>
      <c r="AV105" s="110"/>
      <c r="AW105" s="110"/>
      <c r="AX105" s="28">
        <f t="shared" si="124"/>
        <v>1988.7501999999999</v>
      </c>
      <c r="AY105" s="29">
        <f t="shared" si="125"/>
        <v>1902.2828</v>
      </c>
      <c r="AZ105" s="30">
        <f t="shared" si="126"/>
        <v>3891.0329999999999</v>
      </c>
      <c r="BA105" s="31">
        <f t="shared" si="127"/>
        <v>0</v>
      </c>
      <c r="BB105" s="56">
        <f t="shared" si="71"/>
        <v>-2.0000000040454324E-4</v>
      </c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 ht="13.8">
      <c r="A106" s="102"/>
      <c r="B106" s="103" t="s">
        <v>145</v>
      </c>
      <c r="C106" s="158"/>
      <c r="D106" s="158"/>
      <c r="E106" s="158"/>
      <c r="F106" s="158"/>
      <c r="G106" s="158"/>
      <c r="H106" s="158"/>
      <c r="I106" s="158"/>
      <c r="J106" s="105"/>
      <c r="K106" s="105">
        <f>SUM(K92:K105)</f>
        <v>0</v>
      </c>
      <c r="L106" s="105"/>
      <c r="M106" s="105">
        <f t="shared" ref="M106:N106" si="134">SUM(M92:M105)</f>
        <v>0</v>
      </c>
      <c r="N106" s="105">
        <f t="shared" si="134"/>
        <v>0</v>
      </c>
      <c r="O106" s="105"/>
      <c r="P106" s="105">
        <f t="shared" ref="P106:Q106" si="135">SUM(P92:P105)</f>
        <v>0</v>
      </c>
      <c r="Q106" s="105">
        <f t="shared" si="135"/>
        <v>0</v>
      </c>
      <c r="R106" s="105"/>
      <c r="S106" s="105">
        <f>SUM(S92:S105)</f>
        <v>0</v>
      </c>
      <c r="T106" s="105"/>
      <c r="U106" s="105"/>
      <c r="V106" s="105">
        <f t="shared" ref="V106:W106" si="136">SUM(V92:V105)</f>
        <v>0</v>
      </c>
      <c r="W106" s="105">
        <f t="shared" si="136"/>
        <v>0</v>
      </c>
      <c r="X106" s="105"/>
      <c r="Y106" s="105">
        <f t="shared" ref="Y106:Z106" si="137">SUM(Y92:Y105)</f>
        <v>0</v>
      </c>
      <c r="Z106" s="105">
        <f t="shared" si="137"/>
        <v>6240</v>
      </c>
      <c r="AA106" s="106"/>
      <c r="AB106" s="106"/>
      <c r="AC106" s="106"/>
      <c r="AD106" s="105">
        <f t="shared" ref="AD106:BA106" si="138">SUM(AD92:AD105)</f>
        <v>0</v>
      </c>
      <c r="AE106" s="105">
        <f t="shared" si="138"/>
        <v>1107.5999999999999</v>
      </c>
      <c r="AF106" s="106">
        <f t="shared" si="138"/>
        <v>0</v>
      </c>
      <c r="AG106" s="105">
        <f t="shared" si="138"/>
        <v>0</v>
      </c>
      <c r="AH106" s="106">
        <f t="shared" si="138"/>
        <v>71953.149999999994</v>
      </c>
      <c r="AI106" s="106">
        <f t="shared" si="138"/>
        <v>0</v>
      </c>
      <c r="AJ106" s="106">
        <f t="shared" si="138"/>
        <v>100113.30000000002</v>
      </c>
      <c r="AK106" s="106">
        <f t="shared" si="138"/>
        <v>23026.058999999997</v>
      </c>
      <c r="AL106" s="106">
        <f t="shared" si="138"/>
        <v>16626.509999999998</v>
      </c>
      <c r="AM106" s="106">
        <f t="shared" si="138"/>
        <v>0</v>
      </c>
      <c r="AN106" s="106">
        <f t="shared" si="138"/>
        <v>0</v>
      </c>
      <c r="AO106" s="106">
        <f t="shared" si="138"/>
        <v>852.73</v>
      </c>
      <c r="AP106" s="106">
        <f t="shared" si="138"/>
        <v>0</v>
      </c>
      <c r="AQ106" s="106">
        <f t="shared" si="138"/>
        <v>25403.149999999998</v>
      </c>
      <c r="AR106" s="106">
        <f t="shared" si="138"/>
        <v>9304.7799999999988</v>
      </c>
      <c r="AS106" s="106">
        <f t="shared" si="138"/>
        <v>24900.059999999998</v>
      </c>
      <c r="AT106" s="106">
        <f t="shared" si="138"/>
        <v>1.0999999996556653E-2</v>
      </c>
      <c r="AU106" s="106">
        <f t="shared" si="138"/>
        <v>77087.23</v>
      </c>
      <c r="AV106" s="105">
        <f t="shared" si="138"/>
        <v>0</v>
      </c>
      <c r="AW106" s="105">
        <f t="shared" si="138"/>
        <v>0</v>
      </c>
      <c r="AX106" s="106">
        <f t="shared" si="138"/>
        <v>23026.058999999997</v>
      </c>
      <c r="AY106" s="106">
        <f t="shared" si="138"/>
        <v>22024.925999999999</v>
      </c>
      <c r="AZ106" s="106">
        <f t="shared" si="138"/>
        <v>45050.985000000001</v>
      </c>
      <c r="BA106" s="106">
        <f t="shared" si="138"/>
        <v>0</v>
      </c>
      <c r="BB106" s="56">
        <f t="shared" si="71"/>
        <v>1.1000000027706847E-2</v>
      </c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 ht="13.8">
      <c r="A107" s="108"/>
      <c r="B107" s="7" t="s">
        <v>146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250"/>
      <c r="AB107" s="250"/>
      <c r="AC107" s="250"/>
      <c r="AD107" s="8"/>
      <c r="AE107" s="8"/>
      <c r="AF107" s="8"/>
      <c r="AG107" s="8"/>
      <c r="AH107" s="8"/>
      <c r="AI107" s="250"/>
      <c r="AJ107" s="8"/>
      <c r="AK107" s="8"/>
      <c r="AL107" s="8"/>
      <c r="AM107" s="168"/>
      <c r="AN107" s="168"/>
      <c r="AO107" s="168"/>
      <c r="AP107" s="168"/>
      <c r="AQ107" s="168"/>
      <c r="AR107" s="168"/>
      <c r="AS107" s="168"/>
      <c r="AT107" s="168"/>
      <c r="AU107" s="168"/>
      <c r="AV107" s="168"/>
      <c r="AW107" s="168"/>
      <c r="AX107" s="169"/>
      <c r="AY107" s="169"/>
      <c r="AZ107" s="169"/>
      <c r="BA107" s="169"/>
      <c r="BB107" s="170">
        <f t="shared" si="71"/>
        <v>0</v>
      </c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 ht="13.8">
      <c r="A108" s="172">
        <v>2</v>
      </c>
      <c r="B108" s="283" t="s">
        <v>147</v>
      </c>
      <c r="C108" s="35" t="s">
        <v>40</v>
      </c>
      <c r="D108" s="164" t="s">
        <v>80</v>
      </c>
      <c r="E108" s="77">
        <v>8700</v>
      </c>
      <c r="F108" s="160">
        <v>46113</v>
      </c>
      <c r="G108" s="42">
        <f t="shared" ref="G108:G109" si="139">8647/4</f>
        <v>2161.75</v>
      </c>
      <c r="H108" s="38">
        <v>22</v>
      </c>
      <c r="I108" s="109" t="s">
        <v>41</v>
      </c>
      <c r="J108" s="40"/>
      <c r="K108" s="40"/>
      <c r="L108" s="41">
        <v>200</v>
      </c>
      <c r="M108" s="42">
        <f t="shared" ref="M108:M109" si="140">K108*L108</f>
        <v>0</v>
      </c>
      <c r="N108" s="43"/>
      <c r="O108" s="42"/>
      <c r="P108" s="44">
        <f t="shared" ref="P108:P109" si="141">N108*O108</f>
        <v>0</v>
      </c>
      <c r="Q108" s="43"/>
      <c r="R108" s="42"/>
      <c r="S108" s="44">
        <f t="shared" ref="S108:S109" si="142">Q108*R108</f>
        <v>0</v>
      </c>
      <c r="T108" s="43"/>
      <c r="U108" s="43"/>
      <c r="V108" s="43"/>
      <c r="W108" s="43"/>
      <c r="X108" s="42"/>
      <c r="Y108" s="44">
        <f t="shared" ref="Y108:Y109" si="143">W108*X108</f>
        <v>0</v>
      </c>
      <c r="Z108" s="45"/>
      <c r="AA108" s="53"/>
      <c r="AB108" s="53"/>
      <c r="AC108" s="53"/>
      <c r="AD108" s="138"/>
      <c r="AE108" s="152">
        <v>3841.36</v>
      </c>
      <c r="AF108" s="22">
        <f>M108+P108+S108+V108+Y108</f>
        <v>0</v>
      </c>
      <c r="AG108" s="29"/>
      <c r="AH108" s="258">
        <f>3403.06+AE108</f>
        <v>7244.42</v>
      </c>
      <c r="AI108" s="263"/>
      <c r="AJ108" s="25">
        <f>AH108+AI108</f>
        <v>7244.42</v>
      </c>
      <c r="AK108" s="26">
        <f t="shared" ref="AK108:AK109" si="144">AJ108*23%</f>
        <v>1666.2166000000002</v>
      </c>
      <c r="AL108" s="51">
        <v>797.49</v>
      </c>
      <c r="AM108" s="52"/>
      <c r="AN108" s="52"/>
      <c r="AO108" s="53">
        <v>2957.84</v>
      </c>
      <c r="AP108" s="53"/>
      <c r="AQ108" s="53"/>
      <c r="AR108" s="51"/>
      <c r="AS108" s="51">
        <v>1822.87</v>
      </c>
      <c r="AT108" s="27">
        <f t="shared" ref="AT108:AT109" si="145">AJ108-AK108-AL108-AS108-AN108-AQ108-AM108-AR108-AO108</f>
        <v>3.4000000005107722E-3</v>
      </c>
      <c r="AU108" s="28">
        <f>AL108+AM108+AN108+AQ108+AS108+AR108+AO108</f>
        <v>5578.2</v>
      </c>
      <c r="AV108" s="28"/>
      <c r="AW108" s="28"/>
      <c r="AX108" s="28">
        <f t="shared" ref="AX108:AX109" si="146">AJ108*23%</f>
        <v>1666.2166000000002</v>
      </c>
      <c r="AY108" s="29">
        <f t="shared" ref="AY108:AY109" si="147">AJ108*H108%</f>
        <v>1593.7724000000001</v>
      </c>
      <c r="AZ108" s="30">
        <f t="shared" ref="AZ108:AZ109" si="148">AX108+AY108</f>
        <v>3259.9890000000005</v>
      </c>
      <c r="BA108" s="31">
        <f t="shared" ref="BA108:BA109" si="149">AZ108-AY108-AK108</f>
        <v>0</v>
      </c>
      <c r="BB108" s="56">
        <f t="shared" si="71"/>
        <v>3.4000000005107722E-3</v>
      </c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 ht="13.8">
      <c r="A109" s="171" t="s">
        <v>148</v>
      </c>
      <c r="B109" s="284" t="s">
        <v>149</v>
      </c>
      <c r="C109" s="35" t="s">
        <v>40</v>
      </c>
      <c r="D109" s="133" t="s">
        <v>105</v>
      </c>
      <c r="E109" s="77">
        <v>8700</v>
      </c>
      <c r="F109" s="160">
        <v>46113</v>
      </c>
      <c r="G109" s="42">
        <f t="shared" si="139"/>
        <v>2161.75</v>
      </c>
      <c r="H109" s="38">
        <v>22</v>
      </c>
      <c r="I109" s="109" t="s">
        <v>41</v>
      </c>
      <c r="J109" s="97"/>
      <c r="K109" s="110"/>
      <c r="L109" s="41">
        <v>200</v>
      </c>
      <c r="M109" s="42">
        <f t="shared" si="140"/>
        <v>0</v>
      </c>
      <c r="N109" s="43"/>
      <c r="O109" s="42"/>
      <c r="P109" s="44">
        <f t="shared" si="141"/>
        <v>0</v>
      </c>
      <c r="Q109" s="43"/>
      <c r="R109" s="42"/>
      <c r="S109" s="44">
        <f t="shared" si="142"/>
        <v>0</v>
      </c>
      <c r="T109" s="43"/>
      <c r="U109" s="43"/>
      <c r="V109" s="43"/>
      <c r="W109" s="43"/>
      <c r="X109" s="42"/>
      <c r="Y109" s="44">
        <f t="shared" si="143"/>
        <v>0</v>
      </c>
      <c r="Z109" s="45"/>
      <c r="AA109" s="76"/>
      <c r="AB109" s="76"/>
      <c r="AC109" s="76"/>
      <c r="AD109" s="138"/>
      <c r="AE109" s="152"/>
      <c r="AF109" s="22"/>
      <c r="AG109" s="29"/>
      <c r="AH109" s="92"/>
      <c r="AI109" s="76"/>
      <c r="AJ109" s="25">
        <f>AH109+AI109+AE109</f>
        <v>0</v>
      </c>
      <c r="AK109" s="26">
        <f t="shared" si="144"/>
        <v>0</v>
      </c>
      <c r="AL109" s="51"/>
      <c r="AM109" s="52"/>
      <c r="AN109" s="52"/>
      <c r="AO109" s="53"/>
      <c r="AP109" s="53"/>
      <c r="AQ109" s="53"/>
      <c r="AR109" s="51"/>
      <c r="AS109" s="51"/>
      <c r="AT109" s="27">
        <f t="shared" si="145"/>
        <v>0</v>
      </c>
      <c r="AU109" s="28">
        <f>AL109+AM109+AN109+AQ109+AS109+AR109</f>
        <v>0</v>
      </c>
      <c r="AV109" s="28"/>
      <c r="AW109" s="28"/>
      <c r="AX109" s="28">
        <f t="shared" si="146"/>
        <v>0</v>
      </c>
      <c r="AY109" s="29">
        <f t="shared" si="147"/>
        <v>0</v>
      </c>
      <c r="AZ109" s="30">
        <f t="shared" si="148"/>
        <v>0</v>
      </c>
      <c r="BA109" s="31">
        <f t="shared" si="149"/>
        <v>0</v>
      </c>
      <c r="BB109" s="56">
        <f t="shared" si="71"/>
        <v>0</v>
      </c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 ht="13.8">
      <c r="A110" s="102"/>
      <c r="B110" s="174" t="s">
        <v>152</v>
      </c>
      <c r="C110" s="175"/>
      <c r="D110" s="175"/>
      <c r="E110" s="175"/>
      <c r="F110" s="175"/>
      <c r="G110" s="175"/>
      <c r="H110" s="175"/>
      <c r="I110" s="175"/>
      <c r="J110" s="176"/>
      <c r="K110" s="105">
        <f>SUM(K108:K109)</f>
        <v>0</v>
      </c>
      <c r="L110" s="105"/>
      <c r="M110" s="105">
        <f t="shared" ref="M110:N110" si="150">SUM(M108:M109)</f>
        <v>0</v>
      </c>
      <c r="N110" s="105">
        <f t="shared" si="150"/>
        <v>0</v>
      </c>
      <c r="O110" s="105"/>
      <c r="P110" s="105">
        <f t="shared" ref="P110:Q110" si="151">SUM(P108:P109)</f>
        <v>0</v>
      </c>
      <c r="Q110" s="105">
        <f t="shared" si="151"/>
        <v>0</v>
      </c>
      <c r="R110" s="105"/>
      <c r="S110" s="105">
        <f>SUM(S108:S109)</f>
        <v>0</v>
      </c>
      <c r="T110" s="105"/>
      <c r="U110" s="105"/>
      <c r="V110" s="105">
        <f t="shared" ref="V110:W110" si="152">SUM(V108:V109)</f>
        <v>0</v>
      </c>
      <c r="W110" s="105">
        <f t="shared" si="152"/>
        <v>0</v>
      </c>
      <c r="X110" s="105"/>
      <c r="Y110" s="105">
        <f t="shared" ref="Y110:Z110" si="153">SUM(Y108:Y109)</f>
        <v>0</v>
      </c>
      <c r="Z110" s="106">
        <f t="shared" si="153"/>
        <v>0</v>
      </c>
      <c r="AA110" s="106"/>
      <c r="AB110" s="106"/>
      <c r="AC110" s="106">
        <f t="shared" ref="AC110:BA110" si="154">SUM(AC108:AC109)</f>
        <v>0</v>
      </c>
      <c r="AD110" s="105">
        <f t="shared" si="154"/>
        <v>0</v>
      </c>
      <c r="AE110" s="106">
        <f t="shared" si="154"/>
        <v>3841.36</v>
      </c>
      <c r="AF110" s="106">
        <f t="shared" si="154"/>
        <v>0</v>
      </c>
      <c r="AG110" s="106">
        <f t="shared" si="154"/>
        <v>0</v>
      </c>
      <c r="AH110" s="106">
        <f t="shared" si="154"/>
        <v>7244.42</v>
      </c>
      <c r="AI110" s="106">
        <f t="shared" si="154"/>
        <v>0</v>
      </c>
      <c r="AJ110" s="106">
        <f t="shared" si="154"/>
        <v>7244.42</v>
      </c>
      <c r="AK110" s="106">
        <f t="shared" si="154"/>
        <v>1666.2166000000002</v>
      </c>
      <c r="AL110" s="106">
        <f t="shared" si="154"/>
        <v>797.49</v>
      </c>
      <c r="AM110" s="106">
        <f t="shared" si="154"/>
        <v>0</v>
      </c>
      <c r="AN110" s="106">
        <f t="shared" si="154"/>
        <v>0</v>
      </c>
      <c r="AO110" s="106">
        <f t="shared" si="154"/>
        <v>2957.84</v>
      </c>
      <c r="AP110" s="106">
        <f t="shared" si="154"/>
        <v>0</v>
      </c>
      <c r="AQ110" s="106">
        <f t="shared" si="154"/>
        <v>0</v>
      </c>
      <c r="AR110" s="106">
        <f t="shared" si="154"/>
        <v>0</v>
      </c>
      <c r="AS110" s="106">
        <f t="shared" si="154"/>
        <v>1822.87</v>
      </c>
      <c r="AT110" s="106">
        <f t="shared" si="154"/>
        <v>3.4000000005107722E-3</v>
      </c>
      <c r="AU110" s="106">
        <f t="shared" si="154"/>
        <v>5578.2</v>
      </c>
      <c r="AV110" s="106">
        <f t="shared" si="154"/>
        <v>0</v>
      </c>
      <c r="AW110" s="106">
        <f t="shared" si="154"/>
        <v>0</v>
      </c>
      <c r="AX110" s="106">
        <f t="shared" si="154"/>
        <v>1666.2166000000002</v>
      </c>
      <c r="AY110" s="106">
        <f t="shared" si="154"/>
        <v>1593.7724000000001</v>
      </c>
      <c r="AZ110" s="106">
        <f t="shared" si="154"/>
        <v>3259.9890000000005</v>
      </c>
      <c r="BA110" s="106">
        <f t="shared" si="154"/>
        <v>0</v>
      </c>
      <c r="BB110" s="56">
        <f t="shared" si="71"/>
        <v>3.4000000005107722E-3</v>
      </c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 ht="13.8">
      <c r="A111" s="108"/>
      <c r="B111" s="7" t="s">
        <v>153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250"/>
      <c r="AB111" s="250"/>
      <c r="AC111" s="250"/>
      <c r="AD111" s="8"/>
      <c r="AE111" s="8"/>
      <c r="AF111" s="8"/>
      <c r="AG111" s="8"/>
      <c r="AH111" s="8"/>
      <c r="AI111" s="250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9"/>
      <c r="AY111" s="9"/>
      <c r="AZ111" s="9"/>
      <c r="BA111" s="9"/>
      <c r="BB111" s="32">
        <f t="shared" si="71"/>
        <v>0</v>
      </c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 ht="13.8">
      <c r="A112" s="177"/>
      <c r="B112" s="178"/>
      <c r="C112" s="179"/>
      <c r="D112" s="179"/>
      <c r="E112" s="179"/>
      <c r="F112" s="179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252"/>
      <c r="AB112" s="252"/>
      <c r="AC112" s="252"/>
      <c r="AD112" s="110"/>
      <c r="AE112" s="110"/>
      <c r="AF112" s="111"/>
      <c r="AG112" s="110"/>
      <c r="AH112" s="110"/>
      <c r="AI112" s="252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  <c r="BB112" s="32">
        <f t="shared" si="71"/>
        <v>0</v>
      </c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 ht="13.8">
      <c r="A113" s="102"/>
      <c r="B113" s="103" t="s">
        <v>154</v>
      </c>
      <c r="C113" s="158"/>
      <c r="D113" s="158"/>
      <c r="E113" s="158"/>
      <c r="F113" s="158"/>
      <c r="G113" s="158"/>
      <c r="H113" s="158"/>
      <c r="I113" s="158"/>
      <c r="J113" s="158"/>
      <c r="K113" s="158">
        <f>K112</f>
        <v>0</v>
      </c>
      <c r="L113" s="158"/>
      <c r="M113" s="158">
        <f t="shared" ref="M113:N113" si="155">M112</f>
        <v>0</v>
      </c>
      <c r="N113" s="158">
        <f t="shared" si="155"/>
        <v>0</v>
      </c>
      <c r="O113" s="158"/>
      <c r="P113" s="158">
        <f t="shared" ref="P113:Q113" si="156">P112</f>
        <v>0</v>
      </c>
      <c r="Q113" s="158">
        <f t="shared" si="156"/>
        <v>0</v>
      </c>
      <c r="R113" s="158"/>
      <c r="S113" s="158">
        <f>S112</f>
        <v>0</v>
      </c>
      <c r="T113" s="158"/>
      <c r="U113" s="158"/>
      <c r="V113" s="158">
        <f t="shared" ref="V113:W113" si="157">V112</f>
        <v>0</v>
      </c>
      <c r="W113" s="158">
        <f t="shared" si="157"/>
        <v>0</v>
      </c>
      <c r="X113" s="158"/>
      <c r="Y113" s="158">
        <f t="shared" ref="Y113:Z113" si="158">Y112</f>
        <v>0</v>
      </c>
      <c r="Z113" s="158">
        <f t="shared" si="158"/>
        <v>0</v>
      </c>
      <c r="AA113" s="184"/>
      <c r="AB113" s="184"/>
      <c r="AC113" s="184"/>
      <c r="AD113" s="158">
        <f t="shared" ref="AD113:AG113" si="159">AD112</f>
        <v>0</v>
      </c>
      <c r="AE113" s="158">
        <f t="shared" si="159"/>
        <v>0</v>
      </c>
      <c r="AF113" s="158">
        <f t="shared" si="159"/>
        <v>0</v>
      </c>
      <c r="AG113" s="158">
        <f t="shared" si="159"/>
        <v>0</v>
      </c>
      <c r="AH113" s="158"/>
      <c r="AI113" s="184">
        <f t="shared" ref="AI113:AN113" si="160">AI112</f>
        <v>0</v>
      </c>
      <c r="AJ113" s="158">
        <f t="shared" si="160"/>
        <v>0</v>
      </c>
      <c r="AK113" s="158">
        <f t="shared" si="160"/>
        <v>0</v>
      </c>
      <c r="AL113" s="158">
        <f t="shared" si="160"/>
        <v>0</v>
      </c>
      <c r="AM113" s="158">
        <f t="shared" si="160"/>
        <v>0</v>
      </c>
      <c r="AN113" s="158">
        <f t="shared" si="160"/>
        <v>0</v>
      </c>
      <c r="AO113" s="158"/>
      <c r="AP113" s="158"/>
      <c r="AQ113" s="158"/>
      <c r="AR113" s="158"/>
      <c r="AS113" s="158">
        <f t="shared" ref="AS113:AV113" si="161">AS112</f>
        <v>0</v>
      </c>
      <c r="AT113" s="158">
        <f t="shared" si="161"/>
        <v>0</v>
      </c>
      <c r="AU113" s="158">
        <f t="shared" si="161"/>
        <v>0</v>
      </c>
      <c r="AV113" s="158">
        <f t="shared" si="161"/>
        <v>0</v>
      </c>
      <c r="AW113" s="158"/>
      <c r="AX113" s="158">
        <f t="shared" ref="AX113:BA113" si="162">AX112</f>
        <v>0</v>
      </c>
      <c r="AY113" s="158">
        <f t="shared" si="162"/>
        <v>0</v>
      </c>
      <c r="AZ113" s="158">
        <f t="shared" si="162"/>
        <v>0</v>
      </c>
      <c r="BA113" s="158">
        <f t="shared" si="162"/>
        <v>0</v>
      </c>
      <c r="BB113" s="32">
        <f t="shared" si="71"/>
        <v>0</v>
      </c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 ht="13.8">
      <c r="A114" s="108"/>
      <c r="B114" s="7" t="s">
        <v>155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250"/>
      <c r="AB114" s="250"/>
      <c r="AC114" s="250"/>
      <c r="AD114" s="8"/>
      <c r="AE114" s="8"/>
      <c r="AF114" s="8"/>
      <c r="AG114" s="8"/>
      <c r="AH114" s="8"/>
      <c r="AI114" s="250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9"/>
      <c r="AY114" s="9"/>
      <c r="AZ114" s="9"/>
      <c r="BA114" s="9"/>
      <c r="BB114" s="32">
        <f t="shared" si="71"/>
        <v>0</v>
      </c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 ht="13.8">
      <c r="A115" s="180">
        <v>1</v>
      </c>
      <c r="B115" s="286" t="s">
        <v>156</v>
      </c>
      <c r="C115" s="35" t="s">
        <v>40</v>
      </c>
      <c r="D115" s="164" t="s">
        <v>48</v>
      </c>
      <c r="E115" s="134">
        <v>8700</v>
      </c>
      <c r="F115" s="135">
        <v>46054</v>
      </c>
      <c r="G115" s="110">
        <f t="shared" ref="G115:G116" si="163">E115/2</f>
        <v>4350</v>
      </c>
      <c r="H115" s="109">
        <v>22</v>
      </c>
      <c r="I115" s="173" t="s">
        <v>37</v>
      </c>
      <c r="J115" s="40"/>
      <c r="K115" s="40"/>
      <c r="L115" s="109">
        <v>200</v>
      </c>
      <c r="M115" s="110">
        <f t="shared" ref="M115:M117" si="164">K115*L115</f>
        <v>0</v>
      </c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416">
        <v>1260</v>
      </c>
      <c r="AA115" s="408">
        <v>1948.05</v>
      </c>
      <c r="AB115" s="53"/>
      <c r="AC115" s="152"/>
      <c r="AD115" s="109"/>
      <c r="AE115" s="110"/>
      <c r="AF115" s="22">
        <f t="shared" ref="AF115:AF116" si="165">M115+P115+S115+V115+Y115</f>
        <v>0</v>
      </c>
      <c r="AG115" s="97"/>
      <c r="AH115" s="258">
        <v>6421.43</v>
      </c>
      <c r="AI115" s="50"/>
      <c r="AJ115" s="25">
        <f>AH115+AI115+Z115+AA115</f>
        <v>9629.48</v>
      </c>
      <c r="AK115" s="26">
        <f t="shared" ref="AK115:AK117" si="166">AJ115*23%</f>
        <v>2214.7804000000001</v>
      </c>
      <c r="AL115" s="51">
        <v>1822.86</v>
      </c>
      <c r="AM115" s="52"/>
      <c r="AN115" s="52"/>
      <c r="AO115" s="53"/>
      <c r="AP115" s="53"/>
      <c r="AQ115" s="48"/>
      <c r="AR115" s="407">
        <f>1500+970.2</f>
        <v>2470.1999999999998</v>
      </c>
      <c r="AS115" s="51">
        <v>3121.64</v>
      </c>
      <c r="AT115" s="27">
        <f t="shared" ref="AT115:AT117" si="167">AJ115-AK115-AL115-AS115-AN115-AQ115-AM115-AR115</f>
        <v>-3.9999999944484443E-4</v>
      </c>
      <c r="AU115" s="28">
        <f t="shared" ref="AU115:AU117" si="168">AL115+AM115+AN115+AQ115+AS115+AR115</f>
        <v>7414.7</v>
      </c>
      <c r="AV115" s="181"/>
      <c r="AW115" s="181"/>
      <c r="AX115" s="28">
        <f t="shared" ref="AX115:AX117" si="169">AJ115*23%</f>
        <v>2214.7804000000001</v>
      </c>
      <c r="AY115" s="29">
        <f t="shared" ref="AY115:AY117" si="170">AJ115*H115%</f>
        <v>2118.4856</v>
      </c>
      <c r="AZ115" s="30">
        <f t="shared" ref="AZ115:AZ117" si="171">AX115+AY115</f>
        <v>4333.2659999999996</v>
      </c>
      <c r="BA115" s="31">
        <f t="shared" ref="BA115:BA117" si="172">AZ115-AY115-AK115</f>
        <v>0</v>
      </c>
      <c r="BB115" s="56">
        <f t="shared" si="71"/>
        <v>-3.9999999989959178E-4</v>
      </c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 ht="13.8">
      <c r="A116" s="180">
        <v>2</v>
      </c>
      <c r="B116" s="286" t="s">
        <v>157</v>
      </c>
      <c r="C116" s="35" t="s">
        <v>40</v>
      </c>
      <c r="D116" s="134" t="s">
        <v>52</v>
      </c>
      <c r="E116" s="134">
        <v>8700</v>
      </c>
      <c r="F116" s="135">
        <v>46054</v>
      </c>
      <c r="G116" s="110">
        <f t="shared" si="163"/>
        <v>4350</v>
      </c>
      <c r="H116" s="109">
        <v>22</v>
      </c>
      <c r="I116" s="109" t="s">
        <v>41</v>
      </c>
      <c r="J116" s="40"/>
      <c r="K116" s="40"/>
      <c r="L116" s="109">
        <v>200</v>
      </c>
      <c r="M116" s="110">
        <f t="shared" si="164"/>
        <v>0</v>
      </c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51"/>
      <c r="AB116" s="51"/>
      <c r="AC116" s="152"/>
      <c r="AD116" s="110"/>
      <c r="AE116" s="110"/>
      <c r="AF116" s="22">
        <f t="shared" si="165"/>
        <v>0</v>
      </c>
      <c r="AG116" s="97"/>
      <c r="AH116" s="258">
        <v>4350</v>
      </c>
      <c r="AI116" s="50"/>
      <c r="AJ116" s="25">
        <f t="shared" ref="AJ116:AJ117" si="173">AH116+AI116</f>
        <v>4350</v>
      </c>
      <c r="AK116" s="26">
        <f t="shared" si="166"/>
        <v>1000.5</v>
      </c>
      <c r="AL116" s="51">
        <v>1754.5</v>
      </c>
      <c r="AM116" s="52"/>
      <c r="AN116" s="52"/>
      <c r="AO116" s="53"/>
      <c r="AP116" s="53"/>
      <c r="AQ116" s="53"/>
      <c r="AR116" s="51"/>
      <c r="AS116" s="51">
        <v>1595</v>
      </c>
      <c r="AT116" s="27">
        <f t="shared" si="167"/>
        <v>0</v>
      </c>
      <c r="AU116" s="28">
        <f t="shared" si="168"/>
        <v>3349.5</v>
      </c>
      <c r="AV116" s="181"/>
      <c r="AW116" s="181"/>
      <c r="AX116" s="28">
        <f t="shared" si="169"/>
        <v>1000.5</v>
      </c>
      <c r="AY116" s="29">
        <f t="shared" si="170"/>
        <v>957</v>
      </c>
      <c r="AZ116" s="30">
        <f t="shared" si="171"/>
        <v>1957.5</v>
      </c>
      <c r="BA116" s="31">
        <f t="shared" si="172"/>
        <v>0</v>
      </c>
      <c r="BB116" s="56">
        <f t="shared" si="71"/>
        <v>0</v>
      </c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 ht="27.6">
      <c r="A117" s="180">
        <v>3</v>
      </c>
      <c r="B117" s="287" t="s">
        <v>158</v>
      </c>
      <c r="C117" s="35" t="s">
        <v>40</v>
      </c>
      <c r="D117" s="134" t="s">
        <v>105</v>
      </c>
      <c r="E117" s="134">
        <v>8700</v>
      </c>
      <c r="F117" s="135">
        <v>46054</v>
      </c>
      <c r="G117" s="109">
        <v>4350</v>
      </c>
      <c r="H117" s="109">
        <v>22</v>
      </c>
      <c r="I117" s="109" t="s">
        <v>41</v>
      </c>
      <c r="J117" s="109">
        <v>3330</v>
      </c>
      <c r="K117" s="110"/>
      <c r="L117" s="109">
        <v>200</v>
      </c>
      <c r="M117" s="110">
        <f t="shared" si="164"/>
        <v>0</v>
      </c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51"/>
      <c r="AB117" s="51"/>
      <c r="AC117" s="152"/>
      <c r="AD117" s="110"/>
      <c r="AE117" s="110"/>
      <c r="AF117" s="22"/>
      <c r="AG117" s="110"/>
      <c r="AH117" s="92">
        <v>4586.74</v>
      </c>
      <c r="AI117" s="50"/>
      <c r="AJ117" s="25">
        <f t="shared" si="173"/>
        <v>4586.74</v>
      </c>
      <c r="AK117" s="26">
        <f t="shared" si="166"/>
        <v>1054.9502</v>
      </c>
      <c r="AL117" s="109">
        <v>851.36</v>
      </c>
      <c r="AM117" s="110"/>
      <c r="AN117" s="110"/>
      <c r="AO117" s="53"/>
      <c r="AP117" s="53"/>
      <c r="AQ117" s="48"/>
      <c r="AR117" s="97"/>
      <c r="AS117" s="40">
        <v>2680.43</v>
      </c>
      <c r="AT117" s="27">
        <f t="shared" si="167"/>
        <v>-2.0000000040454324E-4</v>
      </c>
      <c r="AU117" s="28">
        <f t="shared" si="168"/>
        <v>3531.79</v>
      </c>
      <c r="AV117" s="181"/>
      <c r="AW117" s="181"/>
      <c r="AX117" s="28">
        <f t="shared" si="169"/>
        <v>1054.9502</v>
      </c>
      <c r="AY117" s="29">
        <f t="shared" si="170"/>
        <v>1009.0827999999999</v>
      </c>
      <c r="AZ117" s="30">
        <f t="shared" si="171"/>
        <v>2064.0329999999999</v>
      </c>
      <c r="BA117" s="31">
        <f t="shared" si="172"/>
        <v>0</v>
      </c>
      <c r="BB117" s="56">
        <f t="shared" si="71"/>
        <v>-2.0000000040454324E-4</v>
      </c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 ht="13.8">
      <c r="A118" s="102"/>
      <c r="B118" s="103" t="s">
        <v>159</v>
      </c>
      <c r="C118" s="158"/>
      <c r="D118" s="158"/>
      <c r="E118" s="158"/>
      <c r="F118" s="158"/>
      <c r="G118" s="158"/>
      <c r="H118" s="158"/>
      <c r="I118" s="158"/>
      <c r="J118" s="105"/>
      <c r="K118" s="105">
        <f>SUM(K115:K117)</f>
        <v>0</v>
      </c>
      <c r="L118" s="105"/>
      <c r="M118" s="105">
        <f t="shared" ref="M118:N118" si="174">SUM(M115:M117)</f>
        <v>0</v>
      </c>
      <c r="N118" s="105">
        <f t="shared" si="174"/>
        <v>0</v>
      </c>
      <c r="O118" s="105"/>
      <c r="P118" s="105">
        <f t="shared" ref="P118:Q118" si="175">SUM(P115:P117)</f>
        <v>0</v>
      </c>
      <c r="Q118" s="105">
        <f t="shared" si="175"/>
        <v>0</v>
      </c>
      <c r="R118" s="105"/>
      <c r="S118" s="105">
        <f>SUM(S115:S117)</f>
        <v>0</v>
      </c>
      <c r="T118" s="105"/>
      <c r="U118" s="105"/>
      <c r="V118" s="105">
        <f t="shared" ref="V118:W118" si="176">SUM(V115:V117)</f>
        <v>0</v>
      </c>
      <c r="W118" s="105">
        <f t="shared" si="176"/>
        <v>0</v>
      </c>
      <c r="X118" s="105"/>
      <c r="Y118" s="105">
        <f t="shared" ref="Y118:Z118" si="177">SUM(Y115:Y117)</f>
        <v>0</v>
      </c>
      <c r="Z118" s="105">
        <f t="shared" si="177"/>
        <v>1260</v>
      </c>
      <c r="AA118" s="106"/>
      <c r="AB118" s="106"/>
      <c r="AC118" s="106">
        <f t="shared" ref="AC118:BA118" si="178">SUM(AC115:AC117)</f>
        <v>0</v>
      </c>
      <c r="AD118" s="105">
        <f t="shared" si="178"/>
        <v>0</v>
      </c>
      <c r="AE118" s="105">
        <f t="shared" si="178"/>
        <v>0</v>
      </c>
      <c r="AF118" s="106">
        <f t="shared" si="178"/>
        <v>0</v>
      </c>
      <c r="AG118" s="105">
        <f t="shared" si="178"/>
        <v>0</v>
      </c>
      <c r="AH118" s="106">
        <f t="shared" si="178"/>
        <v>15358.17</v>
      </c>
      <c r="AI118" s="106">
        <f t="shared" si="178"/>
        <v>0</v>
      </c>
      <c r="AJ118" s="106">
        <f t="shared" si="178"/>
        <v>18566.22</v>
      </c>
      <c r="AK118" s="106">
        <f t="shared" si="178"/>
        <v>4270.2305999999999</v>
      </c>
      <c r="AL118" s="106">
        <f t="shared" si="178"/>
        <v>4428.7199999999993</v>
      </c>
      <c r="AM118" s="106">
        <f t="shared" si="178"/>
        <v>0</v>
      </c>
      <c r="AN118" s="106">
        <f t="shared" si="178"/>
        <v>0</v>
      </c>
      <c r="AO118" s="106">
        <f t="shared" si="178"/>
        <v>0</v>
      </c>
      <c r="AP118" s="106">
        <f t="shared" si="178"/>
        <v>0</v>
      </c>
      <c r="AQ118" s="106">
        <f t="shared" si="178"/>
        <v>0</v>
      </c>
      <c r="AR118" s="106">
        <f t="shared" si="178"/>
        <v>2470.1999999999998</v>
      </c>
      <c r="AS118" s="106">
        <f t="shared" si="178"/>
        <v>7397.07</v>
      </c>
      <c r="AT118" s="106">
        <f t="shared" si="178"/>
        <v>-5.9999999984938768E-4</v>
      </c>
      <c r="AU118" s="106">
        <f t="shared" si="178"/>
        <v>14295.990000000002</v>
      </c>
      <c r="AV118" s="182">
        <f t="shared" si="178"/>
        <v>0</v>
      </c>
      <c r="AW118" s="182">
        <f t="shared" si="178"/>
        <v>0</v>
      </c>
      <c r="AX118" s="106">
        <f t="shared" si="178"/>
        <v>4270.2305999999999</v>
      </c>
      <c r="AY118" s="106">
        <f t="shared" si="178"/>
        <v>4084.5684000000001</v>
      </c>
      <c r="AZ118" s="106">
        <f t="shared" si="178"/>
        <v>8354.7989999999991</v>
      </c>
      <c r="BA118" s="106">
        <f t="shared" si="178"/>
        <v>0</v>
      </c>
      <c r="BB118" s="56">
        <f t="shared" si="71"/>
        <v>-5.9999999939464033E-4</v>
      </c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 ht="13.8">
      <c r="A119" s="108"/>
      <c r="B119" s="7" t="s">
        <v>160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250"/>
      <c r="AB119" s="250"/>
      <c r="AC119" s="250"/>
      <c r="AD119" s="8"/>
      <c r="AE119" s="8"/>
      <c r="AF119" s="8"/>
      <c r="AG119" s="8"/>
      <c r="AH119" s="8"/>
      <c r="AI119" s="250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9"/>
      <c r="AY119" s="9"/>
      <c r="AZ119" s="9"/>
      <c r="BA119" s="9"/>
      <c r="BB119" s="32">
        <f t="shared" si="71"/>
        <v>0</v>
      </c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 ht="13.8">
      <c r="A120" s="183">
        <v>1</v>
      </c>
      <c r="B120" s="288" t="s">
        <v>161</v>
      </c>
      <c r="C120" s="35" t="s">
        <v>40</v>
      </c>
      <c r="D120" s="134" t="s">
        <v>162</v>
      </c>
      <c r="E120" s="77">
        <v>8700</v>
      </c>
      <c r="F120" s="160">
        <v>46113</v>
      </c>
      <c r="G120" s="42">
        <f>8647/4</f>
        <v>2161.75</v>
      </c>
      <c r="H120" s="109">
        <v>22</v>
      </c>
      <c r="I120" s="109" t="s">
        <v>41</v>
      </c>
      <c r="J120" s="110"/>
      <c r="K120" s="109"/>
      <c r="L120" s="109">
        <v>200</v>
      </c>
      <c r="M120" s="110">
        <f>K120*L120</f>
        <v>0</v>
      </c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252"/>
      <c r="AB120" s="252"/>
      <c r="AC120" s="252"/>
      <c r="AD120" s="110"/>
      <c r="AE120" s="110"/>
      <c r="AF120" s="22">
        <f>M120+P120+S120+V120+Y120</f>
        <v>0</v>
      </c>
      <c r="AG120" s="110"/>
      <c r="AH120" s="258">
        <v>10373.08</v>
      </c>
      <c r="AI120" s="50"/>
      <c r="AJ120" s="25">
        <f>AH120+AI120</f>
        <v>10373.08</v>
      </c>
      <c r="AK120" s="26">
        <f>AJ120*23%</f>
        <v>2385.8083999999999</v>
      </c>
      <c r="AL120" s="109">
        <v>3864.81</v>
      </c>
      <c r="AM120" s="110"/>
      <c r="AN120" s="110"/>
      <c r="AO120" s="110"/>
      <c r="AP120" s="53"/>
      <c r="AQ120" s="110"/>
      <c r="AR120" s="110"/>
      <c r="AS120" s="109">
        <v>4122.46</v>
      </c>
      <c r="AT120" s="27">
        <f>AJ120-AK120-AL120-AS120-AN120-AQ120-AM120-AR120</f>
        <v>1.6000000005078618E-3</v>
      </c>
      <c r="AU120" s="28">
        <f>AL120+AM120+AN120+AQ120+AS120+AR120</f>
        <v>7987.27</v>
      </c>
      <c r="AV120" s="110"/>
      <c r="AW120" s="110"/>
      <c r="AX120" s="28">
        <f>AJ120*23%</f>
        <v>2385.8083999999999</v>
      </c>
      <c r="AY120" s="29">
        <f>AJ120*H120%</f>
        <v>2282.0776000000001</v>
      </c>
      <c r="AZ120" s="30">
        <f>AX120+AY120</f>
        <v>4667.8860000000004</v>
      </c>
      <c r="BA120" s="110"/>
      <c r="BB120" s="56">
        <f t="shared" si="71"/>
        <v>1.5999999995983671E-3</v>
      </c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 ht="13.8">
      <c r="A121" s="102"/>
      <c r="B121" s="103" t="s">
        <v>163</v>
      </c>
      <c r="C121" s="158"/>
      <c r="D121" s="158"/>
      <c r="E121" s="158"/>
      <c r="F121" s="158"/>
      <c r="G121" s="158"/>
      <c r="H121" s="158"/>
      <c r="I121" s="158"/>
      <c r="J121" s="158"/>
      <c r="K121" s="158">
        <f t="shared" ref="K121:S121" si="179">K120</f>
        <v>0</v>
      </c>
      <c r="L121" s="158">
        <f t="shared" si="179"/>
        <v>200</v>
      </c>
      <c r="M121" s="158">
        <f t="shared" si="179"/>
        <v>0</v>
      </c>
      <c r="N121" s="158">
        <f t="shared" si="179"/>
        <v>0</v>
      </c>
      <c r="O121" s="158">
        <f t="shared" si="179"/>
        <v>0</v>
      </c>
      <c r="P121" s="158">
        <f t="shared" si="179"/>
        <v>0</v>
      </c>
      <c r="Q121" s="158">
        <f t="shared" si="179"/>
        <v>0</v>
      </c>
      <c r="R121" s="158">
        <f t="shared" si="179"/>
        <v>0</v>
      </c>
      <c r="S121" s="158">
        <f t="shared" si="179"/>
        <v>0</v>
      </c>
      <c r="T121" s="158"/>
      <c r="U121" s="158"/>
      <c r="V121" s="158">
        <f t="shared" ref="V121:Z121" si="180">V120</f>
        <v>0</v>
      </c>
      <c r="W121" s="158">
        <f t="shared" si="180"/>
        <v>0</v>
      </c>
      <c r="X121" s="158">
        <f t="shared" si="180"/>
        <v>0</v>
      </c>
      <c r="Y121" s="158">
        <f t="shared" si="180"/>
        <v>0</v>
      </c>
      <c r="Z121" s="158">
        <f t="shared" si="180"/>
        <v>0</v>
      </c>
      <c r="AA121" s="184"/>
      <c r="AB121" s="184"/>
      <c r="AC121" s="184">
        <f t="shared" ref="AC121:AV121" si="181">AC120</f>
        <v>0</v>
      </c>
      <c r="AD121" s="158">
        <f t="shared" si="181"/>
        <v>0</v>
      </c>
      <c r="AE121" s="158">
        <f t="shared" si="181"/>
        <v>0</v>
      </c>
      <c r="AF121" s="184">
        <f t="shared" si="181"/>
        <v>0</v>
      </c>
      <c r="AG121" s="158">
        <f t="shared" si="181"/>
        <v>0</v>
      </c>
      <c r="AH121" s="184">
        <f t="shared" si="181"/>
        <v>10373.08</v>
      </c>
      <c r="AI121" s="184">
        <f t="shared" si="181"/>
        <v>0</v>
      </c>
      <c r="AJ121" s="184">
        <f t="shared" si="181"/>
        <v>10373.08</v>
      </c>
      <c r="AK121" s="184">
        <f t="shared" si="181"/>
        <v>2385.8083999999999</v>
      </c>
      <c r="AL121" s="158">
        <f t="shared" si="181"/>
        <v>3864.81</v>
      </c>
      <c r="AM121" s="158">
        <f t="shared" si="181"/>
        <v>0</v>
      </c>
      <c r="AN121" s="158">
        <f t="shared" si="181"/>
        <v>0</v>
      </c>
      <c r="AO121" s="158">
        <f t="shared" si="181"/>
        <v>0</v>
      </c>
      <c r="AP121" s="184">
        <f t="shared" si="181"/>
        <v>0</v>
      </c>
      <c r="AQ121" s="158">
        <f t="shared" si="181"/>
        <v>0</v>
      </c>
      <c r="AR121" s="158">
        <f t="shared" si="181"/>
        <v>0</v>
      </c>
      <c r="AS121" s="158">
        <f t="shared" si="181"/>
        <v>4122.46</v>
      </c>
      <c r="AT121" s="184">
        <f t="shared" si="181"/>
        <v>1.6000000005078618E-3</v>
      </c>
      <c r="AU121" s="184">
        <f t="shared" si="181"/>
        <v>7987.27</v>
      </c>
      <c r="AV121" s="158">
        <f t="shared" si="181"/>
        <v>0</v>
      </c>
      <c r="AW121" s="158"/>
      <c r="AX121" s="184">
        <f t="shared" ref="AX121:BA121" si="182">AX120</f>
        <v>2385.8083999999999</v>
      </c>
      <c r="AY121" s="184">
        <f t="shared" si="182"/>
        <v>2282.0776000000001</v>
      </c>
      <c r="AZ121" s="184">
        <f t="shared" si="182"/>
        <v>4667.8860000000004</v>
      </c>
      <c r="BA121" s="158">
        <f t="shared" si="182"/>
        <v>0</v>
      </c>
      <c r="BB121" s="56">
        <f t="shared" si="71"/>
        <v>1.5999999995983671E-3</v>
      </c>
      <c r="BC121" s="158">
        <f t="shared" ref="BC121:BN121" si="183">BC120</f>
        <v>0</v>
      </c>
      <c r="BD121" s="158">
        <f t="shared" si="183"/>
        <v>0</v>
      </c>
      <c r="BE121" s="158">
        <f t="shared" si="183"/>
        <v>0</v>
      </c>
      <c r="BF121" s="158">
        <f t="shared" si="183"/>
        <v>0</v>
      </c>
      <c r="BG121" s="158">
        <f t="shared" si="183"/>
        <v>0</v>
      </c>
      <c r="BH121" s="158">
        <f t="shared" si="183"/>
        <v>0</v>
      </c>
      <c r="BI121" s="158">
        <f t="shared" si="183"/>
        <v>0</v>
      </c>
      <c r="BJ121" s="158">
        <f t="shared" si="183"/>
        <v>0</v>
      </c>
      <c r="BK121" s="158">
        <f t="shared" si="183"/>
        <v>0</v>
      </c>
      <c r="BL121" s="158">
        <f t="shared" si="183"/>
        <v>0</v>
      </c>
      <c r="BM121" s="158">
        <f t="shared" si="183"/>
        <v>0</v>
      </c>
      <c r="BN121" s="158">
        <f t="shared" si="183"/>
        <v>0</v>
      </c>
      <c r="BO121" s="359"/>
      <c r="BP121" s="359"/>
      <c r="BQ121" s="359"/>
      <c r="BR121" s="359"/>
    </row>
    <row r="122" spans="1:70" ht="13.8">
      <c r="A122" s="108"/>
      <c r="B122" s="7" t="s">
        <v>164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250"/>
      <c r="AB122" s="250"/>
      <c r="AC122" s="250"/>
      <c r="AD122" s="8"/>
      <c r="AE122" s="8"/>
      <c r="AF122" s="8"/>
      <c r="AG122" s="8"/>
      <c r="AH122" s="8"/>
      <c r="AI122" s="250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9"/>
      <c r="AY122" s="9"/>
      <c r="AZ122" s="9"/>
      <c r="BA122" s="9"/>
      <c r="BB122" s="32">
        <f t="shared" si="71"/>
        <v>0</v>
      </c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 ht="13.8">
      <c r="A123" s="180">
        <v>1</v>
      </c>
      <c r="B123" s="286" t="s">
        <v>165</v>
      </c>
      <c r="C123" s="35" t="s">
        <v>40</v>
      </c>
      <c r="D123" s="134" t="s">
        <v>52</v>
      </c>
      <c r="E123" s="134">
        <v>8700</v>
      </c>
      <c r="F123" s="134">
        <v>1</v>
      </c>
      <c r="G123" s="109">
        <v>8700</v>
      </c>
      <c r="H123" s="109">
        <v>22</v>
      </c>
      <c r="I123" s="109" t="s">
        <v>41</v>
      </c>
      <c r="J123" s="40"/>
      <c r="K123" s="40"/>
      <c r="L123" s="109">
        <v>200</v>
      </c>
      <c r="M123" s="110">
        <f t="shared" ref="M123:M126" si="184">K123*L123</f>
        <v>0</v>
      </c>
      <c r="N123" s="110"/>
      <c r="O123" s="110"/>
      <c r="P123" s="110"/>
      <c r="Q123" s="109">
        <v>2</v>
      </c>
      <c r="R123" s="109">
        <v>500</v>
      </c>
      <c r="S123" s="110">
        <f>Q123*R123</f>
        <v>1000</v>
      </c>
      <c r="T123" s="110"/>
      <c r="U123" s="110"/>
      <c r="V123" s="110"/>
      <c r="W123" s="110"/>
      <c r="X123" s="110"/>
      <c r="Y123" s="110"/>
      <c r="Z123" s="416">
        <v>1500</v>
      </c>
      <c r="AA123" s="408">
        <v>1948.05</v>
      </c>
      <c r="AB123" s="53"/>
      <c r="AC123" s="326"/>
      <c r="AD123" s="109"/>
      <c r="AE123" s="110"/>
      <c r="AF123" s="22">
        <f t="shared" ref="AF123:AF126" si="185">M123+P123+S123+V123+Y123</f>
        <v>1000</v>
      </c>
      <c r="AG123" s="97"/>
      <c r="AH123" s="258">
        <v>7397.96</v>
      </c>
      <c r="AI123" s="50">
        <f>(AQ123*100)/77</f>
        <v>1298.7012987012988</v>
      </c>
      <c r="AJ123" s="25">
        <f t="shared" ref="AJ123:AJ126" si="186">AH123+AI123+Z123+AA123</f>
        <v>12144.711298701299</v>
      </c>
      <c r="AK123" s="26">
        <f t="shared" ref="AK123:AK128" si="187">AJ123*23%</f>
        <v>2793.2835987012991</v>
      </c>
      <c r="AL123" s="51">
        <v>2050.7199999999998</v>
      </c>
      <c r="AM123" s="52"/>
      <c r="AN123" s="52"/>
      <c r="AO123" s="53"/>
      <c r="AP123" s="53"/>
      <c r="AQ123" s="49">
        <f>AF123</f>
        <v>1000</v>
      </c>
      <c r="AR123" s="408">
        <f>785.4+1500</f>
        <v>2285.4</v>
      </c>
      <c r="AS123" s="51">
        <v>4015.31</v>
      </c>
      <c r="AT123" s="27">
        <f t="shared" ref="AT123:AT128" si="188">AJ123-AK123-AL123-AS123-AN123-AQ123-AM123-AR123</f>
        <v>-2.2999999991952791E-3</v>
      </c>
      <c r="AU123" s="28">
        <f t="shared" ref="AU123:AU128" si="189">AL123+AM123+AN123+AQ123+AS123+AR123</f>
        <v>9351.43</v>
      </c>
      <c r="AV123" s="110"/>
      <c r="AW123" s="110"/>
      <c r="AX123" s="28">
        <f t="shared" ref="AX123:AX128" si="190">AJ123*23%</f>
        <v>2793.2835987012991</v>
      </c>
      <c r="AY123" s="29">
        <f t="shared" ref="AY123:AY128" si="191">AJ123*H123%</f>
        <v>2671.8364857142856</v>
      </c>
      <c r="AZ123" s="30">
        <f t="shared" ref="AZ123:AZ128" si="192">AX123+AY123</f>
        <v>5465.1200844155846</v>
      </c>
      <c r="BA123" s="31">
        <f t="shared" ref="BA123:BA128" si="193">AZ123-AY123-AK123</f>
        <v>0</v>
      </c>
      <c r="BB123" s="56">
        <f t="shared" si="71"/>
        <v>-2.3000000001047738E-3</v>
      </c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 ht="13.8">
      <c r="A124" s="185">
        <f t="shared" ref="A124:A128" si="194">A123+1</f>
        <v>2</v>
      </c>
      <c r="B124" s="289" t="s">
        <v>166</v>
      </c>
      <c r="C124" s="35" t="s">
        <v>40</v>
      </c>
      <c r="D124" s="173" t="s">
        <v>93</v>
      </c>
      <c r="E124" s="77">
        <v>8700</v>
      </c>
      <c r="F124" s="160">
        <v>46113</v>
      </c>
      <c r="G124" s="42">
        <f t="shared" ref="G124:G126" si="195">8700/4</f>
        <v>2175</v>
      </c>
      <c r="H124" s="109">
        <v>22</v>
      </c>
      <c r="I124" s="109" t="s">
        <v>41</v>
      </c>
      <c r="J124" s="110"/>
      <c r="K124" s="110"/>
      <c r="L124" s="109">
        <v>200</v>
      </c>
      <c r="M124" s="110">
        <f t="shared" si="184"/>
        <v>0</v>
      </c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43"/>
      <c r="Y124" s="43"/>
      <c r="Z124" s="416">
        <v>1260</v>
      </c>
      <c r="AA124" s="407">
        <v>1948.05</v>
      </c>
      <c r="AB124" s="252"/>
      <c r="AC124" s="252"/>
      <c r="AD124" s="110"/>
      <c r="AE124" s="43"/>
      <c r="AF124" s="22">
        <f t="shared" si="185"/>
        <v>0</v>
      </c>
      <c r="AG124" s="110"/>
      <c r="AH124" s="258">
        <v>2259.7399999999998</v>
      </c>
      <c r="AI124" s="50">
        <f>(AP124*100)/77</f>
        <v>0</v>
      </c>
      <c r="AJ124" s="25">
        <f t="shared" si="186"/>
        <v>5467.79</v>
      </c>
      <c r="AK124" s="26">
        <f t="shared" si="187"/>
        <v>1257.5916999999999</v>
      </c>
      <c r="AL124" s="51">
        <v>911.43</v>
      </c>
      <c r="AM124" s="52"/>
      <c r="AN124" s="52"/>
      <c r="AO124" s="53"/>
      <c r="AP124" s="53"/>
      <c r="AQ124" s="53"/>
      <c r="AR124" s="407">
        <v>2470.1999999999998</v>
      </c>
      <c r="AS124" s="51">
        <v>828.57</v>
      </c>
      <c r="AT124" s="27">
        <f t="shared" si="188"/>
        <v>-1.6999999998006388E-3</v>
      </c>
      <c r="AU124" s="28">
        <f t="shared" si="189"/>
        <v>4210.2</v>
      </c>
      <c r="AV124" s="110"/>
      <c r="AW124" s="110"/>
      <c r="AX124" s="28">
        <f t="shared" si="190"/>
        <v>1257.5916999999999</v>
      </c>
      <c r="AY124" s="29">
        <f t="shared" si="191"/>
        <v>1202.9138</v>
      </c>
      <c r="AZ124" s="30">
        <f t="shared" si="192"/>
        <v>2460.5055000000002</v>
      </c>
      <c r="BA124" s="31">
        <f t="shared" si="193"/>
        <v>0</v>
      </c>
      <c r="BB124" s="56">
        <f t="shared" si="71"/>
        <v>-1.6999999998006388E-3</v>
      </c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 ht="13.8">
      <c r="A125" s="185">
        <f t="shared" si="194"/>
        <v>3</v>
      </c>
      <c r="B125" s="282" t="s">
        <v>167</v>
      </c>
      <c r="C125" s="35" t="s">
        <v>40</v>
      </c>
      <c r="D125" s="173" t="s">
        <v>44</v>
      </c>
      <c r="E125" s="77">
        <v>8700</v>
      </c>
      <c r="F125" s="160">
        <v>46113</v>
      </c>
      <c r="G125" s="42">
        <f t="shared" si="195"/>
        <v>2175</v>
      </c>
      <c r="H125" s="109">
        <v>22</v>
      </c>
      <c r="I125" s="109" t="s">
        <v>41</v>
      </c>
      <c r="J125" s="110"/>
      <c r="K125" s="109"/>
      <c r="L125" s="109">
        <v>200</v>
      </c>
      <c r="M125" s="110">
        <f t="shared" si="184"/>
        <v>0</v>
      </c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43"/>
      <c r="Y125" s="43"/>
      <c r="Z125" s="407">
        <v>1560</v>
      </c>
      <c r="AA125" s="408">
        <v>1948.05</v>
      </c>
      <c r="AB125" s="252"/>
      <c r="AC125" s="252"/>
      <c r="AD125" s="110"/>
      <c r="AE125" s="43"/>
      <c r="AF125" s="22">
        <f t="shared" si="185"/>
        <v>0</v>
      </c>
      <c r="AG125" s="110"/>
      <c r="AH125" s="258">
        <v>2730.24</v>
      </c>
      <c r="AI125" s="50">
        <f>(AQ125*100)/77</f>
        <v>1298.7012987012988</v>
      </c>
      <c r="AJ125" s="25">
        <f t="shared" si="186"/>
        <v>7536.9912987012985</v>
      </c>
      <c r="AK125" s="26">
        <f t="shared" si="187"/>
        <v>1733.5079987012987</v>
      </c>
      <c r="AL125" s="51">
        <v>1051.1400000000001</v>
      </c>
      <c r="AM125" s="52"/>
      <c r="AN125" s="52"/>
      <c r="AO125" s="53"/>
      <c r="AP125" s="53"/>
      <c r="AQ125" s="49">
        <v>1000</v>
      </c>
      <c r="AR125" s="407">
        <v>2701.2</v>
      </c>
      <c r="AS125" s="51">
        <v>1051.1400000000001</v>
      </c>
      <c r="AT125" s="27">
        <f t="shared" si="188"/>
        <v>3.2999999993990059E-3</v>
      </c>
      <c r="AU125" s="28">
        <f t="shared" si="189"/>
        <v>5803.4800000000005</v>
      </c>
      <c r="AV125" s="110"/>
      <c r="AW125" s="110"/>
      <c r="AX125" s="28">
        <f t="shared" si="190"/>
        <v>1733.5079987012987</v>
      </c>
      <c r="AY125" s="29">
        <f t="shared" si="191"/>
        <v>1658.1380857142856</v>
      </c>
      <c r="AZ125" s="30">
        <f t="shared" si="192"/>
        <v>3391.6460844155845</v>
      </c>
      <c r="BA125" s="31">
        <f t="shared" si="193"/>
        <v>0</v>
      </c>
      <c r="BB125" s="56">
        <f t="shared" si="71"/>
        <v>3.2999999993990059E-3</v>
      </c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 ht="13.8">
      <c r="A126" s="185">
        <f t="shared" si="194"/>
        <v>4</v>
      </c>
      <c r="B126" s="282" t="s">
        <v>168</v>
      </c>
      <c r="C126" s="35" t="s">
        <v>40</v>
      </c>
      <c r="D126" s="173" t="s">
        <v>44</v>
      </c>
      <c r="E126" s="77">
        <v>8700</v>
      </c>
      <c r="F126" s="160">
        <v>46113</v>
      </c>
      <c r="G126" s="42">
        <f t="shared" si="195"/>
        <v>2175</v>
      </c>
      <c r="H126" s="109">
        <v>22</v>
      </c>
      <c r="I126" s="109" t="s">
        <v>41</v>
      </c>
      <c r="J126" s="110"/>
      <c r="K126" s="110"/>
      <c r="L126" s="109">
        <v>200</v>
      </c>
      <c r="M126" s="110">
        <f t="shared" si="184"/>
        <v>0</v>
      </c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43"/>
      <c r="Y126" s="43"/>
      <c r="Z126" s="416">
        <v>1520</v>
      </c>
      <c r="AA126" s="407">
        <v>1948.05</v>
      </c>
      <c r="AB126" s="252"/>
      <c r="AC126" s="252"/>
      <c r="AD126" s="110"/>
      <c r="AE126" s="43"/>
      <c r="AF126" s="22">
        <f t="shared" si="185"/>
        <v>0</v>
      </c>
      <c r="AG126" s="110"/>
      <c r="AH126" s="258">
        <v>2730.24</v>
      </c>
      <c r="AI126" s="50">
        <f>(AP126*100)/77</f>
        <v>0</v>
      </c>
      <c r="AJ126" s="25">
        <f t="shared" si="186"/>
        <v>6198.29</v>
      </c>
      <c r="AK126" s="26">
        <f t="shared" si="187"/>
        <v>1425.6067</v>
      </c>
      <c r="AL126" s="51">
        <v>1051.1400000000001</v>
      </c>
      <c r="AM126" s="52"/>
      <c r="AN126" s="52"/>
      <c r="AO126" s="53"/>
      <c r="AP126" s="53"/>
      <c r="AQ126" s="53"/>
      <c r="AR126" s="407">
        <v>2670.39</v>
      </c>
      <c r="AS126" s="51">
        <v>1051.1500000000001</v>
      </c>
      <c r="AT126" s="27">
        <f t="shared" si="188"/>
        <v>3.2999999993990059E-3</v>
      </c>
      <c r="AU126" s="28">
        <f t="shared" si="189"/>
        <v>4772.68</v>
      </c>
      <c r="AV126" s="110"/>
      <c r="AW126" s="110"/>
      <c r="AX126" s="28">
        <f t="shared" si="190"/>
        <v>1425.6067</v>
      </c>
      <c r="AY126" s="29">
        <f t="shared" si="191"/>
        <v>1363.6238000000001</v>
      </c>
      <c r="AZ126" s="30">
        <f t="shared" si="192"/>
        <v>2789.2305000000001</v>
      </c>
      <c r="BA126" s="31">
        <f t="shared" si="193"/>
        <v>0</v>
      </c>
      <c r="BB126" s="56">
        <f t="shared" si="71"/>
        <v>3.2999999993990059E-3</v>
      </c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 ht="13.8">
      <c r="A127" s="185">
        <f t="shared" si="194"/>
        <v>5</v>
      </c>
      <c r="B127" s="284" t="s">
        <v>169</v>
      </c>
      <c r="C127" s="35" t="s">
        <v>40</v>
      </c>
      <c r="D127" s="173" t="s">
        <v>105</v>
      </c>
      <c r="E127" s="77">
        <v>8700</v>
      </c>
      <c r="F127" s="160">
        <v>46054</v>
      </c>
      <c r="G127" s="42">
        <f>E127/2</f>
        <v>4350</v>
      </c>
      <c r="H127" s="109">
        <v>22</v>
      </c>
      <c r="I127" s="109" t="s">
        <v>41</v>
      </c>
      <c r="J127" s="109">
        <v>3330</v>
      </c>
      <c r="K127" s="110"/>
      <c r="L127" s="109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43"/>
      <c r="Y127" s="43"/>
      <c r="Z127" s="43"/>
      <c r="AA127" s="51"/>
      <c r="AB127" s="51"/>
      <c r="AC127" s="152"/>
      <c r="AD127" s="110"/>
      <c r="AE127" s="43"/>
      <c r="AF127" s="22"/>
      <c r="AG127" s="43"/>
      <c r="AH127" s="92">
        <v>4586.74</v>
      </c>
      <c r="AI127" s="76"/>
      <c r="AJ127" s="25">
        <f t="shared" ref="AJ127:AJ128" si="196">AH127+AI127</f>
        <v>4586.74</v>
      </c>
      <c r="AK127" s="26">
        <f t="shared" si="187"/>
        <v>1054.9502</v>
      </c>
      <c r="AL127" s="109">
        <v>851.36</v>
      </c>
      <c r="AM127" s="173"/>
      <c r="AN127" s="43"/>
      <c r="AO127" s="53"/>
      <c r="AP127" s="53"/>
      <c r="AQ127" s="48"/>
      <c r="AR127" s="97"/>
      <c r="AS127" s="40">
        <v>2680.43</v>
      </c>
      <c r="AT127" s="27">
        <f t="shared" si="188"/>
        <v>-2.0000000040454324E-4</v>
      </c>
      <c r="AU127" s="28">
        <f t="shared" si="189"/>
        <v>3531.79</v>
      </c>
      <c r="AV127" s="110"/>
      <c r="AW127" s="110"/>
      <c r="AX127" s="28">
        <f t="shared" si="190"/>
        <v>1054.9502</v>
      </c>
      <c r="AY127" s="29">
        <f t="shared" si="191"/>
        <v>1009.0827999999999</v>
      </c>
      <c r="AZ127" s="30">
        <f t="shared" si="192"/>
        <v>2064.0329999999999</v>
      </c>
      <c r="BA127" s="31">
        <f t="shared" si="193"/>
        <v>0</v>
      </c>
      <c r="BB127" s="56">
        <f t="shared" si="71"/>
        <v>-2.0000000040454324E-4</v>
      </c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 ht="13.8">
      <c r="A128" s="185">
        <f t="shared" si="194"/>
        <v>6</v>
      </c>
      <c r="B128" s="290" t="s">
        <v>170</v>
      </c>
      <c r="C128" s="35" t="s">
        <v>40</v>
      </c>
      <c r="D128" s="173" t="s">
        <v>105</v>
      </c>
      <c r="E128" s="77">
        <v>8700</v>
      </c>
      <c r="F128" s="160">
        <v>46113</v>
      </c>
      <c r="G128" s="42">
        <f>8700/4</f>
        <v>2175</v>
      </c>
      <c r="H128" s="109">
        <v>22</v>
      </c>
      <c r="I128" s="173" t="s">
        <v>37</v>
      </c>
      <c r="J128" s="97"/>
      <c r="K128" s="110"/>
      <c r="L128" s="109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43"/>
      <c r="Y128" s="43"/>
      <c r="Z128" s="43"/>
      <c r="AA128" s="252"/>
      <c r="AB128" s="252"/>
      <c r="AC128" s="252"/>
      <c r="AD128" s="110"/>
      <c r="AE128" s="43"/>
      <c r="AF128" s="22"/>
      <c r="AG128" s="110"/>
      <c r="AH128" s="266">
        <v>2285.0300000000002</v>
      </c>
      <c r="AI128" s="76"/>
      <c r="AJ128" s="25">
        <f t="shared" si="196"/>
        <v>2285.0300000000002</v>
      </c>
      <c r="AK128" s="26">
        <f t="shared" si="187"/>
        <v>525.55690000000004</v>
      </c>
      <c r="AL128" s="109">
        <v>851.36</v>
      </c>
      <c r="AM128" s="173"/>
      <c r="AN128" s="43"/>
      <c r="AO128" s="53"/>
      <c r="AP128" s="53"/>
      <c r="AQ128" s="53"/>
      <c r="AR128" s="97"/>
      <c r="AS128" s="40">
        <v>908.11</v>
      </c>
      <c r="AT128" s="27">
        <f t="shared" si="188"/>
        <v>3.100000000131331E-3</v>
      </c>
      <c r="AU128" s="28">
        <f t="shared" si="189"/>
        <v>1759.47</v>
      </c>
      <c r="AV128" s="110"/>
      <c r="AW128" s="110"/>
      <c r="AX128" s="28">
        <f t="shared" si="190"/>
        <v>525.55690000000004</v>
      </c>
      <c r="AY128" s="29">
        <f t="shared" si="191"/>
        <v>502.70660000000004</v>
      </c>
      <c r="AZ128" s="30">
        <f t="shared" si="192"/>
        <v>1028.2635</v>
      </c>
      <c r="BA128" s="31">
        <f t="shared" si="193"/>
        <v>0</v>
      </c>
      <c r="BB128" s="56">
        <f t="shared" si="71"/>
        <v>3.100000000131331E-3</v>
      </c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 ht="27.6">
      <c r="A129" s="102"/>
      <c r="B129" s="103" t="s">
        <v>171</v>
      </c>
      <c r="C129" s="158"/>
      <c r="D129" s="158"/>
      <c r="E129" s="158"/>
      <c r="F129" s="158"/>
      <c r="G129" s="158"/>
      <c r="H129" s="158"/>
      <c r="I129" s="158"/>
      <c r="J129" s="105"/>
      <c r="K129" s="105">
        <f>SUM(K123:K128)</f>
        <v>0</v>
      </c>
      <c r="L129" s="105"/>
      <c r="M129" s="105">
        <f t="shared" ref="M129:N129" si="197">SUM(M123:M128)</f>
        <v>0</v>
      </c>
      <c r="N129" s="105">
        <f t="shared" si="197"/>
        <v>0</v>
      </c>
      <c r="O129" s="105"/>
      <c r="P129" s="105">
        <f t="shared" ref="P129:Q129" si="198">SUM(P123:P128)</f>
        <v>0</v>
      </c>
      <c r="Q129" s="105">
        <f t="shared" si="198"/>
        <v>2</v>
      </c>
      <c r="R129" s="105"/>
      <c r="S129" s="105">
        <f>SUM(S123:S128)</f>
        <v>1000</v>
      </c>
      <c r="T129" s="105"/>
      <c r="U129" s="105"/>
      <c r="V129" s="105">
        <f t="shared" ref="V129:W129" si="199">SUM(V123:V128)</f>
        <v>0</v>
      </c>
      <c r="W129" s="105">
        <f t="shared" si="199"/>
        <v>0</v>
      </c>
      <c r="X129" s="105"/>
      <c r="Y129" s="105">
        <f t="shared" ref="Y129:Z129" si="200">SUM(Y123:Y128)</f>
        <v>0</v>
      </c>
      <c r="Z129" s="105">
        <f t="shared" si="200"/>
        <v>5840</v>
      </c>
      <c r="AA129" s="106"/>
      <c r="AB129" s="106"/>
      <c r="AC129" s="106">
        <f t="shared" ref="AC129:BA129" si="201">SUM(AC123:AC128)</f>
        <v>0</v>
      </c>
      <c r="AD129" s="105">
        <f t="shared" si="201"/>
        <v>0</v>
      </c>
      <c r="AE129" s="105">
        <f t="shared" si="201"/>
        <v>0</v>
      </c>
      <c r="AF129" s="106">
        <f t="shared" si="201"/>
        <v>1000</v>
      </c>
      <c r="AG129" s="105">
        <f t="shared" si="201"/>
        <v>0</v>
      </c>
      <c r="AH129" s="106">
        <f t="shared" si="201"/>
        <v>21989.949999999997</v>
      </c>
      <c r="AI129" s="106">
        <f t="shared" si="201"/>
        <v>2597.4025974025976</v>
      </c>
      <c r="AJ129" s="106">
        <f t="shared" si="201"/>
        <v>38219.552597402595</v>
      </c>
      <c r="AK129" s="106">
        <f t="shared" si="201"/>
        <v>8790.4970974025964</v>
      </c>
      <c r="AL129" s="106">
        <f t="shared" si="201"/>
        <v>6767.15</v>
      </c>
      <c r="AM129" s="106">
        <f t="shared" si="201"/>
        <v>0</v>
      </c>
      <c r="AN129" s="106">
        <f t="shared" si="201"/>
        <v>0</v>
      </c>
      <c r="AO129" s="106">
        <f t="shared" si="201"/>
        <v>0</v>
      </c>
      <c r="AP129" s="106">
        <f t="shared" si="201"/>
        <v>0</v>
      </c>
      <c r="AQ129" s="106">
        <f t="shared" si="201"/>
        <v>2000</v>
      </c>
      <c r="AR129" s="106">
        <f t="shared" si="201"/>
        <v>10127.19</v>
      </c>
      <c r="AS129" s="106">
        <f t="shared" si="201"/>
        <v>10534.710000000001</v>
      </c>
      <c r="AT129" s="106">
        <f t="shared" si="201"/>
        <v>5.4999999995288817E-3</v>
      </c>
      <c r="AU129" s="106">
        <f t="shared" si="201"/>
        <v>29429.050000000003</v>
      </c>
      <c r="AV129" s="105">
        <f t="shared" si="201"/>
        <v>0</v>
      </c>
      <c r="AW129" s="105">
        <f t="shared" si="201"/>
        <v>0</v>
      </c>
      <c r="AX129" s="106">
        <f t="shared" si="201"/>
        <v>8790.4970974025964</v>
      </c>
      <c r="AY129" s="106">
        <f t="shared" si="201"/>
        <v>8408.3015714285721</v>
      </c>
      <c r="AZ129" s="106">
        <f t="shared" si="201"/>
        <v>17198.798668831168</v>
      </c>
      <c r="BA129" s="106">
        <f t="shared" si="201"/>
        <v>0</v>
      </c>
      <c r="BB129" s="56">
        <f t="shared" si="71"/>
        <v>5.4999999956635293E-3</v>
      </c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 ht="13.8">
      <c r="A130" s="108"/>
      <c r="B130" s="186" t="s">
        <v>172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250"/>
      <c r="AB130" s="250"/>
      <c r="AC130" s="250"/>
      <c r="AD130" s="8"/>
      <c r="AE130" s="8"/>
      <c r="AF130" s="8"/>
      <c r="AG130" s="8"/>
      <c r="AH130" s="8"/>
      <c r="AI130" s="250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9"/>
      <c r="AY130" s="9"/>
      <c r="AZ130" s="9"/>
      <c r="BA130" s="9"/>
      <c r="BB130" s="32">
        <f t="shared" si="71"/>
        <v>0</v>
      </c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 ht="27.6">
      <c r="A131" s="187">
        <v>1</v>
      </c>
      <c r="B131" s="291" t="s">
        <v>173</v>
      </c>
      <c r="C131" s="35" t="s">
        <v>40</v>
      </c>
      <c r="D131" s="109" t="s">
        <v>80</v>
      </c>
      <c r="E131" s="77">
        <v>8700</v>
      </c>
      <c r="F131" s="160">
        <v>46113</v>
      </c>
      <c r="G131" s="42">
        <f>8700/4</f>
        <v>2175</v>
      </c>
      <c r="H131" s="109">
        <v>22</v>
      </c>
      <c r="I131" s="110"/>
      <c r="J131" s="110"/>
      <c r="K131" s="109"/>
      <c r="L131" s="109">
        <v>200</v>
      </c>
      <c r="M131" s="110">
        <f>K131*L131</f>
        <v>0</v>
      </c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407">
        <v>1560</v>
      </c>
      <c r="AA131" s="408">
        <v>1948.05</v>
      </c>
      <c r="AB131" s="252"/>
      <c r="AC131" s="252"/>
      <c r="AD131" s="110"/>
      <c r="AE131" s="110"/>
      <c r="AF131" s="22">
        <f>M131+P131+S131+V131+Y131</f>
        <v>0</v>
      </c>
      <c r="AG131" s="110"/>
      <c r="AH131" s="258">
        <v>2730.24</v>
      </c>
      <c r="AI131" s="50">
        <f>(AP131*100)/77</f>
        <v>0</v>
      </c>
      <c r="AJ131" s="25">
        <f>AH131+AI131+Z131+AA131</f>
        <v>6238.29</v>
      </c>
      <c r="AK131" s="26">
        <f>AJ131*23%</f>
        <v>1434.8067000000001</v>
      </c>
      <c r="AL131" s="109">
        <v>1051.1400000000001</v>
      </c>
      <c r="AM131" s="110"/>
      <c r="AN131" s="110"/>
      <c r="AO131" s="110"/>
      <c r="AP131" s="53"/>
      <c r="AQ131" s="110"/>
      <c r="AR131" s="416">
        <v>2701.19</v>
      </c>
      <c r="AS131" s="109">
        <v>1051.1500000000001</v>
      </c>
      <c r="AT131" s="27">
        <f>AJ131-AK131-AL131-AS131-AN131-AQ131-AM131-AR131</f>
        <v>3.2999999993990059E-3</v>
      </c>
      <c r="AU131" s="28">
        <f>AL131+AM131+AN131+AQ131+AS131+AR131</f>
        <v>4803.4799999999996</v>
      </c>
      <c r="AV131" s="110"/>
      <c r="AW131" s="110"/>
      <c r="AX131" s="28">
        <f>AJ131*23%</f>
        <v>1434.8067000000001</v>
      </c>
      <c r="AY131" s="29">
        <f>AJ131*H131%</f>
        <v>1372.4238</v>
      </c>
      <c r="AZ131" s="30">
        <f>AX131+AY131</f>
        <v>2807.2305000000001</v>
      </c>
      <c r="BA131" s="31">
        <f>AZ131-AY131-AK131</f>
        <v>0</v>
      </c>
      <c r="BB131" s="56">
        <f t="shared" si="71"/>
        <v>3.3000000003085006E-3</v>
      </c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 ht="13.8">
      <c r="A132" s="188"/>
      <c r="B132" s="189" t="s">
        <v>174</v>
      </c>
      <c r="C132" s="417"/>
      <c r="D132" s="158"/>
      <c r="E132" s="158"/>
      <c r="F132" s="158"/>
      <c r="G132" s="158"/>
      <c r="H132" s="158"/>
      <c r="I132" s="158"/>
      <c r="J132" s="158"/>
      <c r="K132" s="158">
        <f>K131</f>
        <v>0</v>
      </c>
      <c r="L132" s="158"/>
      <c r="M132" s="158">
        <f t="shared" ref="M132:N132" si="202">M131</f>
        <v>0</v>
      </c>
      <c r="N132" s="158">
        <f t="shared" si="202"/>
        <v>0</v>
      </c>
      <c r="O132" s="158"/>
      <c r="P132" s="158">
        <f t="shared" ref="P132:Q132" si="203">P131</f>
        <v>0</v>
      </c>
      <c r="Q132" s="158">
        <f t="shared" si="203"/>
        <v>0</v>
      </c>
      <c r="R132" s="158"/>
      <c r="S132" s="158">
        <f>S131</f>
        <v>0</v>
      </c>
      <c r="T132" s="158"/>
      <c r="U132" s="158"/>
      <c r="V132" s="158">
        <f t="shared" ref="V132:W132" si="204">V131</f>
        <v>0</v>
      </c>
      <c r="W132" s="158">
        <f t="shared" si="204"/>
        <v>0</v>
      </c>
      <c r="X132" s="158"/>
      <c r="Y132" s="158">
        <f t="shared" ref="Y132:Z132" si="205">Y131</f>
        <v>0</v>
      </c>
      <c r="Z132" s="184">
        <f t="shared" si="205"/>
        <v>1560</v>
      </c>
      <c r="AA132" s="184"/>
      <c r="AB132" s="184"/>
      <c r="AC132" s="184"/>
      <c r="AD132" s="158">
        <f t="shared" ref="AD132:AG132" si="206">AD131</f>
        <v>0</v>
      </c>
      <c r="AE132" s="158">
        <f t="shared" si="206"/>
        <v>0</v>
      </c>
      <c r="AF132" s="184">
        <f t="shared" si="206"/>
        <v>0</v>
      </c>
      <c r="AG132" s="158">
        <f t="shared" si="206"/>
        <v>0</v>
      </c>
      <c r="AH132" s="158"/>
      <c r="AI132" s="184">
        <f t="shared" ref="AI132:AO132" si="207">AI131</f>
        <v>0</v>
      </c>
      <c r="AJ132" s="184">
        <f t="shared" si="207"/>
        <v>6238.29</v>
      </c>
      <c r="AK132" s="184">
        <f t="shared" si="207"/>
        <v>1434.8067000000001</v>
      </c>
      <c r="AL132" s="158">
        <f t="shared" si="207"/>
        <v>1051.1400000000001</v>
      </c>
      <c r="AM132" s="158">
        <f t="shared" si="207"/>
        <v>0</v>
      </c>
      <c r="AN132" s="158">
        <f t="shared" si="207"/>
        <v>0</v>
      </c>
      <c r="AO132" s="158">
        <f t="shared" si="207"/>
        <v>0</v>
      </c>
      <c r="AP132" s="158"/>
      <c r="AQ132" s="158">
        <f t="shared" ref="AQ132:AV132" si="208">AQ131</f>
        <v>0</v>
      </c>
      <c r="AR132" s="158">
        <f t="shared" si="208"/>
        <v>2701.19</v>
      </c>
      <c r="AS132" s="158">
        <f t="shared" si="208"/>
        <v>1051.1500000000001</v>
      </c>
      <c r="AT132" s="184">
        <f t="shared" si="208"/>
        <v>3.2999999993990059E-3</v>
      </c>
      <c r="AU132" s="184">
        <f t="shared" si="208"/>
        <v>4803.4799999999996</v>
      </c>
      <c r="AV132" s="158">
        <f t="shared" si="208"/>
        <v>0</v>
      </c>
      <c r="AW132" s="158"/>
      <c r="AX132" s="184">
        <f t="shared" ref="AX132:BA132" si="209">AX131</f>
        <v>1434.8067000000001</v>
      </c>
      <c r="AY132" s="184">
        <f t="shared" si="209"/>
        <v>1372.4238</v>
      </c>
      <c r="AZ132" s="190">
        <f t="shared" si="209"/>
        <v>2807.2305000000001</v>
      </c>
      <c r="BA132" s="184">
        <f t="shared" si="209"/>
        <v>0</v>
      </c>
      <c r="BB132" s="56">
        <f t="shared" si="71"/>
        <v>3.3000000003085006E-3</v>
      </c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 ht="31.2">
      <c r="A133" s="188"/>
      <c r="B133" s="191" t="s">
        <v>175</v>
      </c>
      <c r="C133" s="418"/>
      <c r="D133" s="158"/>
      <c r="E133" s="158"/>
      <c r="F133" s="158"/>
      <c r="G133" s="158"/>
      <c r="H133" s="158"/>
      <c r="I133" s="158"/>
      <c r="J133" s="114"/>
      <c r="K133" s="114">
        <f>K132+K129+K121+K118+K113+K110+K106+K90</f>
        <v>0</v>
      </c>
      <c r="L133" s="114"/>
      <c r="M133" s="114">
        <f t="shared" ref="M133:N133" si="210">M132+M129+M121+M118+M113+M110+M106+M90</f>
        <v>0</v>
      </c>
      <c r="N133" s="114">
        <f t="shared" si="210"/>
        <v>0</v>
      </c>
      <c r="O133" s="114"/>
      <c r="P133" s="114">
        <f t="shared" ref="P133:Q133" si="211">P132+P129+P121+P118+P113+P110+P106+P90</f>
        <v>0</v>
      </c>
      <c r="Q133" s="114">
        <f t="shared" si="211"/>
        <v>28</v>
      </c>
      <c r="R133" s="114"/>
      <c r="S133" s="114">
        <f>S132+S129+S121+S118+S113+S110+S106+S90</f>
        <v>14000</v>
      </c>
      <c r="T133" s="114"/>
      <c r="U133" s="114"/>
      <c r="V133" s="114">
        <f t="shared" ref="V133:W133" si="212">V132+V129+V121+V118+V113+V110+V106+V90</f>
        <v>0</v>
      </c>
      <c r="W133" s="114">
        <f t="shared" si="212"/>
        <v>443</v>
      </c>
      <c r="X133" s="114"/>
      <c r="Y133" s="114">
        <f t="shared" ref="Y133:Z133" si="213">Y132+Y129+Y121+Y118+Y113+Y110+Y106+Y90</f>
        <v>70880</v>
      </c>
      <c r="Z133" s="115">
        <f t="shared" si="213"/>
        <v>31780</v>
      </c>
      <c r="AA133" s="115"/>
      <c r="AB133" s="115"/>
      <c r="AC133" s="115">
        <f t="shared" ref="AC133:BA133" si="214">AC132+AC129+AC121+AC118+AC113+AC110+AC106+AC90</f>
        <v>129206</v>
      </c>
      <c r="AD133" s="114">
        <f t="shared" si="214"/>
        <v>3449.04</v>
      </c>
      <c r="AE133" s="115">
        <f t="shared" si="214"/>
        <v>4948.96</v>
      </c>
      <c r="AF133" s="115">
        <f t="shared" si="214"/>
        <v>86380</v>
      </c>
      <c r="AG133" s="115">
        <f t="shared" si="214"/>
        <v>0</v>
      </c>
      <c r="AH133" s="115">
        <f t="shared" si="214"/>
        <v>483733.69000000006</v>
      </c>
      <c r="AI133" s="115">
        <f t="shared" si="214"/>
        <v>21428.571428571428</v>
      </c>
      <c r="AJ133" s="115">
        <f t="shared" si="214"/>
        <v>727364.54142857157</v>
      </c>
      <c r="AK133" s="115">
        <f t="shared" si="214"/>
        <v>167293.84452857141</v>
      </c>
      <c r="AL133" s="115">
        <f t="shared" si="214"/>
        <v>171359.11000000002</v>
      </c>
      <c r="AM133" s="115">
        <f t="shared" si="214"/>
        <v>0</v>
      </c>
      <c r="AN133" s="115">
        <f t="shared" si="214"/>
        <v>3140.9</v>
      </c>
      <c r="AO133" s="115">
        <f t="shared" si="214"/>
        <v>3810.57</v>
      </c>
      <c r="AP133" s="115">
        <f t="shared" si="214"/>
        <v>6100</v>
      </c>
      <c r="AQ133" s="115">
        <f t="shared" si="214"/>
        <v>135291.76999999999</v>
      </c>
      <c r="AR133" s="115">
        <f t="shared" si="214"/>
        <v>54100.950000000012</v>
      </c>
      <c r="AS133" s="115">
        <f t="shared" si="214"/>
        <v>186267.38</v>
      </c>
      <c r="AT133" s="115">
        <f t="shared" si="214"/>
        <v>1.6899999985184877E-2</v>
      </c>
      <c r="AU133" s="115">
        <f t="shared" si="214"/>
        <v>560070.68000000005</v>
      </c>
      <c r="AV133" s="192">
        <f t="shared" si="214"/>
        <v>0</v>
      </c>
      <c r="AW133" s="192">
        <f t="shared" si="214"/>
        <v>0</v>
      </c>
      <c r="AX133" s="115">
        <f t="shared" si="214"/>
        <v>167293.84452857141</v>
      </c>
      <c r="AY133" s="115">
        <f t="shared" si="214"/>
        <v>149927.31381428574</v>
      </c>
      <c r="AZ133" s="115">
        <f t="shared" si="214"/>
        <v>317221.15834285715</v>
      </c>
      <c r="BA133" s="115">
        <f t="shared" si="214"/>
        <v>0</v>
      </c>
      <c r="BB133" s="56">
        <f t="shared" si="71"/>
        <v>1.6900000046007335E-2</v>
      </c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 ht="13.8">
      <c r="A134" s="193"/>
      <c r="B134" s="194"/>
      <c r="C134" s="294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295"/>
      <c r="AB134" s="295"/>
      <c r="AC134" s="295"/>
      <c r="AD134" s="195"/>
      <c r="AE134" s="195"/>
      <c r="AF134" s="195"/>
      <c r="AG134" s="195"/>
      <c r="AH134" s="195"/>
      <c r="AI134" s="295"/>
      <c r="AJ134" s="195"/>
      <c r="AK134" s="195"/>
      <c r="AL134" s="195"/>
      <c r="AM134" s="195"/>
      <c r="AN134" s="195"/>
      <c r="AO134" s="195"/>
      <c r="AP134" s="195"/>
      <c r="AQ134" s="195"/>
      <c r="AR134" s="195"/>
      <c r="AS134" s="195"/>
      <c r="AT134" s="195"/>
      <c r="AU134" s="195"/>
      <c r="AV134" s="195"/>
      <c r="AW134" s="195"/>
      <c r="AX134" s="196"/>
      <c r="AY134" s="110"/>
      <c r="AZ134" s="110"/>
      <c r="BA134" s="110"/>
      <c r="BB134" s="32">
        <f t="shared" si="71"/>
        <v>0</v>
      </c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 ht="13.8">
      <c r="A135" s="124"/>
      <c r="B135" s="125" t="s">
        <v>176</v>
      </c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254"/>
      <c r="AB135" s="254"/>
      <c r="AC135" s="254"/>
      <c r="AD135" s="126"/>
      <c r="AE135" s="126"/>
      <c r="AF135" s="126"/>
      <c r="AG135" s="126"/>
      <c r="AH135" s="126"/>
      <c r="AI135" s="254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26"/>
      <c r="AV135" s="126"/>
      <c r="AW135" s="126"/>
      <c r="AX135" s="127"/>
      <c r="AY135" s="127"/>
      <c r="AZ135" s="127"/>
      <c r="BA135" s="127"/>
      <c r="BB135" s="32">
        <f t="shared" si="71"/>
        <v>0</v>
      </c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 ht="13.8">
      <c r="A136" s="108"/>
      <c r="B136" s="7" t="s">
        <v>177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250"/>
      <c r="AB136" s="250"/>
      <c r="AC136" s="250"/>
      <c r="AD136" s="8"/>
      <c r="AE136" s="8"/>
      <c r="AF136" s="8"/>
      <c r="AG136" s="8"/>
      <c r="AH136" s="8"/>
      <c r="AI136" s="250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9"/>
      <c r="AY136" s="9"/>
      <c r="AZ136" s="9"/>
      <c r="BA136" s="9"/>
      <c r="BB136" s="32">
        <f t="shared" si="71"/>
        <v>0</v>
      </c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 ht="13.8">
      <c r="A137" s="197"/>
      <c r="B137" s="198"/>
      <c r="C137" s="110"/>
      <c r="D137" s="110"/>
      <c r="E137" s="110"/>
      <c r="F137" s="110"/>
      <c r="G137" s="110"/>
      <c r="H137" s="110"/>
      <c r="I137" s="110"/>
      <c r="J137" s="110"/>
      <c r="K137" s="110"/>
      <c r="L137" s="109">
        <v>200</v>
      </c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252"/>
      <c r="AB137" s="252"/>
      <c r="AC137" s="252"/>
      <c r="AD137" s="110"/>
      <c r="AE137" s="110"/>
      <c r="AF137" s="22">
        <f t="shared" ref="AF137:AF138" si="215">M137+P137+S137+V137+Y137</f>
        <v>0</v>
      </c>
      <c r="AG137" s="110"/>
      <c r="AH137" s="110"/>
      <c r="AI137" s="252"/>
      <c r="AJ137" s="25">
        <f t="shared" ref="AJ137:AJ138" si="216">AH137+AI137</f>
        <v>0</v>
      </c>
      <c r="AK137" s="26">
        <f t="shared" ref="AK137:AK138" si="217">AJ137*23%</f>
        <v>0</v>
      </c>
      <c r="AL137" s="110"/>
      <c r="AM137" s="110"/>
      <c r="AN137" s="110"/>
      <c r="AO137" s="110"/>
      <c r="AP137" s="110"/>
      <c r="AQ137" s="110"/>
      <c r="AR137" s="110"/>
      <c r="AS137" s="110"/>
      <c r="AT137" s="27">
        <f t="shared" ref="AT137:AT138" si="218">AJ137-AK137-AL137-AS137-AN137-AQ137-AM137</f>
        <v>0</v>
      </c>
      <c r="AU137" s="28">
        <f t="shared" ref="AU137:AU138" si="219">AL137+AM137+AN137+AQ137+AS137+AR137</f>
        <v>0</v>
      </c>
      <c r="AV137" s="110"/>
      <c r="AW137" s="110"/>
      <c r="AX137" s="28">
        <f t="shared" ref="AX137:AX138" si="220">AJ137*23%</f>
        <v>0</v>
      </c>
      <c r="AY137" s="29">
        <f t="shared" ref="AY137:AY138" si="221">AJ137*H137%</f>
        <v>0</v>
      </c>
      <c r="AZ137" s="30">
        <f t="shared" ref="AZ137:AZ138" si="222">AX137+AY137</f>
        <v>0</v>
      </c>
      <c r="BA137" s="110"/>
      <c r="BB137" s="56">
        <f t="shared" si="71"/>
        <v>0</v>
      </c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 ht="13.8">
      <c r="A138" s="197"/>
      <c r="B138" s="198"/>
      <c r="C138" s="110"/>
      <c r="D138" s="110"/>
      <c r="E138" s="110"/>
      <c r="F138" s="110"/>
      <c r="G138" s="110"/>
      <c r="H138" s="110"/>
      <c r="I138" s="110"/>
      <c r="J138" s="110"/>
      <c r="K138" s="110"/>
      <c r="L138" s="109">
        <v>200</v>
      </c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252"/>
      <c r="AB138" s="252"/>
      <c r="AC138" s="252"/>
      <c r="AD138" s="110"/>
      <c r="AE138" s="110"/>
      <c r="AF138" s="22">
        <f t="shared" si="215"/>
        <v>0</v>
      </c>
      <c r="AG138" s="110"/>
      <c r="AH138" s="110"/>
      <c r="AI138" s="252"/>
      <c r="AJ138" s="25">
        <f t="shared" si="216"/>
        <v>0</v>
      </c>
      <c r="AK138" s="26">
        <f t="shared" si="217"/>
        <v>0</v>
      </c>
      <c r="AL138" s="110"/>
      <c r="AM138" s="110"/>
      <c r="AN138" s="110"/>
      <c r="AO138" s="110"/>
      <c r="AP138" s="110"/>
      <c r="AQ138" s="110"/>
      <c r="AR138" s="110"/>
      <c r="AS138" s="110"/>
      <c r="AT138" s="27">
        <f t="shared" si="218"/>
        <v>0</v>
      </c>
      <c r="AU138" s="28">
        <f t="shared" si="219"/>
        <v>0</v>
      </c>
      <c r="AV138" s="110"/>
      <c r="AW138" s="110"/>
      <c r="AX138" s="28">
        <f t="shared" si="220"/>
        <v>0</v>
      </c>
      <c r="AY138" s="29">
        <f t="shared" si="221"/>
        <v>0</v>
      </c>
      <c r="AZ138" s="30">
        <f t="shared" si="222"/>
        <v>0</v>
      </c>
      <c r="BA138" s="110"/>
      <c r="BB138" s="56">
        <f t="shared" si="71"/>
        <v>0</v>
      </c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 ht="13.8">
      <c r="A139" s="102"/>
      <c r="B139" s="103" t="s">
        <v>178</v>
      </c>
      <c r="C139" s="158"/>
      <c r="D139" s="158"/>
      <c r="E139" s="158"/>
      <c r="F139" s="158"/>
      <c r="G139" s="158"/>
      <c r="H139" s="158"/>
      <c r="I139" s="158"/>
      <c r="J139" s="104"/>
      <c r="K139" s="104">
        <f>K137+K138</f>
        <v>0</v>
      </c>
      <c r="L139" s="104"/>
      <c r="M139" s="104">
        <f t="shared" ref="M139:N139" si="223">M137+M138</f>
        <v>0</v>
      </c>
      <c r="N139" s="104">
        <f t="shared" si="223"/>
        <v>0</v>
      </c>
      <c r="O139" s="104"/>
      <c r="P139" s="104">
        <f t="shared" ref="P139:Q139" si="224">P137+P138</f>
        <v>0</v>
      </c>
      <c r="Q139" s="104">
        <f t="shared" si="224"/>
        <v>0</v>
      </c>
      <c r="R139" s="104"/>
      <c r="S139" s="104">
        <f>S137+S138</f>
        <v>0</v>
      </c>
      <c r="T139" s="104"/>
      <c r="U139" s="104"/>
      <c r="V139" s="104">
        <f t="shared" ref="V139:W139" si="225">V137+V138</f>
        <v>0</v>
      </c>
      <c r="W139" s="104">
        <f t="shared" si="225"/>
        <v>0</v>
      </c>
      <c r="X139" s="104"/>
      <c r="Y139" s="104">
        <f t="shared" ref="Y139:Z139" si="226">Y137+Y138</f>
        <v>0</v>
      </c>
      <c r="Z139" s="104">
        <f t="shared" si="226"/>
        <v>0</v>
      </c>
      <c r="AA139" s="112"/>
      <c r="AB139" s="112"/>
      <c r="AC139" s="112">
        <f t="shared" ref="AC139:BA139" si="227">AC137+AC138</f>
        <v>0</v>
      </c>
      <c r="AD139" s="104">
        <f t="shared" si="227"/>
        <v>0</v>
      </c>
      <c r="AE139" s="104">
        <f t="shared" si="227"/>
        <v>0</v>
      </c>
      <c r="AF139" s="112">
        <f t="shared" si="227"/>
        <v>0</v>
      </c>
      <c r="AG139" s="104">
        <f t="shared" si="227"/>
        <v>0</v>
      </c>
      <c r="AH139" s="104">
        <f t="shared" si="227"/>
        <v>0</v>
      </c>
      <c r="AI139" s="112">
        <f t="shared" si="227"/>
        <v>0</v>
      </c>
      <c r="AJ139" s="112">
        <f t="shared" si="227"/>
        <v>0</v>
      </c>
      <c r="AK139" s="112">
        <f t="shared" si="227"/>
        <v>0</v>
      </c>
      <c r="AL139" s="104">
        <f t="shared" si="227"/>
        <v>0</v>
      </c>
      <c r="AM139" s="104">
        <f t="shared" si="227"/>
        <v>0</v>
      </c>
      <c r="AN139" s="104">
        <f t="shared" si="227"/>
        <v>0</v>
      </c>
      <c r="AO139" s="104">
        <f t="shared" si="227"/>
        <v>0</v>
      </c>
      <c r="AP139" s="104">
        <f t="shared" si="227"/>
        <v>0</v>
      </c>
      <c r="AQ139" s="104">
        <f t="shared" si="227"/>
        <v>0</v>
      </c>
      <c r="AR139" s="104">
        <f t="shared" si="227"/>
        <v>0</v>
      </c>
      <c r="AS139" s="104">
        <f t="shared" si="227"/>
        <v>0</v>
      </c>
      <c r="AT139" s="112">
        <f t="shared" si="227"/>
        <v>0</v>
      </c>
      <c r="AU139" s="112">
        <f t="shared" si="227"/>
        <v>0</v>
      </c>
      <c r="AV139" s="104">
        <f t="shared" si="227"/>
        <v>0</v>
      </c>
      <c r="AW139" s="104">
        <f t="shared" si="227"/>
        <v>0</v>
      </c>
      <c r="AX139" s="112">
        <f t="shared" si="227"/>
        <v>0</v>
      </c>
      <c r="AY139" s="112">
        <f t="shared" si="227"/>
        <v>0</v>
      </c>
      <c r="AZ139" s="112">
        <f t="shared" si="227"/>
        <v>0</v>
      </c>
      <c r="BA139" s="104">
        <f t="shared" si="227"/>
        <v>0</v>
      </c>
      <c r="BB139" s="56">
        <f t="shared" si="71"/>
        <v>0</v>
      </c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 ht="15.6">
      <c r="A140" s="102"/>
      <c r="B140" s="103" t="s">
        <v>179</v>
      </c>
      <c r="C140" s="158"/>
      <c r="D140" s="158"/>
      <c r="E140" s="158"/>
      <c r="F140" s="158"/>
      <c r="G140" s="158"/>
      <c r="H140" s="158"/>
      <c r="I140" s="158"/>
      <c r="J140" s="114"/>
      <c r="K140" s="114">
        <f>K139</f>
        <v>0</v>
      </c>
      <c r="L140" s="114"/>
      <c r="M140" s="114">
        <f t="shared" ref="M140:N140" si="228">M139</f>
        <v>0</v>
      </c>
      <c r="N140" s="114">
        <f t="shared" si="228"/>
        <v>0</v>
      </c>
      <c r="O140" s="114"/>
      <c r="P140" s="114">
        <f t="shared" ref="P140:Q140" si="229">P139</f>
        <v>0</v>
      </c>
      <c r="Q140" s="114">
        <f t="shared" si="229"/>
        <v>0</v>
      </c>
      <c r="R140" s="114"/>
      <c r="S140" s="114">
        <f>S139</f>
        <v>0</v>
      </c>
      <c r="T140" s="114"/>
      <c r="U140" s="114"/>
      <c r="V140" s="114">
        <f t="shared" ref="V140:W140" si="230">V139</f>
        <v>0</v>
      </c>
      <c r="W140" s="114">
        <f t="shared" si="230"/>
        <v>0</v>
      </c>
      <c r="X140" s="114"/>
      <c r="Y140" s="114">
        <f t="shared" ref="Y140:Z140" si="231">Y139</f>
        <v>0</v>
      </c>
      <c r="Z140" s="114">
        <f t="shared" si="231"/>
        <v>0</v>
      </c>
      <c r="AA140" s="115"/>
      <c r="AB140" s="115"/>
      <c r="AC140" s="115">
        <f t="shared" ref="AC140:BA140" si="232">AC139</f>
        <v>0</v>
      </c>
      <c r="AD140" s="114">
        <f t="shared" si="232"/>
        <v>0</v>
      </c>
      <c r="AE140" s="114">
        <f t="shared" si="232"/>
        <v>0</v>
      </c>
      <c r="AF140" s="115">
        <f t="shared" si="232"/>
        <v>0</v>
      </c>
      <c r="AG140" s="114">
        <f t="shared" si="232"/>
        <v>0</v>
      </c>
      <c r="AH140" s="114">
        <f t="shared" si="232"/>
        <v>0</v>
      </c>
      <c r="AI140" s="115">
        <f t="shared" si="232"/>
        <v>0</v>
      </c>
      <c r="AJ140" s="115">
        <f t="shared" si="232"/>
        <v>0</v>
      </c>
      <c r="AK140" s="115">
        <f t="shared" si="232"/>
        <v>0</v>
      </c>
      <c r="AL140" s="114">
        <f t="shared" si="232"/>
        <v>0</v>
      </c>
      <c r="AM140" s="114">
        <f t="shared" si="232"/>
        <v>0</v>
      </c>
      <c r="AN140" s="114">
        <f t="shared" si="232"/>
        <v>0</v>
      </c>
      <c r="AO140" s="114">
        <f t="shared" si="232"/>
        <v>0</v>
      </c>
      <c r="AP140" s="114">
        <f t="shared" si="232"/>
        <v>0</v>
      </c>
      <c r="AQ140" s="114">
        <f t="shared" si="232"/>
        <v>0</v>
      </c>
      <c r="AR140" s="114">
        <f t="shared" si="232"/>
        <v>0</v>
      </c>
      <c r="AS140" s="114">
        <f t="shared" si="232"/>
        <v>0</v>
      </c>
      <c r="AT140" s="115">
        <f t="shared" si="232"/>
        <v>0</v>
      </c>
      <c r="AU140" s="115">
        <f t="shared" si="232"/>
        <v>0</v>
      </c>
      <c r="AV140" s="114">
        <f t="shared" si="232"/>
        <v>0</v>
      </c>
      <c r="AW140" s="114">
        <f t="shared" si="232"/>
        <v>0</v>
      </c>
      <c r="AX140" s="115">
        <f t="shared" si="232"/>
        <v>0</v>
      </c>
      <c r="AY140" s="115">
        <f t="shared" si="232"/>
        <v>0</v>
      </c>
      <c r="AZ140" s="115">
        <f t="shared" si="232"/>
        <v>0</v>
      </c>
      <c r="BA140" s="114">
        <f t="shared" si="232"/>
        <v>0</v>
      </c>
      <c r="BB140" s="56">
        <f t="shared" si="71"/>
        <v>0</v>
      </c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 ht="13.8">
      <c r="A141" s="199"/>
      <c r="B141" s="1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19"/>
      <c r="AB141" s="219"/>
      <c r="AC141" s="219"/>
      <c r="AD141" s="200"/>
      <c r="AE141" s="200"/>
      <c r="AF141" s="200"/>
      <c r="AG141" s="200"/>
      <c r="AH141" s="200"/>
      <c r="AI141" s="219"/>
      <c r="AJ141" s="200"/>
      <c r="AK141" s="200"/>
      <c r="AL141" s="200"/>
      <c r="AM141" s="200"/>
      <c r="AN141" s="200"/>
      <c r="AO141" s="200"/>
      <c r="AP141" s="200"/>
      <c r="AQ141" s="200"/>
      <c r="AR141" s="200"/>
      <c r="AS141" s="200"/>
      <c r="AT141" s="200"/>
      <c r="AU141" s="200"/>
      <c r="AV141" s="200"/>
      <c r="AW141" s="200"/>
      <c r="AX141" s="110"/>
      <c r="AY141" s="110"/>
      <c r="AZ141" s="110"/>
      <c r="BA141" s="110"/>
      <c r="BB141" s="32">
        <f t="shared" si="71"/>
        <v>0</v>
      </c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 ht="13.8">
      <c r="A142" s="124"/>
      <c r="B142" s="125" t="s">
        <v>180</v>
      </c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254"/>
      <c r="AB142" s="254"/>
      <c r="AC142" s="254"/>
      <c r="AD142" s="126"/>
      <c r="AE142" s="126"/>
      <c r="AF142" s="126"/>
      <c r="AG142" s="126"/>
      <c r="AH142" s="126"/>
      <c r="AI142" s="254"/>
      <c r="AJ142" s="126"/>
      <c r="AK142" s="126"/>
      <c r="AL142" s="126"/>
      <c r="AM142" s="126"/>
      <c r="AN142" s="126"/>
      <c r="AO142" s="126"/>
      <c r="AP142" s="126"/>
      <c r="AQ142" s="126"/>
      <c r="AR142" s="126"/>
      <c r="AS142" s="126"/>
      <c r="AT142" s="126"/>
      <c r="AU142" s="126"/>
      <c r="AV142" s="126"/>
      <c r="AW142" s="126"/>
      <c r="AX142" s="201"/>
      <c r="AY142" s="201"/>
      <c r="AZ142" s="201"/>
      <c r="BA142" s="201"/>
      <c r="BB142" s="32">
        <f t="shared" si="71"/>
        <v>0</v>
      </c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 ht="13.8">
      <c r="A143" s="108"/>
      <c r="B143" s="6" t="s">
        <v>181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296"/>
      <c r="AB143" s="296"/>
      <c r="AC143" s="296"/>
      <c r="AD143" s="10"/>
      <c r="AE143" s="10"/>
      <c r="AF143" s="10"/>
      <c r="AG143" s="10"/>
      <c r="AH143" s="10"/>
      <c r="AI143" s="296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32">
        <f t="shared" si="71"/>
        <v>0</v>
      </c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 ht="13.8">
      <c r="A144" s="180">
        <v>1</v>
      </c>
      <c r="B144" s="288" t="s">
        <v>182</v>
      </c>
      <c r="C144" s="38" t="s">
        <v>40</v>
      </c>
      <c r="D144" s="77" t="s">
        <v>87</v>
      </c>
      <c r="E144" s="77">
        <v>8700</v>
      </c>
      <c r="F144" s="134">
        <v>1</v>
      </c>
      <c r="G144" s="109">
        <v>8700</v>
      </c>
      <c r="H144" s="109">
        <v>22</v>
      </c>
      <c r="I144" s="109" t="s">
        <v>41</v>
      </c>
      <c r="J144" s="40"/>
      <c r="K144" s="40"/>
      <c r="L144" s="109">
        <v>200</v>
      </c>
      <c r="M144" s="110">
        <f t="shared" ref="M144:M146" si="233">K144*L144</f>
        <v>0</v>
      </c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252"/>
      <c r="AB144" s="252"/>
      <c r="AC144" s="252"/>
      <c r="AD144" s="110"/>
      <c r="AE144" s="110"/>
      <c r="AF144" s="22">
        <f t="shared" ref="AF144:AF145" si="234">M144+P144+S144+V144+Y144+Z144</f>
        <v>0</v>
      </c>
      <c r="AG144" s="97"/>
      <c r="AH144" s="258">
        <v>8700</v>
      </c>
      <c r="AI144" s="50"/>
      <c r="AJ144" s="25">
        <f t="shared" ref="AJ144:AJ145" si="235">AH144+AI144</f>
        <v>8700</v>
      </c>
      <c r="AK144" s="26">
        <f t="shared" ref="AK144:AK146" si="236">AJ144*23%</f>
        <v>2001</v>
      </c>
      <c r="AL144" s="51">
        <v>3349.5</v>
      </c>
      <c r="AM144" s="52"/>
      <c r="AN144" s="52"/>
      <c r="AO144" s="47"/>
      <c r="AP144" s="53"/>
      <c r="AQ144" s="53"/>
      <c r="AR144" s="51"/>
      <c r="AS144" s="51">
        <v>3349.5</v>
      </c>
      <c r="AT144" s="27">
        <f t="shared" ref="AT144:AT145" si="237">AJ144-AK144-AL144-AS144-AN144-AQ144-AM144-AO144</f>
        <v>0</v>
      </c>
      <c r="AU144" s="28">
        <f t="shared" ref="AU144:AU145" si="238">AL144+AM144+AN144+AQ144+AS144+AR144+AO144</f>
        <v>6699</v>
      </c>
      <c r="AV144" s="110"/>
      <c r="AW144" s="110"/>
      <c r="AX144" s="28">
        <f t="shared" ref="AX144:AX146" si="239">AJ144*23%</f>
        <v>2001</v>
      </c>
      <c r="AY144" s="29">
        <f t="shared" ref="AY144:AY146" si="240">AJ144*H144%</f>
        <v>1914</v>
      </c>
      <c r="AZ144" s="30">
        <f t="shared" ref="AZ144:AZ146" si="241">AX144+AY144</f>
        <v>3915</v>
      </c>
      <c r="BA144" s="31">
        <f t="shared" ref="BA144:BA146" si="242">AZ144-AY144-AK144</f>
        <v>0</v>
      </c>
      <c r="BB144" s="56">
        <f t="shared" si="71"/>
        <v>0</v>
      </c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 ht="13.8">
      <c r="A145" s="180">
        <v>2</v>
      </c>
      <c r="B145" s="297" t="s">
        <v>264</v>
      </c>
      <c r="C145" s="35" t="s">
        <v>40</v>
      </c>
      <c r="D145" s="205" t="s">
        <v>44</v>
      </c>
      <c r="E145" s="77">
        <v>8700</v>
      </c>
      <c r="F145" s="160">
        <v>46113</v>
      </c>
      <c r="G145" s="42">
        <f>8700/4</f>
        <v>2175</v>
      </c>
      <c r="H145" s="109">
        <v>22</v>
      </c>
      <c r="I145" s="109" t="s">
        <v>41</v>
      </c>
      <c r="J145" s="40"/>
      <c r="K145" s="40"/>
      <c r="L145" s="109">
        <v>200</v>
      </c>
      <c r="M145" s="110">
        <f t="shared" si="233"/>
        <v>0</v>
      </c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252"/>
      <c r="AB145" s="252"/>
      <c r="AC145" s="252"/>
      <c r="AD145" s="110"/>
      <c r="AE145" s="110"/>
      <c r="AF145" s="22">
        <f t="shared" si="234"/>
        <v>0</v>
      </c>
      <c r="AG145" s="97"/>
      <c r="AH145" s="258">
        <v>2259.7399999999998</v>
      </c>
      <c r="AI145" s="50"/>
      <c r="AJ145" s="25">
        <f t="shared" si="235"/>
        <v>2259.7399999999998</v>
      </c>
      <c r="AK145" s="26">
        <f t="shared" si="236"/>
        <v>519.74019999999996</v>
      </c>
      <c r="AL145" s="51">
        <v>911.43</v>
      </c>
      <c r="AM145" s="52"/>
      <c r="AN145" s="52"/>
      <c r="AO145" s="47"/>
      <c r="AP145" s="53"/>
      <c r="AQ145" s="53"/>
      <c r="AR145" s="51"/>
      <c r="AS145" s="51">
        <v>828.57</v>
      </c>
      <c r="AT145" s="27">
        <f t="shared" si="237"/>
        <v>-2.0000000017716957E-4</v>
      </c>
      <c r="AU145" s="28">
        <f t="shared" si="238"/>
        <v>1740</v>
      </c>
      <c r="AV145" s="110"/>
      <c r="AW145" s="110"/>
      <c r="AX145" s="28">
        <f t="shared" si="239"/>
        <v>519.74019999999996</v>
      </c>
      <c r="AY145" s="29">
        <f t="shared" si="240"/>
        <v>497.14279999999997</v>
      </c>
      <c r="AZ145" s="30">
        <f t="shared" si="241"/>
        <v>1016.8829999999999</v>
      </c>
      <c r="BA145" s="31">
        <f t="shared" si="242"/>
        <v>0</v>
      </c>
      <c r="BB145" s="56">
        <f t="shared" si="71"/>
        <v>-2.0000000017716957E-4</v>
      </c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 ht="13.8">
      <c r="A146" s="180">
        <v>3</v>
      </c>
      <c r="B146" s="287" t="s">
        <v>183</v>
      </c>
      <c r="C146" s="38" t="s">
        <v>40</v>
      </c>
      <c r="D146" s="173" t="s">
        <v>105</v>
      </c>
      <c r="E146" s="134">
        <v>8700</v>
      </c>
      <c r="F146" s="135">
        <v>46054</v>
      </c>
      <c r="G146" s="110">
        <f>E146/2</f>
        <v>4350</v>
      </c>
      <c r="H146" s="109">
        <v>22</v>
      </c>
      <c r="I146" s="109" t="s">
        <v>41</v>
      </c>
      <c r="J146" s="109">
        <v>20000</v>
      </c>
      <c r="K146" s="110"/>
      <c r="L146" s="109">
        <v>200</v>
      </c>
      <c r="M146" s="110">
        <f t="shared" si="233"/>
        <v>0</v>
      </c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51"/>
      <c r="AB146" s="51"/>
      <c r="AC146" s="84">
        <v>23695</v>
      </c>
      <c r="AD146" s="110"/>
      <c r="AE146" s="110"/>
      <c r="AF146" s="22"/>
      <c r="AG146" s="110"/>
      <c r="AH146" s="92">
        <v>2279.75</v>
      </c>
      <c r="AI146" s="252"/>
      <c r="AJ146" s="25">
        <f>AH146+AI146+AC146</f>
        <v>25974.75</v>
      </c>
      <c r="AK146" s="26">
        <f t="shared" si="236"/>
        <v>5974.1925000000001</v>
      </c>
      <c r="AL146" s="109">
        <v>877.7</v>
      </c>
      <c r="AM146" s="109"/>
      <c r="AN146" s="110"/>
      <c r="AO146" s="110"/>
      <c r="AP146" s="40"/>
      <c r="AQ146" s="161">
        <v>18245.150000000001</v>
      </c>
      <c r="AR146" s="110"/>
      <c r="AS146" s="40">
        <v>877.71</v>
      </c>
      <c r="AT146" s="27">
        <f>AJ146-AK146-AL146-AS146-AN146-AQ146-AM146</f>
        <v>-2.5000000023283064E-3</v>
      </c>
      <c r="AU146" s="28">
        <f>AL146+AM146+AN146+AQ146+AS146+AR146</f>
        <v>20000.560000000001</v>
      </c>
      <c r="AV146" s="110"/>
      <c r="AW146" s="110"/>
      <c r="AX146" s="28">
        <f t="shared" si="239"/>
        <v>5974.1925000000001</v>
      </c>
      <c r="AY146" s="29">
        <f t="shared" si="240"/>
        <v>5714.4449999999997</v>
      </c>
      <c r="AZ146" s="30">
        <f t="shared" si="241"/>
        <v>11688.637500000001</v>
      </c>
      <c r="BA146" s="31">
        <f t="shared" si="242"/>
        <v>0</v>
      </c>
      <c r="BB146" s="56">
        <f t="shared" si="71"/>
        <v>-2.5000000023283064E-3</v>
      </c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 ht="13.8">
      <c r="A147" s="102"/>
      <c r="B147" s="202" t="s">
        <v>184</v>
      </c>
      <c r="C147" s="105"/>
      <c r="D147" s="203"/>
      <c r="E147" s="203"/>
      <c r="F147" s="203"/>
      <c r="G147" s="158"/>
      <c r="H147" s="158"/>
      <c r="I147" s="158"/>
      <c r="J147" s="104"/>
      <c r="K147" s="104">
        <f>K144+K146+K145</f>
        <v>0</v>
      </c>
      <c r="L147" s="104"/>
      <c r="M147" s="104">
        <f t="shared" ref="M147:N147" si="243">M144+M146+M145</f>
        <v>0</v>
      </c>
      <c r="N147" s="104">
        <f t="shared" si="243"/>
        <v>0</v>
      </c>
      <c r="O147" s="104"/>
      <c r="P147" s="104">
        <f t="shared" ref="P147:Q147" si="244">P144+P146+P145</f>
        <v>0</v>
      </c>
      <c r="Q147" s="104">
        <f t="shared" si="244"/>
        <v>0</v>
      </c>
      <c r="R147" s="104"/>
      <c r="S147" s="104">
        <f>S144+S146+S145</f>
        <v>0</v>
      </c>
      <c r="T147" s="104"/>
      <c r="U147" s="104"/>
      <c r="V147" s="104">
        <f t="shared" ref="V147:W147" si="245">V144+V146+V145</f>
        <v>0</v>
      </c>
      <c r="W147" s="104">
        <f t="shared" si="245"/>
        <v>0</v>
      </c>
      <c r="X147" s="104"/>
      <c r="Y147" s="104">
        <f t="shared" ref="Y147:Z147" si="246">Y144+Y146+Y145</f>
        <v>0</v>
      </c>
      <c r="Z147" s="104">
        <f t="shared" si="246"/>
        <v>0</v>
      </c>
      <c r="AA147" s="104"/>
      <c r="AB147" s="112">
        <f t="shared" ref="AB147:BA147" si="247">AB144+AB146+AB145</f>
        <v>0</v>
      </c>
      <c r="AC147" s="112">
        <f t="shared" si="247"/>
        <v>23695</v>
      </c>
      <c r="AD147" s="104">
        <f t="shared" si="247"/>
        <v>0</v>
      </c>
      <c r="AE147" s="104">
        <f t="shared" si="247"/>
        <v>0</v>
      </c>
      <c r="AF147" s="112">
        <f t="shared" si="247"/>
        <v>0</v>
      </c>
      <c r="AG147" s="104">
        <f t="shared" si="247"/>
        <v>0</v>
      </c>
      <c r="AH147" s="112">
        <f t="shared" si="247"/>
        <v>13239.49</v>
      </c>
      <c r="AI147" s="112">
        <f t="shared" si="247"/>
        <v>0</v>
      </c>
      <c r="AJ147" s="112">
        <f t="shared" si="247"/>
        <v>36934.49</v>
      </c>
      <c r="AK147" s="112">
        <f t="shared" si="247"/>
        <v>8494.9326999999994</v>
      </c>
      <c r="AL147" s="112">
        <f t="shared" si="247"/>
        <v>5138.63</v>
      </c>
      <c r="AM147" s="112">
        <f t="shared" si="247"/>
        <v>0</v>
      </c>
      <c r="AN147" s="112">
        <f t="shared" si="247"/>
        <v>0</v>
      </c>
      <c r="AO147" s="112">
        <f t="shared" si="247"/>
        <v>0</v>
      </c>
      <c r="AP147" s="112">
        <f t="shared" si="247"/>
        <v>0</v>
      </c>
      <c r="AQ147" s="112">
        <f t="shared" si="247"/>
        <v>18245.150000000001</v>
      </c>
      <c r="AR147" s="112">
        <f t="shared" si="247"/>
        <v>0</v>
      </c>
      <c r="AS147" s="112">
        <f t="shared" si="247"/>
        <v>5055.78</v>
      </c>
      <c r="AT147" s="112">
        <f t="shared" si="247"/>
        <v>-2.700000002505476E-3</v>
      </c>
      <c r="AU147" s="112">
        <f t="shared" si="247"/>
        <v>28439.56</v>
      </c>
      <c r="AV147" s="104">
        <f t="shared" si="247"/>
        <v>0</v>
      </c>
      <c r="AW147" s="104">
        <f t="shared" si="247"/>
        <v>0</v>
      </c>
      <c r="AX147" s="112">
        <f t="shared" si="247"/>
        <v>8494.9326999999994</v>
      </c>
      <c r="AY147" s="112">
        <f t="shared" si="247"/>
        <v>8125.5877999999993</v>
      </c>
      <c r="AZ147" s="112">
        <f t="shared" si="247"/>
        <v>16620.520500000002</v>
      </c>
      <c r="BA147" s="112">
        <f t="shared" si="247"/>
        <v>0</v>
      </c>
      <c r="BB147" s="56">
        <f t="shared" si="71"/>
        <v>-2.7000000009138603E-3</v>
      </c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 ht="13.8">
      <c r="A148" s="108"/>
      <c r="B148" s="7" t="s">
        <v>185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250"/>
      <c r="AB148" s="250"/>
      <c r="AC148" s="250"/>
      <c r="AD148" s="8"/>
      <c r="AE148" s="8"/>
      <c r="AF148" s="119"/>
      <c r="AG148" s="8"/>
      <c r="AH148" s="8"/>
      <c r="AI148" s="250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9"/>
      <c r="AY148" s="9"/>
      <c r="AZ148" s="9"/>
      <c r="BA148" s="9"/>
      <c r="BB148" s="32">
        <f t="shared" si="71"/>
        <v>0</v>
      </c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 ht="13.8">
      <c r="A149" s="180">
        <v>1</v>
      </c>
      <c r="B149" s="297" t="s">
        <v>186</v>
      </c>
      <c r="C149" s="35" t="s">
        <v>40</v>
      </c>
      <c r="D149" s="204" t="s">
        <v>80</v>
      </c>
      <c r="E149" s="134">
        <v>8700</v>
      </c>
      <c r="F149" s="135">
        <v>46054</v>
      </c>
      <c r="G149" s="110">
        <f>E149/2</f>
        <v>4350</v>
      </c>
      <c r="H149" s="109">
        <v>22</v>
      </c>
      <c r="I149" s="109" t="s">
        <v>41</v>
      </c>
      <c r="J149" s="40"/>
      <c r="K149" s="40"/>
      <c r="L149" s="109">
        <v>200</v>
      </c>
      <c r="M149" s="110">
        <f t="shared" ref="M149:M151" si="248">K149*L149</f>
        <v>0</v>
      </c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407">
        <v>1260</v>
      </c>
      <c r="AA149" s="408">
        <v>1948.05</v>
      </c>
      <c r="AB149" s="326"/>
      <c r="AC149" s="326"/>
      <c r="AD149" s="110"/>
      <c r="AE149" s="110"/>
      <c r="AF149" s="22">
        <f t="shared" ref="AF149:AF151" si="249">M149+P149+S149+V149+Y149+Z149+AE149</f>
        <v>1260</v>
      </c>
      <c r="AG149" s="97"/>
      <c r="AH149" s="258">
        <v>4519.4799999999996</v>
      </c>
      <c r="AI149" s="50"/>
      <c r="AJ149" s="25">
        <f>AH149+AI149+Z149+AA149</f>
        <v>7727.53</v>
      </c>
      <c r="AK149" s="26">
        <f t="shared" ref="AK149:AK153" si="250">AJ149*23%</f>
        <v>1777.3318999999999</v>
      </c>
      <c r="AL149" s="51">
        <v>1822.86</v>
      </c>
      <c r="AM149" s="52"/>
      <c r="AN149" s="52"/>
      <c r="AO149" s="53"/>
      <c r="AP149" s="53"/>
      <c r="AQ149" s="53"/>
      <c r="AR149" s="51">
        <v>2470.1999999999998</v>
      </c>
      <c r="AS149" s="51">
        <v>1657.14</v>
      </c>
      <c r="AT149" s="27">
        <f>AJ149-AK149-AL149-AS149-AN149-AQ149-AM149-AR149</f>
        <v>-1.900000000205182E-3</v>
      </c>
      <c r="AU149" s="28">
        <f t="shared" ref="AU149:AU153" si="251">AL149+AM149+AN149+AQ149+AS149+AR149</f>
        <v>5950.2</v>
      </c>
      <c r="AV149" s="110"/>
      <c r="AW149" s="110"/>
      <c r="AX149" s="28">
        <f t="shared" ref="AX149:AX153" si="252">AJ149*23%</f>
        <v>1777.3318999999999</v>
      </c>
      <c r="AY149" s="29">
        <f t="shared" ref="AY149:AY153" si="253">AJ149*H149%</f>
        <v>1700.0565999999999</v>
      </c>
      <c r="AZ149" s="30">
        <f t="shared" ref="AZ149:AZ153" si="254">AX149+AY149</f>
        <v>3477.3885</v>
      </c>
      <c r="BA149" s="31">
        <f t="shared" ref="BA149:BA153" si="255">AZ149-AY149-AK149</f>
        <v>0</v>
      </c>
      <c r="BB149" s="56">
        <f t="shared" si="71"/>
        <v>-1.900000000205182E-3</v>
      </c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 ht="27.6">
      <c r="A150" s="171" t="s">
        <v>42</v>
      </c>
      <c r="B150" s="289" t="s">
        <v>265</v>
      </c>
      <c r="C150" s="35" t="s">
        <v>40</v>
      </c>
      <c r="D150" s="205" t="s">
        <v>44</v>
      </c>
      <c r="E150" s="77">
        <v>8700</v>
      </c>
      <c r="F150" s="160">
        <v>46113</v>
      </c>
      <c r="G150" s="42">
        <f>8700/4</f>
        <v>2175</v>
      </c>
      <c r="H150" s="109">
        <v>22</v>
      </c>
      <c r="I150" s="109" t="s">
        <v>41</v>
      </c>
      <c r="J150" s="110"/>
      <c r="K150" s="110"/>
      <c r="L150" s="109">
        <v>200</v>
      </c>
      <c r="M150" s="110">
        <f t="shared" si="248"/>
        <v>0</v>
      </c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252"/>
      <c r="AB150" s="252"/>
      <c r="AC150" s="252"/>
      <c r="AD150" s="110"/>
      <c r="AE150" s="110"/>
      <c r="AF150" s="22">
        <f t="shared" si="249"/>
        <v>0</v>
      </c>
      <c r="AG150" s="97"/>
      <c r="AH150" s="258">
        <v>2279.75</v>
      </c>
      <c r="AI150" s="46"/>
      <c r="AJ150" s="25">
        <f t="shared" ref="AJ150:AJ152" si="256">AH150+AI150</f>
        <v>2279.75</v>
      </c>
      <c r="AK150" s="26">
        <f t="shared" si="250"/>
        <v>524.34249999999997</v>
      </c>
      <c r="AL150" s="51">
        <v>877.7</v>
      </c>
      <c r="AM150" s="52"/>
      <c r="AN150" s="52"/>
      <c r="AO150" s="53"/>
      <c r="AP150" s="53"/>
      <c r="AQ150" s="53"/>
      <c r="AR150" s="51"/>
      <c r="AS150" s="51">
        <v>877.71</v>
      </c>
      <c r="AT150" s="27">
        <f t="shared" ref="AT150:AT153" si="257">AJ150-AK150-AL150-AS150-AN150-AQ150-AM150</f>
        <v>-2.5000000000545697E-3</v>
      </c>
      <c r="AU150" s="28">
        <f t="shared" si="251"/>
        <v>1755.41</v>
      </c>
      <c r="AV150" s="110"/>
      <c r="AW150" s="110"/>
      <c r="AX150" s="28">
        <f t="shared" si="252"/>
        <v>524.34249999999997</v>
      </c>
      <c r="AY150" s="29">
        <f t="shared" si="253"/>
        <v>501.54500000000002</v>
      </c>
      <c r="AZ150" s="30">
        <f t="shared" si="254"/>
        <v>1025.8875</v>
      </c>
      <c r="BA150" s="31">
        <f t="shared" si="255"/>
        <v>0</v>
      </c>
      <c r="BB150" s="56">
        <f t="shared" si="71"/>
        <v>-2.5000000000545697E-3</v>
      </c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 ht="13.8">
      <c r="A151" s="171" t="s">
        <v>148</v>
      </c>
      <c r="B151" s="298" t="s">
        <v>187</v>
      </c>
      <c r="C151" s="35" t="s">
        <v>40</v>
      </c>
      <c r="D151" s="206" t="s">
        <v>58</v>
      </c>
      <c r="E151" s="109">
        <v>8700</v>
      </c>
      <c r="F151" s="109">
        <v>1</v>
      </c>
      <c r="G151" s="101">
        <v>8700</v>
      </c>
      <c r="H151" s="165">
        <v>8.41</v>
      </c>
      <c r="I151" s="109" t="s">
        <v>37</v>
      </c>
      <c r="J151" s="110"/>
      <c r="K151" s="110"/>
      <c r="L151" s="109">
        <v>200</v>
      </c>
      <c r="M151" s="110">
        <f t="shared" si="248"/>
        <v>0</v>
      </c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252"/>
      <c r="AB151" s="252"/>
      <c r="AC151" s="252"/>
      <c r="AD151" s="109"/>
      <c r="AE151" s="110"/>
      <c r="AF151" s="22">
        <f t="shared" si="249"/>
        <v>0</v>
      </c>
      <c r="AG151" s="97"/>
      <c r="AH151" s="258">
        <v>8700</v>
      </c>
      <c r="AI151" s="46"/>
      <c r="AJ151" s="25">
        <f t="shared" si="256"/>
        <v>8700</v>
      </c>
      <c r="AK151" s="26">
        <f t="shared" si="250"/>
        <v>2001</v>
      </c>
      <c r="AL151" s="51">
        <v>3349.5</v>
      </c>
      <c r="AM151" s="51"/>
      <c r="AN151" s="51"/>
      <c r="AO151" s="53"/>
      <c r="AP151" s="53"/>
      <c r="AQ151" s="53"/>
      <c r="AR151" s="51"/>
      <c r="AS151" s="51">
        <v>3349.5</v>
      </c>
      <c r="AT151" s="27">
        <f t="shared" si="257"/>
        <v>0</v>
      </c>
      <c r="AU151" s="28">
        <f t="shared" si="251"/>
        <v>6699</v>
      </c>
      <c r="AV151" s="110"/>
      <c r="AW151" s="110"/>
      <c r="AX151" s="28">
        <f t="shared" si="252"/>
        <v>2001</v>
      </c>
      <c r="AY151" s="29">
        <f t="shared" si="253"/>
        <v>731.67000000000007</v>
      </c>
      <c r="AZ151" s="30">
        <f t="shared" si="254"/>
        <v>2732.67</v>
      </c>
      <c r="BA151" s="31">
        <f t="shared" si="255"/>
        <v>0</v>
      </c>
      <c r="BB151" s="56">
        <f t="shared" si="71"/>
        <v>0</v>
      </c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 ht="13.8">
      <c r="A152" s="171" t="s">
        <v>150</v>
      </c>
      <c r="B152" s="332" t="s">
        <v>266</v>
      </c>
      <c r="C152" s="35" t="s">
        <v>40</v>
      </c>
      <c r="D152" s="204" t="s">
        <v>80</v>
      </c>
      <c r="E152" s="134">
        <v>8700</v>
      </c>
      <c r="F152" s="160">
        <v>46113</v>
      </c>
      <c r="G152" s="42">
        <f>8700/4</f>
        <v>2175</v>
      </c>
      <c r="H152" s="109">
        <v>22</v>
      </c>
      <c r="I152" s="109" t="s">
        <v>41</v>
      </c>
      <c r="J152" s="109"/>
      <c r="K152" s="110"/>
      <c r="L152" s="109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51"/>
      <c r="AB152" s="51"/>
      <c r="AC152" s="51"/>
      <c r="AD152" s="110"/>
      <c r="AE152" s="110"/>
      <c r="AF152" s="22"/>
      <c r="AG152" s="110"/>
      <c r="AH152" s="92">
        <v>2259.7399999999998</v>
      </c>
      <c r="AI152" s="252"/>
      <c r="AJ152" s="25">
        <f t="shared" si="256"/>
        <v>2259.7399999999998</v>
      </c>
      <c r="AK152" s="26">
        <f t="shared" si="250"/>
        <v>519.74019999999996</v>
      </c>
      <c r="AL152" s="109">
        <v>911.43</v>
      </c>
      <c r="AM152" s="109"/>
      <c r="AN152" s="110"/>
      <c r="AO152" s="53"/>
      <c r="AP152" s="53"/>
      <c r="AQ152" s="69"/>
      <c r="AR152" s="110"/>
      <c r="AS152" s="40">
        <v>828.57</v>
      </c>
      <c r="AT152" s="27">
        <f t="shared" si="257"/>
        <v>-2.0000000017716957E-4</v>
      </c>
      <c r="AU152" s="28">
        <f t="shared" si="251"/>
        <v>1740</v>
      </c>
      <c r="AV152" s="110"/>
      <c r="AW152" s="110"/>
      <c r="AX152" s="28">
        <f t="shared" si="252"/>
        <v>519.74019999999996</v>
      </c>
      <c r="AY152" s="29">
        <f t="shared" si="253"/>
        <v>497.14279999999997</v>
      </c>
      <c r="AZ152" s="30">
        <f t="shared" si="254"/>
        <v>1016.8829999999999</v>
      </c>
      <c r="BA152" s="31">
        <f t="shared" si="255"/>
        <v>0</v>
      </c>
      <c r="BB152" s="56">
        <f t="shared" si="71"/>
        <v>-2.0000000017716957E-4</v>
      </c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 ht="13.8">
      <c r="A153" s="171" t="s">
        <v>227</v>
      </c>
      <c r="B153" s="290" t="s">
        <v>188</v>
      </c>
      <c r="C153" s="35" t="s">
        <v>40</v>
      </c>
      <c r="D153" s="173" t="s">
        <v>105</v>
      </c>
      <c r="E153" s="134">
        <v>8700</v>
      </c>
      <c r="F153" s="135">
        <v>46054</v>
      </c>
      <c r="G153" s="110">
        <f>E153/2</f>
        <v>4350</v>
      </c>
      <c r="H153" s="109">
        <v>22</v>
      </c>
      <c r="I153" s="109" t="s">
        <v>41</v>
      </c>
      <c r="J153" s="109">
        <v>6658</v>
      </c>
      <c r="K153" s="110"/>
      <c r="L153" s="109">
        <v>200</v>
      </c>
      <c r="M153" s="110">
        <f>K153*L153</f>
        <v>0</v>
      </c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51"/>
      <c r="AB153" s="51"/>
      <c r="AC153" s="84">
        <v>4128</v>
      </c>
      <c r="AD153" s="110"/>
      <c r="AE153" s="110"/>
      <c r="AF153" s="111"/>
      <c r="AG153" s="110"/>
      <c r="AH153" s="92">
        <v>4519.4799999999996</v>
      </c>
      <c r="AI153" s="252"/>
      <c r="AJ153" s="25">
        <f>AH153+AI153+AC153</f>
        <v>8647.48</v>
      </c>
      <c r="AK153" s="26">
        <f t="shared" si="250"/>
        <v>1988.9204</v>
      </c>
      <c r="AL153" s="109">
        <v>1822.86</v>
      </c>
      <c r="AM153" s="109"/>
      <c r="AN153" s="110"/>
      <c r="AO153" s="53"/>
      <c r="AP153" s="53"/>
      <c r="AQ153" s="47">
        <v>3178.56</v>
      </c>
      <c r="AR153" s="110"/>
      <c r="AS153" s="40">
        <v>1657.14</v>
      </c>
      <c r="AT153" s="27">
        <f t="shared" si="257"/>
        <v>-4.0000000035433914E-4</v>
      </c>
      <c r="AU153" s="28">
        <f t="shared" si="251"/>
        <v>6658.56</v>
      </c>
      <c r="AV153" s="110"/>
      <c r="AW153" s="110"/>
      <c r="AX153" s="28">
        <f t="shared" si="252"/>
        <v>1988.9204</v>
      </c>
      <c r="AY153" s="29">
        <f t="shared" si="253"/>
        <v>1902.4456</v>
      </c>
      <c r="AZ153" s="30">
        <f t="shared" si="254"/>
        <v>3891.366</v>
      </c>
      <c r="BA153" s="31">
        <f t="shared" si="255"/>
        <v>0</v>
      </c>
      <c r="BB153" s="56">
        <f t="shared" si="71"/>
        <v>-4.0000000080908649E-4</v>
      </c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 ht="13.8">
      <c r="A154" s="102"/>
      <c r="B154" s="103" t="s">
        <v>189</v>
      </c>
      <c r="C154" s="158"/>
      <c r="D154" s="158"/>
      <c r="E154" s="158"/>
      <c r="F154" s="158"/>
      <c r="G154" s="158"/>
      <c r="H154" s="158"/>
      <c r="I154" s="158"/>
      <c r="J154" s="105"/>
      <c r="K154" s="105">
        <f>SUM(K149:K153)</f>
        <v>0</v>
      </c>
      <c r="L154" s="105"/>
      <c r="M154" s="105">
        <f t="shared" ref="M154:N154" si="258">SUM(M149:M153)</f>
        <v>0</v>
      </c>
      <c r="N154" s="105">
        <f t="shared" si="258"/>
        <v>0</v>
      </c>
      <c r="O154" s="105"/>
      <c r="P154" s="105">
        <f t="shared" ref="P154:Q154" si="259">SUM(P149:P153)</f>
        <v>0</v>
      </c>
      <c r="Q154" s="105">
        <f t="shared" si="259"/>
        <v>0</v>
      </c>
      <c r="R154" s="105"/>
      <c r="S154" s="105">
        <f>SUM(S149:S153)</f>
        <v>0</v>
      </c>
      <c r="T154" s="105"/>
      <c r="U154" s="105"/>
      <c r="V154" s="105">
        <f t="shared" ref="V154:W154" si="260">SUM(V149:V153)</f>
        <v>0</v>
      </c>
      <c r="W154" s="105">
        <f t="shared" si="260"/>
        <v>0</v>
      </c>
      <c r="X154" s="105"/>
      <c r="Y154" s="105">
        <f t="shared" ref="Y154:Z154" si="261">SUM(Y149:Y153)</f>
        <v>0</v>
      </c>
      <c r="Z154" s="106">
        <f t="shared" si="261"/>
        <v>1260</v>
      </c>
      <c r="AA154" s="106"/>
      <c r="AB154" s="106"/>
      <c r="AC154" s="106">
        <f t="shared" ref="AC154:BA154" si="262">SUM(AC149:AC153)</f>
        <v>4128</v>
      </c>
      <c r="AD154" s="105">
        <f t="shared" si="262"/>
        <v>0</v>
      </c>
      <c r="AE154" s="105">
        <f t="shared" si="262"/>
        <v>0</v>
      </c>
      <c r="AF154" s="106">
        <f t="shared" si="262"/>
        <v>1260</v>
      </c>
      <c r="AG154" s="105">
        <f t="shared" si="262"/>
        <v>0</v>
      </c>
      <c r="AH154" s="106">
        <f t="shared" si="262"/>
        <v>22278.45</v>
      </c>
      <c r="AI154" s="106">
        <f t="shared" si="262"/>
        <v>0</v>
      </c>
      <c r="AJ154" s="106">
        <f t="shared" si="262"/>
        <v>29614.499999999996</v>
      </c>
      <c r="AK154" s="106">
        <f t="shared" si="262"/>
        <v>6811.335</v>
      </c>
      <c r="AL154" s="106">
        <f t="shared" si="262"/>
        <v>8784.35</v>
      </c>
      <c r="AM154" s="106">
        <f t="shared" si="262"/>
        <v>0</v>
      </c>
      <c r="AN154" s="106">
        <f t="shared" si="262"/>
        <v>0</v>
      </c>
      <c r="AO154" s="106">
        <f t="shared" si="262"/>
        <v>0</v>
      </c>
      <c r="AP154" s="106">
        <f t="shared" si="262"/>
        <v>0</v>
      </c>
      <c r="AQ154" s="106">
        <f t="shared" si="262"/>
        <v>3178.56</v>
      </c>
      <c r="AR154" s="106">
        <f t="shared" si="262"/>
        <v>2470.1999999999998</v>
      </c>
      <c r="AS154" s="106">
        <f t="shared" si="262"/>
        <v>8370.06</v>
      </c>
      <c r="AT154" s="106">
        <f t="shared" si="262"/>
        <v>-5.0000000007912604E-3</v>
      </c>
      <c r="AU154" s="106">
        <f t="shared" si="262"/>
        <v>22803.170000000002</v>
      </c>
      <c r="AV154" s="105">
        <f t="shared" si="262"/>
        <v>0</v>
      </c>
      <c r="AW154" s="105">
        <f t="shared" si="262"/>
        <v>0</v>
      </c>
      <c r="AX154" s="106">
        <f t="shared" si="262"/>
        <v>6811.335</v>
      </c>
      <c r="AY154" s="106">
        <f t="shared" si="262"/>
        <v>5332.8600000000006</v>
      </c>
      <c r="AZ154" s="106">
        <f t="shared" si="262"/>
        <v>12144.195</v>
      </c>
      <c r="BA154" s="106">
        <f t="shared" si="262"/>
        <v>0</v>
      </c>
      <c r="BB154" s="56">
        <f t="shared" si="71"/>
        <v>-5.0000000046566129E-3</v>
      </c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 ht="31.2">
      <c r="A155" s="188"/>
      <c r="B155" s="207" t="s">
        <v>190</v>
      </c>
      <c r="C155" s="158"/>
      <c r="D155" s="158"/>
      <c r="E155" s="158"/>
      <c r="F155" s="158"/>
      <c r="G155" s="158"/>
      <c r="H155" s="158"/>
      <c r="I155" s="158"/>
      <c r="J155" s="114"/>
      <c r="K155" s="114">
        <f>K154+K147</f>
        <v>0</v>
      </c>
      <c r="L155" s="114"/>
      <c r="M155" s="114">
        <f t="shared" ref="M155:N155" si="263">M154+M147</f>
        <v>0</v>
      </c>
      <c r="N155" s="114">
        <f t="shared" si="263"/>
        <v>0</v>
      </c>
      <c r="O155" s="114"/>
      <c r="P155" s="114">
        <f t="shared" ref="P155:Q155" si="264">P154+P147</f>
        <v>0</v>
      </c>
      <c r="Q155" s="114">
        <f t="shared" si="264"/>
        <v>0</v>
      </c>
      <c r="R155" s="114"/>
      <c r="S155" s="114">
        <f>S154+S147</f>
        <v>0</v>
      </c>
      <c r="T155" s="114"/>
      <c r="U155" s="114"/>
      <c r="V155" s="114">
        <f t="shared" ref="V155:W155" si="265">V154+V147</f>
        <v>0</v>
      </c>
      <c r="W155" s="114">
        <f t="shared" si="265"/>
        <v>0</v>
      </c>
      <c r="X155" s="114"/>
      <c r="Y155" s="114">
        <f t="shared" ref="Y155:Z155" si="266">Y154+Y147</f>
        <v>0</v>
      </c>
      <c r="Z155" s="115">
        <f t="shared" si="266"/>
        <v>1260</v>
      </c>
      <c r="AA155" s="115"/>
      <c r="AB155" s="115"/>
      <c r="AC155" s="115">
        <f t="shared" ref="AC155:BA155" si="267">AC154+AC147</f>
        <v>27823</v>
      </c>
      <c r="AD155" s="114">
        <f t="shared" si="267"/>
        <v>0</v>
      </c>
      <c r="AE155" s="114">
        <f t="shared" si="267"/>
        <v>0</v>
      </c>
      <c r="AF155" s="115">
        <f t="shared" si="267"/>
        <v>1260</v>
      </c>
      <c r="AG155" s="114">
        <f t="shared" si="267"/>
        <v>0</v>
      </c>
      <c r="AH155" s="115">
        <f t="shared" si="267"/>
        <v>35517.94</v>
      </c>
      <c r="AI155" s="115">
        <f t="shared" si="267"/>
        <v>0</v>
      </c>
      <c r="AJ155" s="115">
        <f t="shared" si="267"/>
        <v>66548.989999999991</v>
      </c>
      <c r="AK155" s="115">
        <f t="shared" si="267"/>
        <v>15306.2677</v>
      </c>
      <c r="AL155" s="115">
        <f t="shared" si="267"/>
        <v>13922.98</v>
      </c>
      <c r="AM155" s="115">
        <f t="shared" si="267"/>
        <v>0</v>
      </c>
      <c r="AN155" s="115">
        <f t="shared" si="267"/>
        <v>0</v>
      </c>
      <c r="AO155" s="115">
        <f t="shared" si="267"/>
        <v>0</v>
      </c>
      <c r="AP155" s="115">
        <f t="shared" si="267"/>
        <v>0</v>
      </c>
      <c r="AQ155" s="115">
        <f t="shared" si="267"/>
        <v>21423.710000000003</v>
      </c>
      <c r="AR155" s="115">
        <f t="shared" si="267"/>
        <v>2470.1999999999998</v>
      </c>
      <c r="AS155" s="115">
        <f t="shared" si="267"/>
        <v>13425.84</v>
      </c>
      <c r="AT155" s="115">
        <f t="shared" si="267"/>
        <v>-7.7000000032967364E-3</v>
      </c>
      <c r="AU155" s="115">
        <f t="shared" si="267"/>
        <v>51242.73</v>
      </c>
      <c r="AV155" s="114">
        <f t="shared" si="267"/>
        <v>0</v>
      </c>
      <c r="AW155" s="114">
        <f t="shared" si="267"/>
        <v>0</v>
      </c>
      <c r="AX155" s="115">
        <f t="shared" si="267"/>
        <v>15306.2677</v>
      </c>
      <c r="AY155" s="115">
        <f t="shared" si="267"/>
        <v>13458.4478</v>
      </c>
      <c r="AZ155" s="115">
        <f t="shared" si="267"/>
        <v>28764.715500000002</v>
      </c>
      <c r="BA155" s="115">
        <f t="shared" si="267"/>
        <v>0</v>
      </c>
      <c r="BB155" s="56">
        <f t="shared" si="71"/>
        <v>-7.700000009208452E-3</v>
      </c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 ht="13.8">
      <c r="A156" s="116"/>
      <c r="B156" s="208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52"/>
      <c r="AB156" s="52"/>
      <c r="AC156" s="52"/>
      <c r="AD156" s="97"/>
      <c r="AE156" s="97"/>
      <c r="AF156" s="97"/>
      <c r="AG156" s="97"/>
      <c r="AH156" s="97"/>
      <c r="AI156" s="52"/>
      <c r="AJ156" s="97"/>
      <c r="AK156" s="97"/>
      <c r="AL156" s="97"/>
      <c r="AM156" s="97"/>
      <c r="AN156" s="97"/>
      <c r="AO156" s="97"/>
      <c r="AP156" s="97"/>
      <c r="AQ156" s="97"/>
      <c r="AR156" s="97"/>
      <c r="AS156" s="97"/>
      <c r="AT156" s="97"/>
      <c r="AU156" s="97"/>
      <c r="AV156" s="97"/>
      <c r="AW156" s="97"/>
      <c r="AX156" s="97"/>
      <c r="AY156" s="97"/>
      <c r="AZ156" s="97"/>
      <c r="BA156" s="97"/>
      <c r="BB156" s="32">
        <f t="shared" si="71"/>
        <v>0</v>
      </c>
      <c r="BC156" s="123"/>
      <c r="BD156" s="123"/>
      <c r="BE156" s="123"/>
      <c r="BF156" s="123"/>
      <c r="BG156" s="123"/>
      <c r="BH156" s="123"/>
      <c r="BI156" s="123"/>
      <c r="BJ156" s="123"/>
      <c r="BK156" s="123"/>
      <c r="BL156" s="123"/>
      <c r="BM156" s="123"/>
      <c r="BN156" s="123"/>
      <c r="BO156" s="123"/>
      <c r="BP156" s="123"/>
      <c r="BQ156" s="123"/>
      <c r="BR156" s="123"/>
    </row>
    <row r="157" spans="1:70" ht="27.6">
      <c r="A157" s="124"/>
      <c r="B157" s="3" t="s">
        <v>191</v>
      </c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  <c r="AA157" s="299"/>
      <c r="AB157" s="299"/>
      <c r="AC157" s="299"/>
      <c r="AD157" s="201"/>
      <c r="AE157" s="201"/>
      <c r="AF157" s="201"/>
      <c r="AG157" s="201"/>
      <c r="AH157" s="201"/>
      <c r="AI157" s="299"/>
      <c r="AJ157" s="201"/>
      <c r="AK157" s="201"/>
      <c r="AL157" s="201"/>
      <c r="AM157" s="201"/>
      <c r="AN157" s="201"/>
      <c r="AO157" s="201"/>
      <c r="AP157" s="201"/>
      <c r="AQ157" s="201"/>
      <c r="AR157" s="201"/>
      <c r="AS157" s="201"/>
      <c r="AT157" s="201"/>
      <c r="AU157" s="201"/>
      <c r="AV157" s="201"/>
      <c r="AW157" s="201"/>
      <c r="AX157" s="201"/>
      <c r="AY157" s="201"/>
      <c r="AZ157" s="201"/>
      <c r="BA157" s="201"/>
      <c r="BB157" s="32">
        <f t="shared" si="71"/>
        <v>0</v>
      </c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 ht="13.8">
      <c r="A158" s="108"/>
      <c r="B158" s="7" t="s">
        <v>192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250"/>
      <c r="AB158" s="250"/>
      <c r="AC158" s="250"/>
      <c r="AD158" s="8"/>
      <c r="AE158" s="8"/>
      <c r="AF158" s="8"/>
      <c r="AG158" s="8"/>
      <c r="AH158" s="8"/>
      <c r="AI158" s="250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9"/>
      <c r="AY158" s="9"/>
      <c r="AZ158" s="9"/>
      <c r="BA158" s="9"/>
      <c r="BB158" s="32">
        <f t="shared" si="71"/>
        <v>0</v>
      </c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 ht="13.8">
      <c r="A159" s="171" t="s">
        <v>33</v>
      </c>
      <c r="B159" s="282" t="s">
        <v>193</v>
      </c>
      <c r="C159" s="35" t="s">
        <v>40</v>
      </c>
      <c r="D159" s="109" t="s">
        <v>80</v>
      </c>
      <c r="E159" s="77">
        <v>8700</v>
      </c>
      <c r="F159" s="209">
        <v>46113</v>
      </c>
      <c r="G159" s="42">
        <f t="shared" ref="G159:G160" si="268">8700/4</f>
        <v>2175</v>
      </c>
      <c r="H159" s="109">
        <v>22</v>
      </c>
      <c r="I159" s="173" t="s">
        <v>37</v>
      </c>
      <c r="J159" s="40"/>
      <c r="K159" s="40"/>
      <c r="L159" s="41">
        <v>200</v>
      </c>
      <c r="M159" s="42">
        <f t="shared" ref="M159:M162" si="269">K159*L159</f>
        <v>0</v>
      </c>
      <c r="N159" s="43"/>
      <c r="O159" s="42"/>
      <c r="P159" s="44">
        <f t="shared" ref="P159:P161" si="270">N159*O159</f>
        <v>0</v>
      </c>
      <c r="Q159" s="43"/>
      <c r="R159" s="42"/>
      <c r="S159" s="44">
        <f t="shared" ref="S159:S161" si="271">Q159*R159</f>
        <v>0</v>
      </c>
      <c r="T159" s="43"/>
      <c r="U159" s="43"/>
      <c r="V159" s="43"/>
      <c r="W159" s="43"/>
      <c r="X159" s="42"/>
      <c r="Y159" s="44">
        <f t="shared" ref="Y159:Y161" si="272">W159*X159</f>
        <v>0</v>
      </c>
      <c r="Z159" s="407">
        <v>1520</v>
      </c>
      <c r="AA159" s="408">
        <v>1948.05</v>
      </c>
      <c r="AB159" s="252"/>
      <c r="AC159" s="252"/>
      <c r="AD159" s="109"/>
      <c r="AE159" s="110"/>
      <c r="AF159" s="22">
        <f t="shared" ref="AF159:AF162" si="273">M159+P159+S159+V159+Y159+Z159+AE159</f>
        <v>1520</v>
      </c>
      <c r="AG159" s="97"/>
      <c r="AH159" s="258">
        <v>2279.75</v>
      </c>
      <c r="AI159" s="50"/>
      <c r="AJ159" s="25">
        <f t="shared" ref="AJ159:AJ160" si="274">AH159+AI159+Z159+AA159</f>
        <v>5747.8</v>
      </c>
      <c r="AK159" s="26">
        <f t="shared" ref="AK159:AK162" si="275">AJ159*23%</f>
        <v>1321.9940000000001</v>
      </c>
      <c r="AL159" s="51">
        <v>877.7</v>
      </c>
      <c r="AM159" s="51"/>
      <c r="AN159" s="51"/>
      <c r="AO159" s="53"/>
      <c r="AP159" s="53"/>
      <c r="AQ159" s="53"/>
      <c r="AR159" s="51">
        <v>2670.4</v>
      </c>
      <c r="AS159" s="51">
        <v>877.71</v>
      </c>
      <c r="AT159" s="27">
        <f t="shared" ref="AT159:AT160" si="276">AJ159-AK159-AL159-AS159-AN159-AQ159-AM159-AR159</f>
        <v>-3.9999999994506652E-3</v>
      </c>
      <c r="AU159" s="28">
        <f t="shared" ref="AU159:AU162" si="277">AL159+AM159+AN159+AQ159+AS159+AR159</f>
        <v>4425.8100000000004</v>
      </c>
      <c r="AV159" s="110"/>
      <c r="AW159" s="110"/>
      <c r="AX159" s="28">
        <f t="shared" ref="AX159:AX162" si="278">AJ159*23%</f>
        <v>1321.9940000000001</v>
      </c>
      <c r="AY159" s="29">
        <f t="shared" ref="AY159:AY162" si="279">AJ159*H159%</f>
        <v>1264.5160000000001</v>
      </c>
      <c r="AZ159" s="30">
        <f t="shared" ref="AZ159:AZ162" si="280">AX159+AY159</f>
        <v>2586.5100000000002</v>
      </c>
      <c r="BA159" s="31">
        <f t="shared" ref="BA159:BA162" si="281">AZ159-AY159-AK159</f>
        <v>0</v>
      </c>
      <c r="BB159" s="56">
        <f t="shared" si="71"/>
        <v>-3.9999999999054126E-3</v>
      </c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 ht="13.8">
      <c r="A160" s="171" t="s">
        <v>42</v>
      </c>
      <c r="B160" s="282" t="s">
        <v>194</v>
      </c>
      <c r="C160" s="35" t="s">
        <v>40</v>
      </c>
      <c r="D160" s="109" t="s">
        <v>80</v>
      </c>
      <c r="E160" s="77">
        <v>8700</v>
      </c>
      <c r="F160" s="160">
        <v>46113</v>
      </c>
      <c r="G160" s="42">
        <f t="shared" si="268"/>
        <v>2175</v>
      </c>
      <c r="H160" s="40">
        <v>22</v>
      </c>
      <c r="I160" s="173" t="s">
        <v>37</v>
      </c>
      <c r="J160" s="40"/>
      <c r="K160" s="40"/>
      <c r="L160" s="41">
        <v>200</v>
      </c>
      <c r="M160" s="42">
        <f t="shared" si="269"/>
        <v>0</v>
      </c>
      <c r="N160" s="43"/>
      <c r="O160" s="42"/>
      <c r="P160" s="44">
        <f t="shared" si="270"/>
        <v>0</v>
      </c>
      <c r="Q160" s="43"/>
      <c r="R160" s="42"/>
      <c r="S160" s="44">
        <f t="shared" si="271"/>
        <v>0</v>
      </c>
      <c r="T160" s="43"/>
      <c r="U160" s="43"/>
      <c r="V160" s="43"/>
      <c r="W160" s="43"/>
      <c r="X160" s="42"/>
      <c r="Y160" s="44">
        <f t="shared" si="272"/>
        <v>0</v>
      </c>
      <c r="Z160" s="407">
        <v>1520</v>
      </c>
      <c r="AA160" s="408">
        <v>1948.05</v>
      </c>
      <c r="AB160" s="252"/>
      <c r="AC160" s="252"/>
      <c r="AD160" s="110"/>
      <c r="AE160" s="110"/>
      <c r="AF160" s="22">
        <f t="shared" si="273"/>
        <v>1520</v>
      </c>
      <c r="AG160" s="97"/>
      <c r="AH160" s="258">
        <v>2279.75</v>
      </c>
      <c r="AI160" s="50"/>
      <c r="AJ160" s="25">
        <f t="shared" si="274"/>
        <v>5747.8</v>
      </c>
      <c r="AK160" s="26">
        <f t="shared" si="275"/>
        <v>1321.9940000000001</v>
      </c>
      <c r="AL160" s="51">
        <v>877.7</v>
      </c>
      <c r="AM160" s="52"/>
      <c r="AN160" s="52"/>
      <c r="AO160" s="53"/>
      <c r="AP160" s="53"/>
      <c r="AQ160" s="53"/>
      <c r="AR160" s="407">
        <v>2670.4</v>
      </c>
      <c r="AS160" s="51">
        <v>877.71</v>
      </c>
      <c r="AT160" s="27">
        <f t="shared" si="276"/>
        <v>-3.9999999994506652E-3</v>
      </c>
      <c r="AU160" s="28">
        <f t="shared" si="277"/>
        <v>4425.8100000000004</v>
      </c>
      <c r="AV160" s="110"/>
      <c r="AW160" s="110"/>
      <c r="AX160" s="28">
        <f t="shared" si="278"/>
        <v>1321.9940000000001</v>
      </c>
      <c r="AY160" s="29">
        <f t="shared" si="279"/>
        <v>1264.5160000000001</v>
      </c>
      <c r="AZ160" s="30">
        <f t="shared" si="280"/>
        <v>2586.5100000000002</v>
      </c>
      <c r="BA160" s="31">
        <f t="shared" si="281"/>
        <v>0</v>
      </c>
      <c r="BB160" s="56">
        <f t="shared" si="71"/>
        <v>-3.9999999999054126E-3</v>
      </c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 ht="13.8">
      <c r="A161" s="171" t="s">
        <v>148</v>
      </c>
      <c r="B161" s="289" t="s">
        <v>208</v>
      </c>
      <c r="C161" s="35" t="s">
        <v>40</v>
      </c>
      <c r="D161" s="109" t="s">
        <v>209</v>
      </c>
      <c r="E161" s="134">
        <v>8700</v>
      </c>
      <c r="F161" s="135">
        <v>46054</v>
      </c>
      <c r="G161" s="110">
        <f>E161/2</f>
        <v>4350</v>
      </c>
      <c r="H161" s="109">
        <v>22</v>
      </c>
      <c r="I161" s="109" t="s">
        <v>41</v>
      </c>
      <c r="J161" s="40"/>
      <c r="K161" s="40"/>
      <c r="L161" s="41">
        <v>200</v>
      </c>
      <c r="M161" s="42">
        <f t="shared" si="269"/>
        <v>0</v>
      </c>
      <c r="N161" s="43"/>
      <c r="O161" s="42"/>
      <c r="P161" s="44">
        <f t="shared" si="270"/>
        <v>0</v>
      </c>
      <c r="Q161" s="43"/>
      <c r="R161" s="42"/>
      <c r="S161" s="44">
        <f t="shared" si="271"/>
        <v>0</v>
      </c>
      <c r="T161" s="43"/>
      <c r="U161" s="43"/>
      <c r="V161" s="43"/>
      <c r="W161" s="43"/>
      <c r="X161" s="42"/>
      <c r="Y161" s="44">
        <f t="shared" si="272"/>
        <v>0</v>
      </c>
      <c r="Z161" s="110"/>
      <c r="AA161" s="252"/>
      <c r="AB161" s="252"/>
      <c r="AC161" s="252"/>
      <c r="AD161" s="110"/>
      <c r="AE161" s="110"/>
      <c r="AF161" s="22">
        <f t="shared" si="273"/>
        <v>0</v>
      </c>
      <c r="AG161" s="97"/>
      <c r="AH161" s="258">
        <v>6825.59</v>
      </c>
      <c r="AI161" s="50"/>
      <c r="AJ161" s="25">
        <f>AH161+AI161</f>
        <v>6825.59</v>
      </c>
      <c r="AK161" s="26">
        <f t="shared" si="275"/>
        <v>1569.8857</v>
      </c>
      <c r="AL161" s="51">
        <v>2627.85</v>
      </c>
      <c r="AM161" s="52"/>
      <c r="AN161" s="52"/>
      <c r="AO161" s="53"/>
      <c r="AP161" s="53"/>
      <c r="AQ161" s="53"/>
      <c r="AR161" s="51"/>
      <c r="AS161" s="51">
        <v>2627.85</v>
      </c>
      <c r="AT161" s="27">
        <f t="shared" ref="AT161:AT162" si="282">AJ161-AK161-AL161-AS161-AN161-AQ161-AM161</f>
        <v>4.3000000005122274E-3</v>
      </c>
      <c r="AU161" s="28">
        <f t="shared" si="277"/>
        <v>5255.7</v>
      </c>
      <c r="AV161" s="110"/>
      <c r="AW161" s="110"/>
      <c r="AX161" s="28">
        <f t="shared" si="278"/>
        <v>1569.8857</v>
      </c>
      <c r="AY161" s="29">
        <f t="shared" si="279"/>
        <v>1501.6297999999999</v>
      </c>
      <c r="AZ161" s="30">
        <f t="shared" si="280"/>
        <v>3071.5155</v>
      </c>
      <c r="BA161" s="31">
        <f t="shared" si="281"/>
        <v>0</v>
      </c>
      <c r="BB161" s="56">
        <f t="shared" si="71"/>
        <v>4.3000000005122274E-3</v>
      </c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 ht="13.8">
      <c r="A162" s="171" t="s">
        <v>150</v>
      </c>
      <c r="B162" s="284" t="s">
        <v>195</v>
      </c>
      <c r="C162" s="35" t="s">
        <v>40</v>
      </c>
      <c r="D162" s="109" t="s">
        <v>105</v>
      </c>
      <c r="E162" s="77">
        <v>8700</v>
      </c>
      <c r="F162" s="160">
        <v>46113</v>
      </c>
      <c r="G162" s="42">
        <f>8700/4</f>
        <v>2175</v>
      </c>
      <c r="H162" s="109">
        <v>22</v>
      </c>
      <c r="I162" s="109" t="s">
        <v>41</v>
      </c>
      <c r="J162" s="40">
        <v>6658</v>
      </c>
      <c r="K162" s="97"/>
      <c r="L162" s="109">
        <v>200</v>
      </c>
      <c r="M162" s="110">
        <f t="shared" si="269"/>
        <v>0</v>
      </c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51"/>
      <c r="AB162" s="51"/>
      <c r="AC162" s="84">
        <v>4279</v>
      </c>
      <c r="AD162" s="110"/>
      <c r="AE162" s="110"/>
      <c r="AF162" s="22">
        <f t="shared" si="273"/>
        <v>0</v>
      </c>
      <c r="AG162" s="97"/>
      <c r="AH162" s="92">
        <v>4368.38</v>
      </c>
      <c r="AI162" s="252"/>
      <c r="AJ162" s="25">
        <f>AH162+AI162+AC162</f>
        <v>8647.380000000001</v>
      </c>
      <c r="AK162" s="26">
        <f t="shared" si="275"/>
        <v>1988.8974000000003</v>
      </c>
      <c r="AL162" s="109">
        <v>877.7</v>
      </c>
      <c r="AM162" s="51"/>
      <c r="AN162" s="110"/>
      <c r="AO162" s="53"/>
      <c r="AP162" s="53"/>
      <c r="AQ162" s="47">
        <v>3294.83</v>
      </c>
      <c r="AR162" s="110"/>
      <c r="AS162" s="40">
        <v>2485.9499999999998</v>
      </c>
      <c r="AT162" s="27">
        <f t="shared" si="282"/>
        <v>2.6000000016210834E-3</v>
      </c>
      <c r="AU162" s="28">
        <f t="shared" si="277"/>
        <v>6658.48</v>
      </c>
      <c r="AV162" s="110"/>
      <c r="AW162" s="110"/>
      <c r="AX162" s="28">
        <f t="shared" si="278"/>
        <v>1988.8974000000003</v>
      </c>
      <c r="AY162" s="29">
        <f t="shared" si="279"/>
        <v>1902.4236000000003</v>
      </c>
      <c r="AZ162" s="30">
        <f t="shared" si="280"/>
        <v>3891.3210000000008</v>
      </c>
      <c r="BA162" s="31">
        <f t="shared" si="281"/>
        <v>0</v>
      </c>
      <c r="BB162" s="56">
        <f t="shared" si="71"/>
        <v>2.6000000016210834E-3</v>
      </c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 ht="13.8">
      <c r="A163" s="102"/>
      <c r="B163" s="103" t="s">
        <v>196</v>
      </c>
      <c r="C163" s="158"/>
      <c r="D163" s="158"/>
      <c r="E163" s="158"/>
      <c r="F163" s="158"/>
      <c r="G163" s="158"/>
      <c r="H163" s="158"/>
      <c r="I163" s="158"/>
      <c r="J163" s="104"/>
      <c r="K163" s="104">
        <f>K159+K162+K160</f>
        <v>0</v>
      </c>
      <c r="L163" s="104"/>
      <c r="M163" s="104">
        <f t="shared" ref="M163:N163" si="283">M159+M162+M160</f>
        <v>0</v>
      </c>
      <c r="N163" s="104">
        <f t="shared" si="283"/>
        <v>0</v>
      </c>
      <c r="O163" s="104"/>
      <c r="P163" s="104">
        <f t="shared" ref="P163:Q163" si="284">P159+P162+P160</f>
        <v>0</v>
      </c>
      <c r="Q163" s="104">
        <f t="shared" si="284"/>
        <v>0</v>
      </c>
      <c r="R163" s="104"/>
      <c r="S163" s="104">
        <f>S159+S162+S160</f>
        <v>0</v>
      </c>
      <c r="T163" s="104"/>
      <c r="U163" s="104"/>
      <c r="V163" s="104">
        <f t="shared" ref="V163:W163" si="285">V159+V162+V160</f>
        <v>0</v>
      </c>
      <c r="W163" s="104">
        <f t="shared" si="285"/>
        <v>0</v>
      </c>
      <c r="X163" s="104"/>
      <c r="Y163" s="104">
        <f t="shared" ref="Y163:Z163" si="286">Y159+Y162+Y160</f>
        <v>0</v>
      </c>
      <c r="Z163" s="112">
        <f t="shared" si="286"/>
        <v>3040</v>
      </c>
      <c r="AA163" s="112"/>
      <c r="AB163" s="112"/>
      <c r="AC163" s="112">
        <f t="shared" ref="AC163:AG163" si="287">AC159+AC162+AC160</f>
        <v>4279</v>
      </c>
      <c r="AD163" s="104">
        <f t="shared" si="287"/>
        <v>0</v>
      </c>
      <c r="AE163" s="104">
        <f t="shared" si="287"/>
        <v>0</v>
      </c>
      <c r="AF163" s="112">
        <f t="shared" si="287"/>
        <v>3040</v>
      </c>
      <c r="AG163" s="104">
        <f t="shared" si="287"/>
        <v>0</v>
      </c>
      <c r="AH163" s="112">
        <f>AH159+AH162+AH160+AH161</f>
        <v>15753.470000000001</v>
      </c>
      <c r="AI163" s="112">
        <f t="shared" ref="AI163:AK163" si="288">AI159+AI162+AI160</f>
        <v>0</v>
      </c>
      <c r="AJ163" s="112">
        <f t="shared" si="288"/>
        <v>20142.98</v>
      </c>
      <c r="AK163" s="112">
        <f t="shared" si="288"/>
        <v>4632.885400000001</v>
      </c>
      <c r="AL163" s="112">
        <f>AL159+AL162+AL160+AL161</f>
        <v>5260.9500000000007</v>
      </c>
      <c r="AM163" s="112">
        <f t="shared" ref="AM163:AR163" si="289">AM159+AM162+AM160</f>
        <v>0</v>
      </c>
      <c r="AN163" s="112">
        <f t="shared" si="289"/>
        <v>0</v>
      </c>
      <c r="AO163" s="112">
        <f t="shared" si="289"/>
        <v>0</v>
      </c>
      <c r="AP163" s="112">
        <f t="shared" si="289"/>
        <v>0</v>
      </c>
      <c r="AQ163" s="112">
        <f t="shared" si="289"/>
        <v>3294.83</v>
      </c>
      <c r="AR163" s="112">
        <f t="shared" si="289"/>
        <v>5340.8</v>
      </c>
      <c r="AS163" s="112">
        <f>AS159+AS162+AS160+AS161</f>
        <v>6869.2199999999993</v>
      </c>
      <c r="AT163" s="112">
        <f t="shared" ref="AT163:BA163" si="290">AT159+AT162+AT160</f>
        <v>-5.399999997280247E-3</v>
      </c>
      <c r="AU163" s="112">
        <f t="shared" si="290"/>
        <v>15510.100000000002</v>
      </c>
      <c r="AV163" s="104">
        <f t="shared" si="290"/>
        <v>0</v>
      </c>
      <c r="AW163" s="104">
        <f t="shared" si="290"/>
        <v>0</v>
      </c>
      <c r="AX163" s="112">
        <f t="shared" si="290"/>
        <v>4632.885400000001</v>
      </c>
      <c r="AY163" s="112">
        <f t="shared" si="290"/>
        <v>4431.4556000000011</v>
      </c>
      <c r="AZ163" s="112">
        <f t="shared" si="290"/>
        <v>9064.3410000000003</v>
      </c>
      <c r="BA163" s="112">
        <f t="shared" si="290"/>
        <v>0</v>
      </c>
      <c r="BB163" s="56">
        <f t="shared" si="71"/>
        <v>-5.40000000364671E-3</v>
      </c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 ht="31.2">
      <c r="A164" s="102"/>
      <c r="B164" s="113" t="s">
        <v>197</v>
      </c>
      <c r="C164" s="158"/>
      <c r="D164" s="158"/>
      <c r="E164" s="158"/>
      <c r="F164" s="158"/>
      <c r="G164" s="158"/>
      <c r="H164" s="114"/>
      <c r="I164" s="114"/>
      <c r="J164" s="114"/>
      <c r="K164" s="114">
        <f>K163</f>
        <v>0</v>
      </c>
      <c r="L164" s="114"/>
      <c r="M164" s="114">
        <f t="shared" ref="M164:N164" si="291">M163</f>
        <v>0</v>
      </c>
      <c r="N164" s="114">
        <f t="shared" si="291"/>
        <v>0</v>
      </c>
      <c r="O164" s="114"/>
      <c r="P164" s="114">
        <f t="shared" ref="P164:Q164" si="292">P163</f>
        <v>0</v>
      </c>
      <c r="Q164" s="114">
        <f t="shared" si="292"/>
        <v>0</v>
      </c>
      <c r="R164" s="114"/>
      <c r="S164" s="114">
        <f>S163</f>
        <v>0</v>
      </c>
      <c r="T164" s="114"/>
      <c r="U164" s="114"/>
      <c r="V164" s="114">
        <f t="shared" ref="V164:W164" si="293">V163</f>
        <v>0</v>
      </c>
      <c r="W164" s="114">
        <f t="shared" si="293"/>
        <v>0</v>
      </c>
      <c r="X164" s="114"/>
      <c r="Y164" s="114">
        <f t="shared" ref="Y164:Z164" si="294">Y163</f>
        <v>0</v>
      </c>
      <c r="Z164" s="115">
        <f t="shared" si="294"/>
        <v>3040</v>
      </c>
      <c r="AA164" s="115"/>
      <c r="AB164" s="115"/>
      <c r="AC164" s="115">
        <f t="shared" ref="AC164:BA164" si="295">AC163</f>
        <v>4279</v>
      </c>
      <c r="AD164" s="114">
        <f t="shared" si="295"/>
        <v>0</v>
      </c>
      <c r="AE164" s="114">
        <f t="shared" si="295"/>
        <v>0</v>
      </c>
      <c r="AF164" s="115">
        <f t="shared" si="295"/>
        <v>3040</v>
      </c>
      <c r="AG164" s="114">
        <f t="shared" si="295"/>
        <v>0</v>
      </c>
      <c r="AH164" s="115">
        <f t="shared" si="295"/>
        <v>15753.470000000001</v>
      </c>
      <c r="AI164" s="115">
        <f t="shared" si="295"/>
        <v>0</v>
      </c>
      <c r="AJ164" s="115">
        <f t="shared" si="295"/>
        <v>20142.98</v>
      </c>
      <c r="AK164" s="115">
        <f t="shared" si="295"/>
        <v>4632.885400000001</v>
      </c>
      <c r="AL164" s="115">
        <f t="shared" si="295"/>
        <v>5260.9500000000007</v>
      </c>
      <c r="AM164" s="115">
        <f t="shared" si="295"/>
        <v>0</v>
      </c>
      <c r="AN164" s="115">
        <f t="shared" si="295"/>
        <v>0</v>
      </c>
      <c r="AO164" s="115">
        <f t="shared" si="295"/>
        <v>0</v>
      </c>
      <c r="AP164" s="115">
        <f t="shared" si="295"/>
        <v>0</v>
      </c>
      <c r="AQ164" s="115">
        <f t="shared" si="295"/>
        <v>3294.83</v>
      </c>
      <c r="AR164" s="115">
        <f t="shared" si="295"/>
        <v>5340.8</v>
      </c>
      <c r="AS164" s="115">
        <f t="shared" si="295"/>
        <v>6869.2199999999993</v>
      </c>
      <c r="AT164" s="115">
        <f t="shared" si="295"/>
        <v>-5.399999997280247E-3</v>
      </c>
      <c r="AU164" s="115">
        <f t="shared" si="295"/>
        <v>15510.100000000002</v>
      </c>
      <c r="AV164" s="114">
        <f t="shared" si="295"/>
        <v>0</v>
      </c>
      <c r="AW164" s="114">
        <f t="shared" si="295"/>
        <v>0</v>
      </c>
      <c r="AX164" s="115">
        <f t="shared" si="295"/>
        <v>4632.885400000001</v>
      </c>
      <c r="AY164" s="115">
        <f t="shared" si="295"/>
        <v>4431.4556000000011</v>
      </c>
      <c r="AZ164" s="115">
        <f t="shared" si="295"/>
        <v>9064.3410000000003</v>
      </c>
      <c r="BA164" s="115">
        <f t="shared" si="295"/>
        <v>0</v>
      </c>
      <c r="BB164" s="56">
        <f t="shared" si="71"/>
        <v>-5.40000000364671E-3</v>
      </c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 ht="13.8">
      <c r="A165" s="199"/>
      <c r="B165" s="1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19"/>
      <c r="AB165" s="219"/>
      <c r="AC165" s="219"/>
      <c r="AD165" s="200"/>
      <c r="AE165" s="200"/>
      <c r="AF165" s="200"/>
      <c r="AG165" s="200"/>
      <c r="AH165" s="200"/>
      <c r="AI165" s="219"/>
      <c r="AJ165" s="200"/>
      <c r="AK165" s="200"/>
      <c r="AL165" s="200"/>
      <c r="AM165" s="200"/>
      <c r="AN165" s="200"/>
      <c r="AO165" s="200"/>
      <c r="AP165" s="200"/>
      <c r="AQ165" s="200"/>
      <c r="AR165" s="200"/>
      <c r="AS165" s="200"/>
      <c r="AT165" s="200"/>
      <c r="AU165" s="200"/>
      <c r="AV165" s="200"/>
      <c r="AW165" s="200"/>
      <c r="AX165" s="200"/>
      <c r="AY165" s="200"/>
      <c r="AZ165" s="200"/>
      <c r="BA165" s="200"/>
      <c r="BB165" s="32">
        <f t="shared" si="71"/>
        <v>0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 ht="15.6">
      <c r="A166" s="210"/>
      <c r="B166" s="211" t="s">
        <v>198</v>
      </c>
      <c r="C166" s="212"/>
      <c r="D166" s="212"/>
      <c r="E166" s="212"/>
      <c r="F166" s="212"/>
      <c r="G166" s="212"/>
      <c r="H166" s="212"/>
      <c r="I166" s="213"/>
      <c r="J166" s="213"/>
      <c r="K166" s="419">
        <f>K164+K155+K140+K133+K43</f>
        <v>0</v>
      </c>
      <c r="L166" s="213"/>
      <c r="M166" s="214">
        <f t="shared" ref="M166:N166" si="296">M164+M155+M140+M133+M43</f>
        <v>0</v>
      </c>
      <c r="N166" s="419">
        <f t="shared" si="296"/>
        <v>0</v>
      </c>
      <c r="O166" s="213"/>
      <c r="P166" s="214">
        <f t="shared" ref="P166:Q166" si="297">P164+P155+P140+P133+P43</f>
        <v>0</v>
      </c>
      <c r="Q166" s="419">
        <f t="shared" si="297"/>
        <v>31</v>
      </c>
      <c r="R166" s="213"/>
      <c r="S166" s="214">
        <f>S164+S155+S140+S133+S43</f>
        <v>18500</v>
      </c>
      <c r="T166" s="213"/>
      <c r="U166" s="213"/>
      <c r="V166" s="214">
        <f t="shared" ref="V166:W166" si="298">V164+V155+V140+V133+V43</f>
        <v>0</v>
      </c>
      <c r="W166" s="419">
        <f t="shared" si="298"/>
        <v>484</v>
      </c>
      <c r="X166" s="213"/>
      <c r="Y166" s="214">
        <f t="shared" ref="Y166:Z166" si="299">Y164+Y155+Y140+Y133+Y43</f>
        <v>77440</v>
      </c>
      <c r="Z166" s="214">
        <f t="shared" si="299"/>
        <v>54080</v>
      </c>
      <c r="AA166" s="214"/>
      <c r="AB166" s="214"/>
      <c r="AC166" s="214">
        <f t="shared" ref="AC166:BA166" si="300">AC164+AC155+AC140+AC133+AC43</f>
        <v>161308</v>
      </c>
      <c r="AD166" s="214">
        <f t="shared" si="300"/>
        <v>6559.92</v>
      </c>
      <c r="AE166" s="214">
        <f t="shared" si="300"/>
        <v>7082.66</v>
      </c>
      <c r="AF166" s="214">
        <f t="shared" si="300"/>
        <v>98240</v>
      </c>
      <c r="AG166" s="214">
        <f t="shared" si="300"/>
        <v>286619.52000000008</v>
      </c>
      <c r="AH166" s="214">
        <f t="shared" si="300"/>
        <v>636392.89545454551</v>
      </c>
      <c r="AI166" s="214">
        <f t="shared" si="300"/>
        <v>21428.571428571428</v>
      </c>
      <c r="AJ166" s="300">
        <f t="shared" si="300"/>
        <v>1244788.906883117</v>
      </c>
      <c r="AK166" s="301">
        <f t="shared" si="300"/>
        <v>286301.44858311687</v>
      </c>
      <c r="AL166" s="214">
        <f t="shared" si="300"/>
        <v>302948.81000000006</v>
      </c>
      <c r="AM166" s="214">
        <f t="shared" si="300"/>
        <v>0</v>
      </c>
      <c r="AN166" s="214">
        <f t="shared" si="300"/>
        <v>13236.27</v>
      </c>
      <c r="AO166" s="214">
        <f t="shared" si="300"/>
        <v>5453.52</v>
      </c>
      <c r="AP166" s="214">
        <f t="shared" si="300"/>
        <v>14933.779999999999</v>
      </c>
      <c r="AQ166" s="214">
        <f t="shared" si="300"/>
        <v>228328.18</v>
      </c>
      <c r="AR166" s="214">
        <f t="shared" si="300"/>
        <v>84394.270000000019</v>
      </c>
      <c r="AS166" s="214">
        <f t="shared" si="300"/>
        <v>314448.34999999998</v>
      </c>
      <c r="AT166" s="302">
        <f t="shared" si="300"/>
        <v>1199.9782999999775</v>
      </c>
      <c r="AU166" s="214">
        <f t="shared" si="300"/>
        <v>958487.48</v>
      </c>
      <c r="AV166" s="215">
        <f t="shared" si="300"/>
        <v>0</v>
      </c>
      <c r="AW166" s="215">
        <f t="shared" si="300"/>
        <v>0</v>
      </c>
      <c r="AX166" s="214">
        <f t="shared" si="300"/>
        <v>285726.44858311687</v>
      </c>
      <c r="AY166" s="214">
        <f t="shared" si="300"/>
        <v>252349.92089428572</v>
      </c>
      <c r="AZ166" s="303">
        <f t="shared" si="300"/>
        <v>538076.36947740265</v>
      </c>
      <c r="BA166" s="214">
        <f t="shared" si="300"/>
        <v>0</v>
      </c>
      <c r="BB166" s="56">
        <f t="shared" si="71"/>
        <v>-2.1699999808333814E-2</v>
      </c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 ht="13.8">
      <c r="A167" s="216"/>
      <c r="B167" s="1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  <c r="AB167" s="200"/>
      <c r="AC167" s="200"/>
      <c r="AD167" s="200"/>
      <c r="AE167" s="200"/>
      <c r="AF167" s="200"/>
      <c r="AG167" s="200"/>
      <c r="AH167" s="200"/>
      <c r="AI167" s="200"/>
      <c r="AJ167" s="200"/>
      <c r="AK167" s="200"/>
      <c r="AL167" s="200"/>
      <c r="AM167" s="200"/>
      <c r="AN167" s="200"/>
      <c r="AO167" s="200"/>
      <c r="AP167" s="200"/>
      <c r="AQ167" s="200"/>
      <c r="AR167" s="221"/>
      <c r="AS167" s="200"/>
      <c r="AT167" s="200"/>
      <c r="AU167" s="200"/>
      <c r="AV167" s="200"/>
      <c r="AW167" s="200"/>
      <c r="AX167" s="200"/>
      <c r="AY167" s="200"/>
      <c r="AZ167" s="200"/>
      <c r="BA167" s="200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 ht="13.8">
      <c r="A168" s="217"/>
      <c r="B168" s="218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21"/>
      <c r="AB168" s="221"/>
      <c r="AC168" s="221"/>
      <c r="AD168" s="200"/>
      <c r="AE168" s="200"/>
      <c r="AF168" s="200"/>
      <c r="AG168" s="200"/>
      <c r="AH168" s="200"/>
      <c r="AI168" s="200"/>
      <c r="AJ168" s="200"/>
      <c r="AK168" s="221"/>
      <c r="AL168" s="200"/>
      <c r="AM168" s="200"/>
      <c r="AN168" s="200"/>
      <c r="AO168" s="200"/>
      <c r="AP168" s="221"/>
      <c r="AQ168" s="221"/>
      <c r="AR168" s="200"/>
      <c r="AS168" s="200"/>
      <c r="AT168" s="200"/>
      <c r="AU168" s="200"/>
      <c r="AV168" s="200"/>
      <c r="AW168" s="200"/>
      <c r="AX168" s="200"/>
      <c r="AY168" s="200"/>
      <c r="AZ168" s="200"/>
      <c r="BA168" s="200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 ht="13.8">
      <c r="A169" s="216"/>
      <c r="B169" s="220">
        <v>1</v>
      </c>
      <c r="C169" s="109">
        <v>1</v>
      </c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  <c r="AB169" s="200"/>
      <c r="AC169" s="200"/>
      <c r="AD169" s="200"/>
      <c r="AE169" s="200"/>
      <c r="AF169" s="200"/>
      <c r="AG169" s="200"/>
      <c r="AH169" s="221"/>
      <c r="AI169" s="221"/>
      <c r="AJ169" s="200"/>
      <c r="AK169" s="200"/>
      <c r="AL169" s="200"/>
      <c r="AM169" s="200"/>
      <c r="AN169" s="200"/>
      <c r="AO169" s="200"/>
      <c r="AP169" s="200"/>
      <c r="AQ169" s="200"/>
      <c r="AR169" s="200"/>
      <c r="AS169" s="200"/>
      <c r="AT169" s="200"/>
      <c r="AU169" s="200"/>
      <c r="AV169" s="200"/>
      <c r="AW169" s="200"/>
      <c r="AX169" s="200"/>
      <c r="AY169" s="200"/>
      <c r="AZ169" s="200"/>
      <c r="BA169" s="200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 ht="17.399999999999999">
      <c r="A170" s="216"/>
      <c r="B170" s="222">
        <v>46054</v>
      </c>
      <c r="C170" s="109">
        <v>0.5</v>
      </c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21"/>
      <c r="AB170" s="221"/>
      <c r="AC170" s="221"/>
      <c r="AD170" s="200"/>
      <c r="AE170" s="200"/>
      <c r="AF170" s="200"/>
      <c r="AG170" s="200"/>
      <c r="AH170" s="200"/>
      <c r="AI170" s="200"/>
      <c r="AJ170" s="200"/>
      <c r="AK170" s="200"/>
      <c r="AL170" s="200"/>
      <c r="AM170" s="304"/>
      <c r="AN170" s="200"/>
      <c r="AO170" s="334"/>
      <c r="AP170" s="221"/>
      <c r="AQ170" s="450"/>
      <c r="AR170" s="451"/>
      <c r="AS170" s="451"/>
      <c r="AT170" s="200"/>
      <c r="AU170" s="200"/>
      <c r="AV170" s="200"/>
      <c r="AW170" s="200"/>
      <c r="AX170" s="200"/>
      <c r="AY170" s="200"/>
      <c r="AZ170" s="200"/>
      <c r="BA170" s="200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 ht="13.8">
      <c r="A171" s="216"/>
      <c r="B171" s="222">
        <v>46113</v>
      </c>
      <c r="C171" s="109">
        <v>0.25</v>
      </c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  <c r="AB171" s="200"/>
      <c r="AC171" s="200"/>
      <c r="AD171" s="200"/>
      <c r="AE171" s="200"/>
      <c r="AF171" s="200"/>
      <c r="AG171" s="200"/>
      <c r="AH171" s="200"/>
      <c r="AI171" s="221"/>
      <c r="AJ171" s="200"/>
      <c r="AK171" s="200"/>
      <c r="AL171" s="200"/>
      <c r="AM171" s="200"/>
      <c r="AN171" s="200"/>
      <c r="AO171" s="200"/>
      <c r="AP171" s="200"/>
      <c r="AQ171" s="200"/>
      <c r="AR171" s="200"/>
      <c r="AS171" s="200"/>
      <c r="AT171" s="200"/>
      <c r="AU171" s="200"/>
      <c r="AV171" s="200"/>
      <c r="AW171" s="200"/>
      <c r="AX171" s="200"/>
      <c r="AY171" s="200"/>
      <c r="AZ171" s="200"/>
      <c r="BA171" s="200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 ht="13.8">
      <c r="A172" s="216"/>
      <c r="B172" s="222">
        <v>46145</v>
      </c>
      <c r="C172" s="109">
        <v>0.6</v>
      </c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  <c r="AB172" s="200"/>
      <c r="AC172" s="200"/>
      <c r="AD172" s="200"/>
      <c r="AE172" s="420"/>
      <c r="AF172" s="420"/>
      <c r="AG172" s="420"/>
      <c r="AH172" s="420"/>
      <c r="AI172" s="420"/>
      <c r="AJ172" s="200"/>
      <c r="AK172" s="200"/>
      <c r="AL172" s="200"/>
      <c r="AM172" s="200"/>
      <c r="AN172" s="200"/>
      <c r="AO172" s="200"/>
      <c r="AP172" s="200"/>
      <c r="AQ172" s="221"/>
      <c r="AR172" s="200"/>
      <c r="AS172" s="200"/>
      <c r="AT172" s="200"/>
      <c r="AU172" s="200"/>
      <c r="AV172" s="200"/>
      <c r="AW172" s="200"/>
      <c r="AX172" s="200"/>
      <c r="AY172" s="200"/>
      <c r="AZ172" s="200"/>
      <c r="BA172" s="200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 ht="13.8">
      <c r="A173" s="216"/>
      <c r="B173" s="222">
        <v>46115</v>
      </c>
      <c r="C173" s="109">
        <v>0.75</v>
      </c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  <c r="AB173" s="200"/>
      <c r="AC173" s="200"/>
      <c r="AD173" s="200"/>
      <c r="AE173" s="420"/>
      <c r="AF173" s="420"/>
      <c r="AG173" s="420"/>
      <c r="AH173" s="420"/>
      <c r="AI173" s="420"/>
      <c r="AJ173" s="200"/>
      <c r="AK173" s="200"/>
      <c r="AL173" s="200"/>
      <c r="AM173" s="200"/>
      <c r="AN173" s="200"/>
      <c r="AO173" s="200"/>
      <c r="AP173" s="200"/>
      <c r="AQ173" s="200"/>
      <c r="AR173" s="200"/>
      <c r="AS173" s="200"/>
      <c r="AT173" s="200"/>
      <c r="AU173" s="200"/>
      <c r="AV173" s="200"/>
      <c r="AW173" s="200"/>
      <c r="AX173" s="200"/>
      <c r="AY173" s="200"/>
      <c r="AZ173" s="200"/>
      <c r="BA173" s="200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 ht="13.8">
      <c r="A174" s="216"/>
      <c r="B174" s="1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  <c r="AB174" s="200"/>
      <c r="AC174" s="200"/>
      <c r="AD174" s="200"/>
      <c r="AE174" s="420"/>
      <c r="AF174" s="420"/>
      <c r="AG174" s="421"/>
      <c r="AH174" s="420"/>
      <c r="AI174" s="420"/>
      <c r="AJ174" s="200"/>
      <c r="AK174" s="200"/>
      <c r="AL174" s="200"/>
      <c r="AM174" s="200"/>
      <c r="AN174" s="200"/>
      <c r="AO174" s="200"/>
      <c r="AP174" s="200"/>
      <c r="AQ174" s="200"/>
      <c r="AR174" s="200"/>
      <c r="AS174" s="200"/>
      <c r="AT174" s="200"/>
      <c r="AU174" s="200"/>
      <c r="AV174" s="200"/>
      <c r="AW174" s="200"/>
      <c r="AX174" s="200"/>
      <c r="AY174" s="200"/>
      <c r="AZ174" s="200"/>
      <c r="BA174" s="200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 ht="13.8">
      <c r="A175" s="216"/>
      <c r="B175" s="1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  <c r="AB175" s="200"/>
      <c r="AC175" s="200"/>
      <c r="AD175" s="200"/>
      <c r="AE175" s="420"/>
      <c r="AF175" s="420"/>
      <c r="AG175" s="421"/>
      <c r="AH175" s="420"/>
      <c r="AI175" s="420"/>
      <c r="AJ175" s="200"/>
      <c r="AK175" s="200"/>
      <c r="AL175" s="200"/>
      <c r="AM175" s="200"/>
      <c r="AN175" s="200"/>
      <c r="AO175" s="200"/>
      <c r="AP175" s="200"/>
      <c r="AQ175" s="200"/>
      <c r="AR175" s="200"/>
      <c r="AS175" s="200"/>
      <c r="AT175" s="200"/>
      <c r="AU175" s="200"/>
      <c r="AV175" s="200"/>
      <c r="AW175" s="200"/>
      <c r="AX175" s="200"/>
      <c r="AY175" s="200"/>
      <c r="AZ175" s="200"/>
      <c r="BA175" s="200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 ht="13.8">
      <c r="A176" s="216"/>
      <c r="B176" s="1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  <c r="AB176" s="200"/>
      <c r="AC176" s="200"/>
      <c r="AD176" s="200"/>
      <c r="AE176" s="420"/>
      <c r="AF176" s="420"/>
      <c r="AG176" s="421"/>
      <c r="AH176" s="420"/>
      <c r="AI176" s="420"/>
      <c r="AJ176" s="200"/>
      <c r="AK176" s="200"/>
      <c r="AL176" s="200"/>
      <c r="AM176" s="200"/>
      <c r="AN176" s="200"/>
      <c r="AO176" s="200"/>
      <c r="AP176" s="200"/>
      <c r="AQ176" s="200"/>
      <c r="AR176" s="200"/>
      <c r="AS176" s="200"/>
      <c r="AT176" s="200"/>
      <c r="AU176" s="200"/>
      <c r="AV176" s="200"/>
      <c r="AW176" s="200"/>
      <c r="AX176" s="200"/>
      <c r="AY176" s="200"/>
      <c r="AZ176" s="200"/>
      <c r="BA176" s="200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 ht="13.8">
      <c r="A177" s="1"/>
      <c r="B177" s="1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420"/>
      <c r="AF177" s="420"/>
      <c r="AG177" s="421"/>
      <c r="AH177" s="420"/>
      <c r="AI177" s="420"/>
      <c r="AJ177" s="200"/>
      <c r="AK177" s="200"/>
      <c r="AL177" s="200"/>
      <c r="AM177" s="200"/>
      <c r="AN177" s="200"/>
      <c r="AO177" s="200"/>
      <c r="AP177" s="200"/>
      <c r="AQ177" s="200"/>
      <c r="AR177" s="200"/>
      <c r="AS177" s="200"/>
      <c r="AT177" s="200"/>
      <c r="AU177" s="200"/>
      <c r="AV177" s="200"/>
      <c r="AW177" s="200"/>
      <c r="AX177" s="200"/>
      <c r="AY177" s="200"/>
      <c r="AZ177" s="200"/>
      <c r="BA177" s="200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 ht="13.8">
      <c r="A178" s="1"/>
      <c r="B178" s="1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420"/>
      <c r="AF178" s="420"/>
      <c r="AG178" s="421"/>
      <c r="AH178" s="420"/>
      <c r="AI178" s="420"/>
      <c r="AJ178" s="200"/>
      <c r="AK178" s="200"/>
      <c r="AL178" s="200"/>
      <c r="AM178" s="200"/>
      <c r="AN178" s="200"/>
      <c r="AO178" s="200"/>
      <c r="AP178" s="200"/>
      <c r="AQ178" s="200"/>
      <c r="AR178" s="200"/>
      <c r="AS178" s="200"/>
      <c r="AT178" s="200"/>
      <c r="AU178" s="200"/>
      <c r="AV178" s="200"/>
      <c r="AW178" s="200"/>
      <c r="AX178" s="200"/>
      <c r="AY178" s="200"/>
      <c r="AZ178" s="200"/>
      <c r="BA178" s="200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 ht="13.8">
      <c r="A179" s="1"/>
      <c r="B179" s="1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  <c r="AB179" s="200"/>
      <c r="AC179" s="200"/>
      <c r="AD179" s="200"/>
      <c r="AE179" s="420"/>
      <c r="AF179" s="420"/>
      <c r="AG179" s="420"/>
      <c r="AH179" s="420"/>
      <c r="AI179" s="420"/>
      <c r="AJ179" s="200"/>
      <c r="AK179" s="200"/>
      <c r="AL179" s="200"/>
      <c r="AM179" s="200"/>
      <c r="AN179" s="200"/>
      <c r="AO179" s="200"/>
      <c r="AP179" s="200"/>
      <c r="AQ179" s="200"/>
      <c r="AR179" s="200"/>
      <c r="AS179" s="200"/>
      <c r="AT179" s="200"/>
      <c r="AU179" s="200"/>
      <c r="AV179" s="200"/>
      <c r="AW179" s="200"/>
      <c r="AX179" s="200"/>
      <c r="AY179" s="200"/>
      <c r="AZ179" s="200"/>
      <c r="BA179" s="200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 ht="13.8">
      <c r="A180" s="1"/>
      <c r="B180" s="1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  <c r="AB180" s="200"/>
      <c r="AC180" s="200"/>
      <c r="AD180" s="200"/>
      <c r="AE180" s="420"/>
      <c r="AF180" s="420"/>
      <c r="AG180" s="420"/>
      <c r="AH180" s="420"/>
      <c r="AI180" s="420"/>
      <c r="AJ180" s="200"/>
      <c r="AK180" s="200"/>
      <c r="AL180" s="200"/>
      <c r="AM180" s="200"/>
      <c r="AN180" s="200"/>
      <c r="AO180" s="200"/>
      <c r="AP180" s="200"/>
      <c r="AQ180" s="200"/>
      <c r="AR180" s="200"/>
      <c r="AS180" s="200"/>
      <c r="AT180" s="200"/>
      <c r="AU180" s="200"/>
      <c r="AV180" s="200"/>
      <c r="AW180" s="200"/>
      <c r="AX180" s="200"/>
      <c r="AY180" s="200"/>
      <c r="AZ180" s="200"/>
      <c r="BA180" s="200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 ht="13.8">
      <c r="A181" s="1"/>
      <c r="B181" s="1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  <c r="AB181" s="200"/>
      <c r="AC181" s="200"/>
      <c r="AD181" s="200"/>
      <c r="AE181" s="200"/>
      <c r="AF181" s="200"/>
      <c r="AG181" s="200"/>
      <c r="AH181" s="200"/>
      <c r="AI181" s="200"/>
      <c r="AJ181" s="200"/>
      <c r="AK181" s="200"/>
      <c r="AL181" s="200"/>
      <c r="AM181" s="200"/>
      <c r="AN181" s="200"/>
      <c r="AO181" s="200"/>
      <c r="AP181" s="200"/>
      <c r="AQ181" s="200"/>
      <c r="AR181" s="200"/>
      <c r="AS181" s="200"/>
      <c r="AT181" s="200"/>
      <c r="AU181" s="200"/>
      <c r="AV181" s="200"/>
      <c r="AW181" s="200"/>
      <c r="AX181" s="200"/>
      <c r="AY181" s="200"/>
      <c r="AZ181" s="200"/>
      <c r="BA181" s="200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 ht="13.8">
      <c r="A182" s="1"/>
      <c r="B182" s="1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  <c r="AB182" s="200"/>
      <c r="AC182" s="200"/>
      <c r="AD182" s="200"/>
      <c r="AE182" s="200"/>
      <c r="AF182" s="200"/>
      <c r="AG182" s="200"/>
      <c r="AH182" s="200"/>
      <c r="AI182" s="200"/>
      <c r="AJ182" s="200"/>
      <c r="AK182" s="200"/>
      <c r="AL182" s="200"/>
      <c r="AM182" s="200"/>
      <c r="AN182" s="200"/>
      <c r="AO182" s="200"/>
      <c r="AP182" s="200"/>
      <c r="AQ182" s="200"/>
      <c r="AR182" s="200"/>
      <c r="AS182" s="200"/>
      <c r="AT182" s="200"/>
      <c r="AU182" s="200"/>
      <c r="AV182" s="200"/>
      <c r="AW182" s="200"/>
      <c r="AX182" s="200"/>
      <c r="AY182" s="200"/>
      <c r="AZ182" s="200"/>
      <c r="BA182" s="200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 ht="13.8">
      <c r="A183" s="1"/>
      <c r="B183" s="1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  <c r="AB183" s="200"/>
      <c r="AC183" s="200"/>
      <c r="AD183" s="200"/>
      <c r="AE183" s="200"/>
      <c r="AF183" s="200"/>
      <c r="AG183" s="200"/>
      <c r="AH183" s="200"/>
      <c r="AI183" s="200"/>
      <c r="AJ183" s="200"/>
      <c r="AK183" s="200"/>
      <c r="AL183" s="200"/>
      <c r="AM183" s="200"/>
      <c r="AN183" s="200"/>
      <c r="AO183" s="200"/>
      <c r="AP183" s="200"/>
      <c r="AQ183" s="200"/>
      <c r="AR183" s="200"/>
      <c r="AS183" s="200"/>
      <c r="AT183" s="200"/>
      <c r="AU183" s="200"/>
      <c r="AV183" s="200"/>
      <c r="AW183" s="200"/>
      <c r="AX183" s="200"/>
      <c r="AY183" s="200"/>
      <c r="AZ183" s="200"/>
      <c r="BA183" s="200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 ht="13.8">
      <c r="A184" s="1"/>
      <c r="B184" s="1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  <c r="AB184" s="200"/>
      <c r="AC184" s="200">
        <f>SUM(AC189:AC191)</f>
        <v>169054.30000000002</v>
      </c>
      <c r="AD184" s="200"/>
      <c r="AE184" s="200"/>
      <c r="AF184" s="200"/>
      <c r="AG184" s="200"/>
      <c r="AH184" s="200"/>
      <c r="AI184" s="200"/>
      <c r="AJ184" s="200"/>
      <c r="AK184" s="200"/>
      <c r="AL184" s="200"/>
      <c r="AM184" s="200"/>
      <c r="AN184" s="200"/>
      <c r="AO184" s="200"/>
      <c r="AP184" s="200"/>
      <c r="AQ184" s="200"/>
      <c r="AR184" s="200"/>
      <c r="AS184" s="200"/>
      <c r="AT184" s="200"/>
      <c r="AU184" s="200"/>
      <c r="AV184" s="200"/>
      <c r="AW184" s="200"/>
      <c r="AX184" s="200"/>
      <c r="AY184" s="200"/>
      <c r="AZ184" s="200"/>
      <c r="BA184" s="200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 ht="13.8">
      <c r="A185" s="1"/>
      <c r="B185" s="1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  <c r="AB185" s="200"/>
      <c r="AC185" s="200"/>
      <c r="AD185" s="200"/>
      <c r="AE185" s="200"/>
      <c r="AF185" s="200"/>
      <c r="AG185" s="200"/>
      <c r="AH185" s="200"/>
      <c r="AI185" s="200"/>
      <c r="AJ185" s="200"/>
      <c r="AK185" s="200"/>
      <c r="AL185" s="200"/>
      <c r="AM185" s="200"/>
      <c r="AN185" s="200"/>
      <c r="AO185" s="200"/>
      <c r="AP185" s="200"/>
      <c r="AQ185" s="200"/>
      <c r="AR185" s="200"/>
      <c r="AS185" s="200"/>
      <c r="AT185" s="200"/>
      <c r="AU185" s="200"/>
      <c r="AV185" s="200"/>
      <c r="AW185" s="200"/>
      <c r="AX185" s="200"/>
      <c r="AY185" s="200"/>
      <c r="AZ185" s="200"/>
      <c r="BA185" s="200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 ht="13.8">
      <c r="A186" s="1"/>
      <c r="B186" s="1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21"/>
      <c r="AB186" s="221">
        <v>2747.03</v>
      </c>
      <c r="AC186" s="200"/>
      <c r="AD186" s="200"/>
      <c r="AE186" s="200"/>
      <c r="AF186" s="200"/>
      <c r="AG186" s="200"/>
      <c r="AH186" s="200"/>
      <c r="AI186" s="200"/>
      <c r="AJ186" s="200"/>
      <c r="AK186" s="200"/>
      <c r="AL186" s="200"/>
      <c r="AM186" s="200"/>
      <c r="AN186" s="200"/>
      <c r="AO186" s="200"/>
      <c r="AP186" s="200"/>
      <c r="AQ186" s="200"/>
      <c r="AR186" s="200"/>
      <c r="AS186" s="200"/>
      <c r="AT186" s="200"/>
      <c r="AU186" s="200"/>
      <c r="AV186" s="200"/>
      <c r="AW186" s="200"/>
      <c r="AX186" s="200"/>
      <c r="AY186" s="200"/>
      <c r="AZ186" s="200"/>
      <c r="BA186" s="200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 ht="13.8">
      <c r="A187" s="1"/>
      <c r="B187" s="1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21"/>
      <c r="AB187" s="221">
        <v>161567.42000000001</v>
      </c>
      <c r="AC187" s="221">
        <v>375581.83</v>
      </c>
      <c r="AD187" s="221" t="s">
        <v>234</v>
      </c>
      <c r="AE187" s="200"/>
      <c r="AF187" s="200"/>
      <c r="AG187" s="200"/>
      <c r="AH187" s="200"/>
      <c r="AI187" s="200"/>
      <c r="AJ187" s="200"/>
      <c r="AK187" s="200"/>
      <c r="AL187" s="200"/>
      <c r="AM187" s="200"/>
      <c r="AN187" s="200"/>
      <c r="AO187" s="200"/>
      <c r="AP187" s="200"/>
      <c r="AQ187" s="200"/>
      <c r="AR187" s="200"/>
      <c r="AS187" s="200"/>
      <c r="AT187" s="200"/>
      <c r="AU187" s="200"/>
      <c r="AV187" s="200"/>
      <c r="AW187" s="200"/>
      <c r="AX187" s="200"/>
      <c r="AY187" s="200"/>
      <c r="AZ187" s="200"/>
      <c r="BA187" s="200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 ht="13.8">
      <c r="A188" s="1"/>
      <c r="B188" s="1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337"/>
      <c r="AB188" s="337">
        <f>AB186+AB187</f>
        <v>164314.45000000001</v>
      </c>
      <c r="AC188" s="200"/>
      <c r="AD188" s="200"/>
      <c r="AE188" s="200"/>
      <c r="AF188" s="200"/>
      <c r="AG188" s="200"/>
      <c r="AH188" s="200"/>
      <c r="AI188" s="200"/>
      <c r="AJ188" s="200"/>
      <c r="AK188" s="200"/>
      <c r="AL188" s="200"/>
      <c r="AM188" s="200"/>
      <c r="AN188" s="200"/>
      <c r="AO188" s="200"/>
      <c r="AP188" s="200"/>
      <c r="AQ188" s="200"/>
      <c r="AR188" s="200"/>
      <c r="AS188" s="200"/>
      <c r="AT188" s="200"/>
      <c r="AU188" s="200"/>
      <c r="AV188" s="200"/>
      <c r="AW188" s="200"/>
      <c r="AX188" s="200"/>
      <c r="AY188" s="200"/>
      <c r="AZ188" s="200"/>
      <c r="BA188" s="200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 ht="13.8">
      <c r="A189" s="1"/>
      <c r="B189" s="1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21"/>
      <c r="AB189" s="221">
        <v>42434.98</v>
      </c>
      <c r="AC189" s="221">
        <v>56414.63</v>
      </c>
      <c r="AD189" s="221">
        <v>22</v>
      </c>
      <c r="AE189" s="200"/>
      <c r="AF189" s="200"/>
      <c r="AG189" s="200"/>
      <c r="AH189" s="200"/>
      <c r="AI189" s="200"/>
      <c r="AJ189" s="200"/>
      <c r="AK189" s="200"/>
      <c r="AL189" s="200"/>
      <c r="AM189" s="200"/>
      <c r="AN189" s="200"/>
      <c r="AO189" s="200"/>
      <c r="AP189" s="200"/>
      <c r="AQ189" s="200"/>
      <c r="AR189" s="200"/>
      <c r="AS189" s="200"/>
      <c r="AT189" s="200"/>
      <c r="AU189" s="200"/>
      <c r="AV189" s="200"/>
      <c r="AW189" s="200"/>
      <c r="AX189" s="200"/>
      <c r="AY189" s="200"/>
      <c r="AZ189" s="200"/>
      <c r="BA189" s="200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 ht="13.8">
      <c r="A190" s="1"/>
      <c r="B190" s="1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21"/>
      <c r="AB190" s="221">
        <v>38807.379999999997</v>
      </c>
      <c r="AC190" s="221">
        <v>88152.85</v>
      </c>
      <c r="AD190" s="221">
        <v>18</v>
      </c>
      <c r="AE190" s="200"/>
      <c r="AF190" s="200"/>
      <c r="AG190" s="200"/>
      <c r="AH190" s="200"/>
      <c r="AI190" s="200"/>
      <c r="AJ190" s="200"/>
      <c r="AK190" s="200"/>
      <c r="AL190" s="200"/>
      <c r="AM190" s="200"/>
      <c r="AN190" s="200"/>
      <c r="AO190" s="200"/>
      <c r="AP190" s="200"/>
      <c r="AQ190" s="200"/>
      <c r="AR190" s="200"/>
      <c r="AS190" s="200"/>
      <c r="AT190" s="200"/>
      <c r="AU190" s="200"/>
      <c r="AV190" s="200"/>
      <c r="AW190" s="200"/>
      <c r="AX190" s="200"/>
      <c r="AY190" s="200"/>
      <c r="AZ190" s="200"/>
      <c r="BA190" s="200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 ht="13.8">
      <c r="A191" s="1"/>
      <c r="B191" s="1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21"/>
      <c r="AB191" s="221">
        <v>10779.82</v>
      </c>
      <c r="AC191" s="221">
        <v>24486.82</v>
      </c>
      <c r="AD191" s="221">
        <v>5</v>
      </c>
      <c r="AE191" s="200"/>
      <c r="AF191" s="200"/>
      <c r="AG191" s="200"/>
      <c r="AH191" s="200"/>
      <c r="AI191" s="200"/>
      <c r="AJ191" s="200"/>
      <c r="AK191" s="200"/>
      <c r="AL191" s="200"/>
      <c r="AM191" s="200"/>
      <c r="AN191" s="200"/>
      <c r="AO191" s="200"/>
      <c r="AP191" s="200"/>
      <c r="AQ191" s="200"/>
      <c r="AR191" s="200"/>
      <c r="AS191" s="200"/>
      <c r="AT191" s="200"/>
      <c r="AU191" s="200"/>
      <c r="AV191" s="200"/>
      <c r="AW191" s="200"/>
      <c r="AX191" s="200"/>
      <c r="AY191" s="200"/>
      <c r="AZ191" s="200"/>
      <c r="BA191" s="200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 ht="13.8">
      <c r="A192" s="1"/>
      <c r="B192" s="1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  <c r="AB192" s="200"/>
      <c r="AC192" s="200"/>
      <c r="AD192" s="200"/>
      <c r="AE192" s="200"/>
      <c r="AF192" s="200"/>
      <c r="AG192" s="200"/>
      <c r="AH192" s="200"/>
      <c r="AI192" s="200"/>
      <c r="AJ192" s="200"/>
      <c r="AK192" s="200"/>
      <c r="AL192" s="200"/>
      <c r="AM192" s="200"/>
      <c r="AN192" s="200"/>
      <c r="AO192" s="200"/>
      <c r="AP192" s="200"/>
      <c r="AQ192" s="200"/>
      <c r="AR192" s="200"/>
      <c r="AS192" s="200"/>
      <c r="AT192" s="200"/>
      <c r="AU192" s="200"/>
      <c r="AV192" s="200"/>
      <c r="AW192" s="200"/>
      <c r="AX192" s="200"/>
      <c r="AY192" s="200"/>
      <c r="AZ192" s="200"/>
      <c r="BA192" s="200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 ht="13.8">
      <c r="A193" s="1"/>
      <c r="B193" s="1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  <c r="AB193" s="200">
        <f>AB189+AB190+AB191+AB188</f>
        <v>256336.63</v>
      </c>
      <c r="AC193" s="200">
        <f>AC189+AC190+AC191+AC187</f>
        <v>544636.13</v>
      </c>
      <c r="AD193" s="200"/>
      <c r="AE193" s="200"/>
      <c r="AF193" s="200"/>
      <c r="AG193" s="200"/>
      <c r="AH193" s="200"/>
      <c r="AI193" s="200"/>
      <c r="AJ193" s="200"/>
      <c r="AK193" s="200"/>
      <c r="AL193" s="200"/>
      <c r="AM193" s="200"/>
      <c r="AN193" s="200"/>
      <c r="AO193" s="200"/>
      <c r="AP193" s="200"/>
      <c r="AQ193" s="200"/>
      <c r="AR193" s="200"/>
      <c r="AS193" s="200"/>
      <c r="AT193" s="200"/>
      <c r="AU193" s="200"/>
      <c r="AV193" s="200"/>
      <c r="AW193" s="200"/>
      <c r="AX193" s="200"/>
      <c r="AY193" s="200"/>
      <c r="AZ193" s="200"/>
      <c r="BA193" s="200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 ht="13.8">
      <c r="A194" s="1"/>
      <c r="B194" s="1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  <c r="AB194" s="200"/>
      <c r="AC194" s="200"/>
      <c r="AD194" s="200"/>
      <c r="AE194" s="200"/>
      <c r="AF194" s="200"/>
      <c r="AG194" s="200"/>
      <c r="AH194" s="200"/>
      <c r="AI194" s="200"/>
      <c r="AJ194" s="200"/>
      <c r="AK194" s="200"/>
      <c r="AL194" s="200"/>
      <c r="AM194" s="200"/>
      <c r="AN194" s="200"/>
      <c r="AO194" s="200"/>
      <c r="AP194" s="200"/>
      <c r="AQ194" s="200"/>
      <c r="AR194" s="200"/>
      <c r="AS194" s="200"/>
      <c r="AT194" s="200"/>
      <c r="AU194" s="200"/>
      <c r="AV194" s="200"/>
      <c r="AW194" s="200"/>
      <c r="AX194" s="200"/>
      <c r="AY194" s="200"/>
      <c r="AZ194" s="200"/>
      <c r="BA194" s="200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 ht="13.8">
      <c r="A195" s="1"/>
      <c r="B195" s="1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  <c r="AB195" s="200"/>
      <c r="AC195" s="200"/>
      <c r="AD195" s="200"/>
      <c r="AE195" s="200"/>
      <c r="AF195" s="200"/>
      <c r="AG195" s="200"/>
      <c r="AH195" s="200"/>
      <c r="AI195" s="200"/>
      <c r="AJ195" s="200"/>
      <c r="AK195" s="200"/>
      <c r="AL195" s="200"/>
      <c r="AM195" s="200"/>
      <c r="AN195" s="200"/>
      <c r="AO195" s="200"/>
      <c r="AP195" s="200"/>
      <c r="AQ195" s="200"/>
      <c r="AR195" s="200"/>
      <c r="AS195" s="200"/>
      <c r="AT195" s="200"/>
      <c r="AU195" s="200"/>
      <c r="AV195" s="200"/>
      <c r="AW195" s="200"/>
      <c r="AX195" s="200"/>
      <c r="AY195" s="200"/>
      <c r="AZ195" s="200"/>
      <c r="BA195" s="200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 ht="13.8">
      <c r="A196" s="1"/>
      <c r="B196" s="1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  <c r="AB196" s="200"/>
      <c r="AC196" s="200"/>
      <c r="AD196" s="200"/>
      <c r="AE196" s="200"/>
      <c r="AF196" s="200"/>
      <c r="AG196" s="200"/>
      <c r="AH196" s="200"/>
      <c r="AI196" s="200"/>
      <c r="AJ196" s="200"/>
      <c r="AK196" s="200"/>
      <c r="AL196" s="200"/>
      <c r="AM196" s="200"/>
      <c r="AN196" s="200"/>
      <c r="AO196" s="200"/>
      <c r="AP196" s="200"/>
      <c r="AQ196" s="200"/>
      <c r="AR196" s="200"/>
      <c r="AS196" s="200"/>
      <c r="AT196" s="200"/>
      <c r="AU196" s="200"/>
      <c r="AV196" s="200"/>
      <c r="AW196" s="200"/>
      <c r="AX196" s="200"/>
      <c r="AY196" s="200"/>
      <c r="AZ196" s="200"/>
      <c r="BA196" s="200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 ht="13.8">
      <c r="A197" s="1"/>
      <c r="B197" s="1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  <c r="AB197" s="200"/>
      <c r="AC197" s="200"/>
      <c r="AD197" s="200"/>
      <c r="AE197" s="200"/>
      <c r="AF197" s="200"/>
      <c r="AG197" s="200"/>
      <c r="AH197" s="200"/>
      <c r="AI197" s="200"/>
      <c r="AJ197" s="200"/>
      <c r="AK197" s="200"/>
      <c r="AL197" s="200"/>
      <c r="AM197" s="200"/>
      <c r="AN197" s="200"/>
      <c r="AO197" s="200"/>
      <c r="AP197" s="200"/>
      <c r="AQ197" s="200"/>
      <c r="AR197" s="200"/>
      <c r="AS197" s="200"/>
      <c r="AT197" s="200"/>
      <c r="AU197" s="200"/>
      <c r="AV197" s="200"/>
      <c r="AW197" s="200"/>
      <c r="AX197" s="200"/>
      <c r="AY197" s="200"/>
      <c r="AZ197" s="200"/>
      <c r="BA197" s="200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 ht="13.8">
      <c r="A198" s="1"/>
      <c r="B198" s="1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  <c r="AB198" s="200"/>
      <c r="AC198" s="200"/>
      <c r="AD198" s="200"/>
      <c r="AE198" s="200"/>
      <c r="AF198" s="200"/>
      <c r="AG198" s="200"/>
      <c r="AH198" s="200"/>
      <c r="AI198" s="200"/>
      <c r="AJ198" s="200"/>
      <c r="AK198" s="200"/>
      <c r="AL198" s="200"/>
      <c r="AM198" s="200"/>
      <c r="AN198" s="200"/>
      <c r="AO198" s="200"/>
      <c r="AP198" s="200"/>
      <c r="AQ198" s="200"/>
      <c r="AR198" s="200"/>
      <c r="AS198" s="200"/>
      <c r="AT198" s="200"/>
      <c r="AU198" s="200"/>
      <c r="AV198" s="200"/>
      <c r="AW198" s="200"/>
      <c r="AX198" s="200"/>
      <c r="AY198" s="200"/>
      <c r="AZ198" s="200"/>
      <c r="BA198" s="200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 ht="13.8">
      <c r="A199" s="1"/>
      <c r="B199" s="1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  <c r="AB199" s="200"/>
      <c r="AC199" s="200"/>
      <c r="AD199" s="200"/>
      <c r="AE199" s="200"/>
      <c r="AF199" s="200"/>
      <c r="AG199" s="200"/>
      <c r="AH199" s="200"/>
      <c r="AI199" s="200"/>
      <c r="AJ199" s="200"/>
      <c r="AK199" s="200"/>
      <c r="AL199" s="200"/>
      <c r="AM199" s="200"/>
      <c r="AN199" s="200"/>
      <c r="AO199" s="200"/>
      <c r="AP199" s="200"/>
      <c r="AQ199" s="200"/>
      <c r="AR199" s="200"/>
      <c r="AS199" s="200"/>
      <c r="AT199" s="200"/>
      <c r="AU199" s="200"/>
      <c r="AV199" s="200"/>
      <c r="AW199" s="200"/>
      <c r="AX199" s="200"/>
      <c r="AY199" s="200"/>
      <c r="AZ199" s="200"/>
      <c r="BA199" s="200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 ht="13.8">
      <c r="A200" s="1"/>
      <c r="B200" s="1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200"/>
      <c r="AQ200" s="200"/>
      <c r="AR200" s="200"/>
      <c r="AS200" s="200"/>
      <c r="AT200" s="200"/>
      <c r="AU200" s="200"/>
      <c r="AV200" s="200"/>
      <c r="AW200" s="200"/>
      <c r="AX200" s="200"/>
      <c r="AY200" s="200"/>
      <c r="AZ200" s="200"/>
      <c r="BA200" s="200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 ht="13.8">
      <c r="A201" s="1"/>
      <c r="B201" s="1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200"/>
      <c r="AQ201" s="200"/>
      <c r="AR201" s="200"/>
      <c r="AS201" s="200"/>
      <c r="AT201" s="200"/>
      <c r="AU201" s="200"/>
      <c r="AV201" s="200"/>
      <c r="AW201" s="200"/>
      <c r="AX201" s="200"/>
      <c r="AY201" s="200"/>
      <c r="AZ201" s="200"/>
      <c r="BA201" s="200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 ht="13.8">
      <c r="A202" s="1"/>
      <c r="B202" s="1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  <c r="AB202" s="200"/>
      <c r="AC202" s="200"/>
      <c r="AD202" s="200"/>
      <c r="AE202" s="200"/>
      <c r="AF202" s="200"/>
      <c r="AG202" s="200"/>
      <c r="AH202" s="200"/>
      <c r="AI202" s="200"/>
      <c r="AJ202" s="200"/>
      <c r="AK202" s="200"/>
      <c r="AL202" s="200"/>
      <c r="AM202" s="200"/>
      <c r="AN202" s="200"/>
      <c r="AO202" s="200"/>
      <c r="AP202" s="200"/>
      <c r="AQ202" s="200"/>
      <c r="AR202" s="200"/>
      <c r="AS202" s="200"/>
      <c r="AT202" s="200"/>
      <c r="AU202" s="200"/>
      <c r="AV202" s="200"/>
      <c r="AW202" s="200"/>
      <c r="AX202" s="200"/>
      <c r="AY202" s="200"/>
      <c r="AZ202" s="200"/>
      <c r="BA202" s="200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 ht="13.8">
      <c r="A203" s="1"/>
      <c r="B203" s="1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  <c r="AB203" s="200"/>
      <c r="AC203" s="200"/>
      <c r="AD203" s="200"/>
      <c r="AE203" s="200"/>
      <c r="AF203" s="200"/>
      <c r="AG203" s="200"/>
      <c r="AH203" s="200"/>
      <c r="AI203" s="200"/>
      <c r="AJ203" s="200"/>
      <c r="AK203" s="200"/>
      <c r="AL203" s="200"/>
      <c r="AM203" s="200"/>
      <c r="AN203" s="200"/>
      <c r="AO203" s="200"/>
      <c r="AP203" s="200"/>
      <c r="AQ203" s="200"/>
      <c r="AR203" s="200"/>
      <c r="AS203" s="200"/>
      <c r="AT203" s="200"/>
      <c r="AU203" s="200"/>
      <c r="AV203" s="200"/>
      <c r="AW203" s="200"/>
      <c r="AX203" s="200"/>
      <c r="AY203" s="200"/>
      <c r="AZ203" s="200"/>
      <c r="BA203" s="200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 ht="13.8">
      <c r="A204" s="1"/>
      <c r="B204" s="1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  <c r="AB204" s="200"/>
      <c r="AC204" s="200"/>
      <c r="AD204" s="200"/>
      <c r="AE204" s="200"/>
      <c r="AF204" s="200"/>
      <c r="AG204" s="200"/>
      <c r="AH204" s="200"/>
      <c r="AI204" s="200"/>
      <c r="AJ204" s="200"/>
      <c r="AK204" s="200"/>
      <c r="AL204" s="200"/>
      <c r="AM204" s="200"/>
      <c r="AN204" s="200"/>
      <c r="AO204" s="200"/>
      <c r="AP204" s="200"/>
      <c r="AQ204" s="200"/>
      <c r="AR204" s="200"/>
      <c r="AS204" s="200"/>
      <c r="AT204" s="200"/>
      <c r="AU204" s="200"/>
      <c r="AV204" s="200"/>
      <c r="AW204" s="200"/>
      <c r="AX204" s="200"/>
      <c r="AY204" s="200"/>
      <c r="AZ204" s="200"/>
      <c r="BA204" s="200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 ht="13.8">
      <c r="A205" s="1"/>
      <c r="B205" s="1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  <c r="AB205" s="200"/>
      <c r="AC205" s="200"/>
      <c r="AD205" s="200"/>
      <c r="AE205" s="200"/>
      <c r="AF205" s="200"/>
      <c r="AG205" s="200"/>
      <c r="AH205" s="200"/>
      <c r="AI205" s="200"/>
      <c r="AJ205" s="200"/>
      <c r="AK205" s="200"/>
      <c r="AL205" s="200"/>
      <c r="AM205" s="200"/>
      <c r="AN205" s="200"/>
      <c r="AO205" s="200"/>
      <c r="AP205" s="200"/>
      <c r="AQ205" s="200"/>
      <c r="AR205" s="200"/>
      <c r="AS205" s="200"/>
      <c r="AT205" s="200"/>
      <c r="AU205" s="200"/>
      <c r="AV205" s="200"/>
      <c r="AW205" s="200"/>
      <c r="AX205" s="200"/>
      <c r="AY205" s="200"/>
      <c r="AZ205" s="200"/>
      <c r="BA205" s="200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 ht="13.8">
      <c r="A206" s="1"/>
      <c r="B206" s="1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  <c r="AB206" s="200"/>
      <c r="AC206" s="200"/>
      <c r="AD206" s="200"/>
      <c r="AE206" s="200"/>
      <c r="AF206" s="200"/>
      <c r="AG206" s="200"/>
      <c r="AH206" s="200"/>
      <c r="AI206" s="200"/>
      <c r="AJ206" s="200"/>
      <c r="AK206" s="200"/>
      <c r="AL206" s="200"/>
      <c r="AM206" s="200"/>
      <c r="AN206" s="200"/>
      <c r="AO206" s="200"/>
      <c r="AP206" s="200"/>
      <c r="AQ206" s="200"/>
      <c r="AR206" s="200"/>
      <c r="AS206" s="200"/>
      <c r="AT206" s="200"/>
      <c r="AU206" s="200"/>
      <c r="AV206" s="200"/>
      <c r="AW206" s="200"/>
      <c r="AX206" s="200"/>
      <c r="AY206" s="200"/>
      <c r="AZ206" s="200"/>
      <c r="BA206" s="200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 ht="13.8">
      <c r="A207" s="1"/>
      <c r="B207" s="1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  <c r="AB207" s="200"/>
      <c r="AC207" s="200"/>
      <c r="AD207" s="200"/>
      <c r="AE207" s="200"/>
      <c r="AF207" s="200"/>
      <c r="AG207" s="200"/>
      <c r="AH207" s="200"/>
      <c r="AI207" s="200"/>
      <c r="AJ207" s="200"/>
      <c r="AK207" s="200"/>
      <c r="AL207" s="200"/>
      <c r="AM207" s="200"/>
      <c r="AN207" s="200"/>
      <c r="AO207" s="200"/>
      <c r="AP207" s="200"/>
      <c r="AQ207" s="200"/>
      <c r="AR207" s="200"/>
      <c r="AS207" s="200"/>
      <c r="AT207" s="200"/>
      <c r="AU207" s="200"/>
      <c r="AV207" s="200"/>
      <c r="AW207" s="200"/>
      <c r="AX207" s="200"/>
      <c r="AY207" s="200"/>
      <c r="AZ207" s="200"/>
      <c r="BA207" s="200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 ht="13.8">
      <c r="A208" s="1"/>
      <c r="B208" s="1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  <c r="AB208" s="200"/>
      <c r="AC208" s="200"/>
      <c r="AD208" s="200"/>
      <c r="AE208" s="200"/>
      <c r="AF208" s="200"/>
      <c r="AG208" s="200"/>
      <c r="AH208" s="200"/>
      <c r="AI208" s="200"/>
      <c r="AJ208" s="200"/>
      <c r="AK208" s="200"/>
      <c r="AL208" s="200"/>
      <c r="AM208" s="200"/>
      <c r="AN208" s="200"/>
      <c r="AO208" s="200"/>
      <c r="AP208" s="200"/>
      <c r="AQ208" s="200"/>
      <c r="AR208" s="200"/>
      <c r="AS208" s="200"/>
      <c r="AT208" s="200"/>
      <c r="AU208" s="200"/>
      <c r="AV208" s="200"/>
      <c r="AW208" s="200"/>
      <c r="AX208" s="200"/>
      <c r="AY208" s="200"/>
      <c r="AZ208" s="200"/>
      <c r="BA208" s="200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 ht="13.8">
      <c r="A209" s="1"/>
      <c r="B209" s="1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  <c r="AB209" s="200"/>
      <c r="AC209" s="200"/>
      <c r="AD209" s="200"/>
      <c r="AE209" s="200"/>
      <c r="AF209" s="200"/>
      <c r="AG209" s="200"/>
      <c r="AH209" s="200"/>
      <c r="AI209" s="200"/>
      <c r="AJ209" s="200"/>
      <c r="AK209" s="200"/>
      <c r="AL209" s="200"/>
      <c r="AM209" s="200"/>
      <c r="AN209" s="200"/>
      <c r="AO209" s="200"/>
      <c r="AP209" s="200"/>
      <c r="AQ209" s="200"/>
      <c r="AR209" s="200"/>
      <c r="AS209" s="200"/>
      <c r="AT209" s="200"/>
      <c r="AU209" s="200"/>
      <c r="AV209" s="200"/>
      <c r="AW209" s="200"/>
      <c r="AX209" s="200"/>
      <c r="AY209" s="200"/>
      <c r="AZ209" s="200"/>
      <c r="BA209" s="200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 ht="13.8">
      <c r="A210" s="1"/>
      <c r="B210" s="1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  <c r="AB210" s="200"/>
      <c r="AC210" s="200"/>
      <c r="AD210" s="200"/>
      <c r="AE210" s="200"/>
      <c r="AF210" s="200"/>
      <c r="AG210" s="200"/>
      <c r="AH210" s="200"/>
      <c r="AI210" s="200"/>
      <c r="AJ210" s="200"/>
      <c r="AK210" s="200"/>
      <c r="AL210" s="200"/>
      <c r="AM210" s="200"/>
      <c r="AN210" s="200"/>
      <c r="AO210" s="200"/>
      <c r="AP210" s="200"/>
      <c r="AQ210" s="200"/>
      <c r="AR210" s="200"/>
      <c r="AS210" s="200"/>
      <c r="AT210" s="200"/>
      <c r="AU210" s="200"/>
      <c r="AV210" s="200"/>
      <c r="AW210" s="200"/>
      <c r="AX210" s="200"/>
      <c r="AY210" s="200"/>
      <c r="AZ210" s="200"/>
      <c r="BA210" s="200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 ht="13.8">
      <c r="A211" s="1"/>
      <c r="B211" s="1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  <c r="AB211" s="200"/>
      <c r="AC211" s="200"/>
      <c r="AD211" s="200"/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200"/>
      <c r="AQ211" s="200"/>
      <c r="AR211" s="200"/>
      <c r="AS211" s="200"/>
      <c r="AT211" s="200"/>
      <c r="AU211" s="200"/>
      <c r="AV211" s="200"/>
      <c r="AW211" s="200"/>
      <c r="AX211" s="200"/>
      <c r="AY211" s="200"/>
      <c r="AZ211" s="200"/>
      <c r="BA211" s="200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 ht="13.8">
      <c r="A212" s="1"/>
      <c r="B212" s="1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200"/>
      <c r="AG212" s="200"/>
      <c r="AH212" s="200"/>
      <c r="AI212" s="200"/>
      <c r="AJ212" s="200"/>
      <c r="AK212" s="200"/>
      <c r="AL212" s="200"/>
      <c r="AM212" s="200"/>
      <c r="AN212" s="200"/>
      <c r="AO212" s="200"/>
      <c r="AP212" s="200"/>
      <c r="AQ212" s="200"/>
      <c r="AR212" s="200"/>
      <c r="AS212" s="200"/>
      <c r="AT212" s="200"/>
      <c r="AU212" s="200"/>
      <c r="AV212" s="200"/>
      <c r="AW212" s="200"/>
      <c r="AX212" s="200"/>
      <c r="AY212" s="200"/>
      <c r="AZ212" s="200"/>
      <c r="BA212" s="200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 ht="13.8">
      <c r="A213" s="1"/>
      <c r="B213" s="1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200"/>
      <c r="AG213" s="200"/>
      <c r="AH213" s="200"/>
      <c r="AI213" s="200"/>
      <c r="AJ213" s="200"/>
      <c r="AK213" s="200"/>
      <c r="AL213" s="200"/>
      <c r="AM213" s="200"/>
      <c r="AN213" s="200"/>
      <c r="AO213" s="200"/>
      <c r="AP213" s="200"/>
      <c r="AQ213" s="200"/>
      <c r="AR213" s="200"/>
      <c r="AS213" s="200"/>
      <c r="AT213" s="200"/>
      <c r="AU213" s="200"/>
      <c r="AV213" s="200"/>
      <c r="AW213" s="200"/>
      <c r="AX213" s="200"/>
      <c r="AY213" s="200"/>
      <c r="AZ213" s="200"/>
      <c r="BA213" s="200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 ht="13.8">
      <c r="A214" s="1"/>
      <c r="B214" s="1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  <c r="AB214" s="200"/>
      <c r="AC214" s="200"/>
      <c r="AD214" s="200"/>
      <c r="AE214" s="200"/>
      <c r="AF214" s="200"/>
      <c r="AG214" s="200"/>
      <c r="AH214" s="200"/>
      <c r="AI214" s="200"/>
      <c r="AJ214" s="200"/>
      <c r="AK214" s="200"/>
      <c r="AL214" s="200"/>
      <c r="AM214" s="200"/>
      <c r="AN214" s="200"/>
      <c r="AO214" s="200"/>
      <c r="AP214" s="200"/>
      <c r="AQ214" s="200"/>
      <c r="AR214" s="200"/>
      <c r="AS214" s="200"/>
      <c r="AT214" s="200"/>
      <c r="AU214" s="200"/>
      <c r="AV214" s="200"/>
      <c r="AW214" s="200"/>
      <c r="AX214" s="200"/>
      <c r="AY214" s="200"/>
      <c r="AZ214" s="200"/>
      <c r="BA214" s="200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 ht="13.8">
      <c r="A215" s="1"/>
      <c r="B215" s="1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200"/>
      <c r="AG215" s="200"/>
      <c r="AH215" s="200"/>
      <c r="AI215" s="200"/>
      <c r="AJ215" s="200"/>
      <c r="AK215" s="200"/>
      <c r="AL215" s="200"/>
      <c r="AM215" s="200"/>
      <c r="AN215" s="200"/>
      <c r="AO215" s="200"/>
      <c r="AP215" s="200"/>
      <c r="AQ215" s="200"/>
      <c r="AR215" s="200"/>
      <c r="AS215" s="200"/>
      <c r="AT215" s="200"/>
      <c r="AU215" s="200"/>
      <c r="AV215" s="200"/>
      <c r="AW215" s="200"/>
      <c r="AX215" s="200"/>
      <c r="AY215" s="200"/>
      <c r="AZ215" s="200"/>
      <c r="BA215" s="200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 ht="13.8">
      <c r="A216" s="1"/>
      <c r="B216" s="1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200"/>
      <c r="AG216" s="200"/>
      <c r="AH216" s="200"/>
      <c r="AI216" s="200"/>
      <c r="AJ216" s="200"/>
      <c r="AK216" s="200"/>
      <c r="AL216" s="200"/>
      <c r="AM216" s="200"/>
      <c r="AN216" s="200"/>
      <c r="AO216" s="200"/>
      <c r="AP216" s="200"/>
      <c r="AQ216" s="200"/>
      <c r="AR216" s="200"/>
      <c r="AS216" s="200"/>
      <c r="AT216" s="200"/>
      <c r="AU216" s="200"/>
      <c r="AV216" s="200"/>
      <c r="AW216" s="200"/>
      <c r="AX216" s="200"/>
      <c r="AY216" s="200"/>
      <c r="AZ216" s="200"/>
      <c r="BA216" s="200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 ht="13.8">
      <c r="A217" s="1"/>
      <c r="B217" s="1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  <c r="AB217" s="200"/>
      <c r="AC217" s="200"/>
      <c r="AD217" s="200"/>
      <c r="AE217" s="200"/>
      <c r="AF217" s="200"/>
      <c r="AG217" s="200"/>
      <c r="AH217" s="200"/>
      <c r="AI217" s="200"/>
      <c r="AJ217" s="200"/>
      <c r="AK217" s="200"/>
      <c r="AL217" s="200"/>
      <c r="AM217" s="200"/>
      <c r="AN217" s="200"/>
      <c r="AO217" s="200"/>
      <c r="AP217" s="200"/>
      <c r="AQ217" s="200"/>
      <c r="AR217" s="200"/>
      <c r="AS217" s="200"/>
      <c r="AT217" s="200"/>
      <c r="AU217" s="200"/>
      <c r="AV217" s="200"/>
      <c r="AW217" s="200"/>
      <c r="AX217" s="200"/>
      <c r="AY217" s="200"/>
      <c r="AZ217" s="200"/>
      <c r="BA217" s="200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 ht="13.8">
      <c r="A218" s="1"/>
      <c r="B218" s="1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  <c r="AB218" s="200"/>
      <c r="AC218" s="200"/>
      <c r="AD218" s="200"/>
      <c r="AE218" s="200"/>
      <c r="AF218" s="200"/>
      <c r="AG218" s="200"/>
      <c r="AH218" s="200"/>
      <c r="AI218" s="200"/>
      <c r="AJ218" s="200"/>
      <c r="AK218" s="200"/>
      <c r="AL218" s="200"/>
      <c r="AM218" s="200"/>
      <c r="AN218" s="200"/>
      <c r="AO218" s="200"/>
      <c r="AP218" s="200"/>
      <c r="AQ218" s="200"/>
      <c r="AR218" s="200"/>
      <c r="AS218" s="200"/>
      <c r="AT218" s="200"/>
      <c r="AU218" s="200"/>
      <c r="AV218" s="200"/>
      <c r="AW218" s="200"/>
      <c r="AX218" s="200"/>
      <c r="AY218" s="200"/>
      <c r="AZ218" s="200"/>
      <c r="BA218" s="200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 ht="13.8">
      <c r="A219" s="1"/>
      <c r="B219" s="1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  <c r="AB219" s="200"/>
      <c r="AC219" s="200"/>
      <c r="AD219" s="200"/>
      <c r="AE219" s="200"/>
      <c r="AF219" s="200"/>
      <c r="AG219" s="200"/>
      <c r="AH219" s="200"/>
      <c r="AI219" s="200"/>
      <c r="AJ219" s="200"/>
      <c r="AK219" s="200"/>
      <c r="AL219" s="200"/>
      <c r="AM219" s="200"/>
      <c r="AN219" s="200"/>
      <c r="AO219" s="200"/>
      <c r="AP219" s="200"/>
      <c r="AQ219" s="200"/>
      <c r="AR219" s="200"/>
      <c r="AS219" s="200"/>
      <c r="AT219" s="200"/>
      <c r="AU219" s="200"/>
      <c r="AV219" s="200"/>
      <c r="AW219" s="200"/>
      <c r="AX219" s="200"/>
      <c r="AY219" s="200"/>
      <c r="AZ219" s="200"/>
      <c r="BA219" s="200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 ht="13.8">
      <c r="A220" s="1"/>
      <c r="B220" s="1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0"/>
      <c r="AH220" s="200"/>
      <c r="AI220" s="200"/>
      <c r="AJ220" s="200"/>
      <c r="AK220" s="200"/>
      <c r="AL220" s="200"/>
      <c r="AM220" s="200"/>
      <c r="AN220" s="200"/>
      <c r="AO220" s="200"/>
      <c r="AP220" s="200"/>
      <c r="AQ220" s="200"/>
      <c r="AR220" s="200"/>
      <c r="AS220" s="200"/>
      <c r="AT220" s="200"/>
      <c r="AU220" s="200"/>
      <c r="AV220" s="200"/>
      <c r="AW220" s="200"/>
      <c r="AX220" s="200"/>
      <c r="AY220" s="200"/>
      <c r="AZ220" s="200"/>
      <c r="BA220" s="200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 ht="13.8">
      <c r="A221" s="1"/>
      <c r="B221" s="1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  <c r="AB221" s="200"/>
      <c r="AC221" s="200"/>
      <c r="AD221" s="200"/>
      <c r="AE221" s="200"/>
      <c r="AF221" s="200"/>
      <c r="AG221" s="200"/>
      <c r="AH221" s="200"/>
      <c r="AI221" s="200"/>
      <c r="AJ221" s="200"/>
      <c r="AK221" s="200"/>
      <c r="AL221" s="200"/>
      <c r="AM221" s="200"/>
      <c r="AN221" s="200"/>
      <c r="AO221" s="200"/>
      <c r="AP221" s="200"/>
      <c r="AQ221" s="200"/>
      <c r="AR221" s="200"/>
      <c r="AS221" s="200"/>
      <c r="AT221" s="200"/>
      <c r="AU221" s="200"/>
      <c r="AV221" s="200"/>
      <c r="AW221" s="200"/>
      <c r="AX221" s="200"/>
      <c r="AY221" s="200"/>
      <c r="AZ221" s="200"/>
      <c r="BA221" s="200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 ht="13.8">
      <c r="A222" s="1"/>
      <c r="B222" s="1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  <c r="AB222" s="200"/>
      <c r="AC222" s="200"/>
      <c r="AD222" s="200"/>
      <c r="AE222" s="200"/>
      <c r="AF222" s="200"/>
      <c r="AG222" s="200"/>
      <c r="AH222" s="200"/>
      <c r="AI222" s="200"/>
      <c r="AJ222" s="200"/>
      <c r="AK222" s="200"/>
      <c r="AL222" s="200"/>
      <c r="AM222" s="200"/>
      <c r="AN222" s="200"/>
      <c r="AO222" s="200"/>
      <c r="AP222" s="200"/>
      <c r="AQ222" s="200"/>
      <c r="AR222" s="200"/>
      <c r="AS222" s="200"/>
      <c r="AT222" s="200"/>
      <c r="AU222" s="200"/>
      <c r="AV222" s="200"/>
      <c r="AW222" s="200"/>
      <c r="AX222" s="200"/>
      <c r="AY222" s="200"/>
      <c r="AZ222" s="200"/>
      <c r="BA222" s="200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 ht="13.8">
      <c r="A223" s="1"/>
      <c r="B223" s="1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200"/>
      <c r="AG223" s="200"/>
      <c r="AH223" s="200"/>
      <c r="AI223" s="200"/>
      <c r="AJ223" s="200"/>
      <c r="AK223" s="200"/>
      <c r="AL223" s="200"/>
      <c r="AM223" s="200"/>
      <c r="AN223" s="200"/>
      <c r="AO223" s="200"/>
      <c r="AP223" s="200"/>
      <c r="AQ223" s="200"/>
      <c r="AR223" s="200"/>
      <c r="AS223" s="200"/>
      <c r="AT223" s="200"/>
      <c r="AU223" s="200"/>
      <c r="AV223" s="200"/>
      <c r="AW223" s="200"/>
      <c r="AX223" s="200"/>
      <c r="AY223" s="200"/>
      <c r="AZ223" s="200"/>
      <c r="BA223" s="200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 ht="13.8">
      <c r="A224" s="1"/>
      <c r="B224" s="1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200"/>
      <c r="AG224" s="200"/>
      <c r="AH224" s="200"/>
      <c r="AI224" s="200"/>
      <c r="AJ224" s="200"/>
      <c r="AK224" s="200"/>
      <c r="AL224" s="200"/>
      <c r="AM224" s="200"/>
      <c r="AN224" s="200"/>
      <c r="AO224" s="200"/>
      <c r="AP224" s="200"/>
      <c r="AQ224" s="200"/>
      <c r="AR224" s="200"/>
      <c r="AS224" s="200"/>
      <c r="AT224" s="200"/>
      <c r="AU224" s="200"/>
      <c r="AV224" s="200"/>
      <c r="AW224" s="200"/>
      <c r="AX224" s="200"/>
      <c r="AY224" s="200"/>
      <c r="AZ224" s="200"/>
      <c r="BA224" s="200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 ht="13.8">
      <c r="A225" s="1"/>
      <c r="B225" s="1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  <c r="AB225" s="200"/>
      <c r="AC225" s="200"/>
      <c r="AD225" s="200"/>
      <c r="AE225" s="200"/>
      <c r="AF225" s="200"/>
      <c r="AG225" s="200"/>
      <c r="AH225" s="200"/>
      <c r="AI225" s="200"/>
      <c r="AJ225" s="200"/>
      <c r="AK225" s="200"/>
      <c r="AL225" s="200"/>
      <c r="AM225" s="200"/>
      <c r="AN225" s="200"/>
      <c r="AO225" s="200"/>
      <c r="AP225" s="200"/>
      <c r="AQ225" s="200"/>
      <c r="AR225" s="200"/>
      <c r="AS225" s="200"/>
      <c r="AT225" s="200"/>
      <c r="AU225" s="200"/>
      <c r="AV225" s="200"/>
      <c r="AW225" s="200"/>
      <c r="AX225" s="200"/>
      <c r="AY225" s="200"/>
      <c r="AZ225" s="200"/>
      <c r="BA225" s="200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 ht="13.8">
      <c r="A226" s="1"/>
      <c r="B226" s="1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200"/>
      <c r="AG226" s="200"/>
      <c r="AH226" s="200"/>
      <c r="AI226" s="200"/>
      <c r="AJ226" s="200"/>
      <c r="AK226" s="200"/>
      <c r="AL226" s="200"/>
      <c r="AM226" s="200"/>
      <c r="AN226" s="200"/>
      <c r="AO226" s="200"/>
      <c r="AP226" s="200"/>
      <c r="AQ226" s="200"/>
      <c r="AR226" s="200"/>
      <c r="AS226" s="200"/>
      <c r="AT226" s="200"/>
      <c r="AU226" s="200"/>
      <c r="AV226" s="200"/>
      <c r="AW226" s="200"/>
      <c r="AX226" s="200"/>
      <c r="AY226" s="200"/>
      <c r="AZ226" s="200"/>
      <c r="BA226" s="200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 ht="13.8">
      <c r="A227" s="1"/>
      <c r="B227" s="1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200"/>
      <c r="AG227" s="200"/>
      <c r="AH227" s="200"/>
      <c r="AI227" s="200"/>
      <c r="AJ227" s="200"/>
      <c r="AK227" s="200"/>
      <c r="AL227" s="200"/>
      <c r="AM227" s="200"/>
      <c r="AN227" s="200"/>
      <c r="AO227" s="200"/>
      <c r="AP227" s="200"/>
      <c r="AQ227" s="200"/>
      <c r="AR227" s="200"/>
      <c r="AS227" s="200"/>
      <c r="AT227" s="200"/>
      <c r="AU227" s="200"/>
      <c r="AV227" s="200"/>
      <c r="AW227" s="200"/>
      <c r="AX227" s="200"/>
      <c r="AY227" s="200"/>
      <c r="AZ227" s="200"/>
      <c r="BA227" s="200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 ht="13.8">
      <c r="A228" s="1"/>
      <c r="B228" s="1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  <c r="AB228" s="200"/>
      <c r="AC228" s="200"/>
      <c r="AD228" s="200"/>
      <c r="AE228" s="200"/>
      <c r="AF228" s="200"/>
      <c r="AG228" s="200"/>
      <c r="AH228" s="200"/>
      <c r="AI228" s="200"/>
      <c r="AJ228" s="200"/>
      <c r="AK228" s="200"/>
      <c r="AL228" s="200"/>
      <c r="AM228" s="200"/>
      <c r="AN228" s="200"/>
      <c r="AO228" s="200"/>
      <c r="AP228" s="200"/>
      <c r="AQ228" s="200"/>
      <c r="AR228" s="200"/>
      <c r="AS228" s="200"/>
      <c r="AT228" s="200"/>
      <c r="AU228" s="200"/>
      <c r="AV228" s="200"/>
      <c r="AW228" s="200"/>
      <c r="AX228" s="200"/>
      <c r="AY228" s="200"/>
      <c r="AZ228" s="200"/>
      <c r="BA228" s="200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 ht="13.8">
      <c r="A229" s="1"/>
      <c r="B229" s="1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  <c r="AB229" s="200"/>
      <c r="AC229" s="200"/>
      <c r="AD229" s="200"/>
      <c r="AE229" s="200"/>
      <c r="AF229" s="200"/>
      <c r="AG229" s="200"/>
      <c r="AH229" s="200"/>
      <c r="AI229" s="200"/>
      <c r="AJ229" s="200"/>
      <c r="AK229" s="200"/>
      <c r="AL229" s="200"/>
      <c r="AM229" s="200"/>
      <c r="AN229" s="200"/>
      <c r="AO229" s="200"/>
      <c r="AP229" s="200"/>
      <c r="AQ229" s="200"/>
      <c r="AR229" s="200"/>
      <c r="AS229" s="200"/>
      <c r="AT229" s="200"/>
      <c r="AU229" s="200"/>
      <c r="AV229" s="200"/>
      <c r="AW229" s="200"/>
      <c r="AX229" s="200"/>
      <c r="AY229" s="200"/>
      <c r="AZ229" s="200"/>
      <c r="BA229" s="200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 ht="13.8">
      <c r="A230" s="1"/>
      <c r="B230" s="1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  <c r="AB230" s="200"/>
      <c r="AC230" s="200"/>
      <c r="AD230" s="200"/>
      <c r="AE230" s="200"/>
      <c r="AF230" s="200"/>
      <c r="AG230" s="200"/>
      <c r="AH230" s="200"/>
      <c r="AI230" s="200"/>
      <c r="AJ230" s="200"/>
      <c r="AK230" s="200"/>
      <c r="AL230" s="200"/>
      <c r="AM230" s="200"/>
      <c r="AN230" s="200"/>
      <c r="AO230" s="200"/>
      <c r="AP230" s="200"/>
      <c r="AQ230" s="200"/>
      <c r="AR230" s="200"/>
      <c r="AS230" s="200"/>
      <c r="AT230" s="200"/>
      <c r="AU230" s="200"/>
      <c r="AV230" s="200"/>
      <c r="AW230" s="200"/>
      <c r="AX230" s="200"/>
      <c r="AY230" s="200"/>
      <c r="AZ230" s="200"/>
      <c r="BA230" s="200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 ht="13.8">
      <c r="A231" s="1"/>
      <c r="B231" s="1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  <c r="AB231" s="200"/>
      <c r="AC231" s="200"/>
      <c r="AD231" s="200"/>
      <c r="AE231" s="200"/>
      <c r="AF231" s="200"/>
      <c r="AG231" s="200"/>
      <c r="AH231" s="200"/>
      <c r="AI231" s="200"/>
      <c r="AJ231" s="200"/>
      <c r="AK231" s="200"/>
      <c r="AL231" s="200"/>
      <c r="AM231" s="200"/>
      <c r="AN231" s="200"/>
      <c r="AO231" s="200"/>
      <c r="AP231" s="200"/>
      <c r="AQ231" s="200"/>
      <c r="AR231" s="200"/>
      <c r="AS231" s="200"/>
      <c r="AT231" s="200"/>
      <c r="AU231" s="200"/>
      <c r="AV231" s="200"/>
      <c r="AW231" s="200"/>
      <c r="AX231" s="200"/>
      <c r="AY231" s="200"/>
      <c r="AZ231" s="200"/>
      <c r="BA231" s="200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 ht="13.8">
      <c r="A232" s="1"/>
      <c r="B232" s="1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  <c r="AB232" s="200"/>
      <c r="AC232" s="200"/>
      <c r="AD232" s="200"/>
      <c r="AE232" s="200"/>
      <c r="AF232" s="200"/>
      <c r="AG232" s="200"/>
      <c r="AH232" s="200"/>
      <c r="AI232" s="200"/>
      <c r="AJ232" s="200"/>
      <c r="AK232" s="200"/>
      <c r="AL232" s="200"/>
      <c r="AM232" s="200"/>
      <c r="AN232" s="200"/>
      <c r="AO232" s="200"/>
      <c r="AP232" s="200"/>
      <c r="AQ232" s="200"/>
      <c r="AR232" s="200"/>
      <c r="AS232" s="200"/>
      <c r="AT232" s="200"/>
      <c r="AU232" s="200"/>
      <c r="AV232" s="200"/>
      <c r="AW232" s="200"/>
      <c r="AX232" s="200"/>
      <c r="AY232" s="200"/>
      <c r="AZ232" s="200"/>
      <c r="BA232" s="200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 ht="13.8">
      <c r="A233" s="1"/>
      <c r="B233" s="1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  <c r="AB233" s="200"/>
      <c r="AC233" s="200"/>
      <c r="AD233" s="200"/>
      <c r="AE233" s="200"/>
      <c r="AF233" s="200"/>
      <c r="AG233" s="200"/>
      <c r="AH233" s="200"/>
      <c r="AI233" s="200"/>
      <c r="AJ233" s="200"/>
      <c r="AK233" s="200"/>
      <c r="AL233" s="200"/>
      <c r="AM233" s="200"/>
      <c r="AN233" s="200"/>
      <c r="AO233" s="200"/>
      <c r="AP233" s="200"/>
      <c r="AQ233" s="200"/>
      <c r="AR233" s="200"/>
      <c r="AS233" s="200"/>
      <c r="AT233" s="200"/>
      <c r="AU233" s="200"/>
      <c r="AV233" s="200"/>
      <c r="AW233" s="200"/>
      <c r="AX233" s="200"/>
      <c r="AY233" s="200"/>
      <c r="AZ233" s="200"/>
      <c r="BA233" s="200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 ht="13.8">
      <c r="A234" s="1"/>
      <c r="B234" s="1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  <c r="AB234" s="200"/>
      <c r="AC234" s="200"/>
      <c r="AD234" s="200"/>
      <c r="AE234" s="200"/>
      <c r="AF234" s="200"/>
      <c r="AG234" s="200"/>
      <c r="AH234" s="200"/>
      <c r="AI234" s="200"/>
      <c r="AJ234" s="200"/>
      <c r="AK234" s="200"/>
      <c r="AL234" s="200"/>
      <c r="AM234" s="200"/>
      <c r="AN234" s="200"/>
      <c r="AO234" s="200"/>
      <c r="AP234" s="200"/>
      <c r="AQ234" s="200"/>
      <c r="AR234" s="200"/>
      <c r="AS234" s="200"/>
      <c r="AT234" s="200"/>
      <c r="AU234" s="200"/>
      <c r="AV234" s="200"/>
      <c r="AW234" s="200"/>
      <c r="AX234" s="200"/>
      <c r="AY234" s="200"/>
      <c r="AZ234" s="200"/>
      <c r="BA234" s="200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 ht="13.8">
      <c r="A235" s="1"/>
      <c r="B235" s="1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  <c r="AB235" s="200"/>
      <c r="AC235" s="200"/>
      <c r="AD235" s="200"/>
      <c r="AE235" s="200"/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200"/>
      <c r="AQ235" s="200"/>
      <c r="AR235" s="200"/>
      <c r="AS235" s="200"/>
      <c r="AT235" s="200"/>
      <c r="AU235" s="200"/>
      <c r="AV235" s="200"/>
      <c r="AW235" s="200"/>
      <c r="AX235" s="200"/>
      <c r="AY235" s="200"/>
      <c r="AZ235" s="200"/>
      <c r="BA235" s="200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 ht="13.8">
      <c r="A236" s="1"/>
      <c r="B236" s="1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  <c r="AB236" s="200"/>
      <c r="AC236" s="200"/>
      <c r="AD236" s="200"/>
      <c r="AE236" s="200"/>
      <c r="AF236" s="200"/>
      <c r="AG236" s="200"/>
      <c r="AH236" s="200"/>
      <c r="AI236" s="200"/>
      <c r="AJ236" s="200"/>
      <c r="AK236" s="200"/>
      <c r="AL236" s="200"/>
      <c r="AM236" s="200"/>
      <c r="AN236" s="200"/>
      <c r="AO236" s="200"/>
      <c r="AP236" s="200"/>
      <c r="AQ236" s="200"/>
      <c r="AR236" s="200"/>
      <c r="AS236" s="200"/>
      <c r="AT236" s="200"/>
      <c r="AU236" s="200"/>
      <c r="AV236" s="200"/>
      <c r="AW236" s="200"/>
      <c r="AX236" s="200"/>
      <c r="AY236" s="200"/>
      <c r="AZ236" s="200"/>
      <c r="BA236" s="200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 ht="13.8">
      <c r="A237" s="1"/>
      <c r="B237" s="1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  <c r="AB237" s="200"/>
      <c r="AC237" s="200"/>
      <c r="AD237" s="200"/>
      <c r="AE237" s="200"/>
      <c r="AF237" s="200"/>
      <c r="AG237" s="200"/>
      <c r="AH237" s="200"/>
      <c r="AI237" s="200"/>
      <c r="AJ237" s="200"/>
      <c r="AK237" s="200"/>
      <c r="AL237" s="200"/>
      <c r="AM237" s="200"/>
      <c r="AN237" s="200"/>
      <c r="AO237" s="200"/>
      <c r="AP237" s="200"/>
      <c r="AQ237" s="200"/>
      <c r="AR237" s="200"/>
      <c r="AS237" s="200"/>
      <c r="AT237" s="200"/>
      <c r="AU237" s="200"/>
      <c r="AV237" s="200"/>
      <c r="AW237" s="200"/>
      <c r="AX237" s="200"/>
      <c r="AY237" s="200"/>
      <c r="AZ237" s="200"/>
      <c r="BA237" s="200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 ht="13.8">
      <c r="A238" s="1"/>
      <c r="B238" s="1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  <c r="AB238" s="200"/>
      <c r="AC238" s="200"/>
      <c r="AD238" s="200"/>
      <c r="AE238" s="200"/>
      <c r="AF238" s="200"/>
      <c r="AG238" s="200"/>
      <c r="AH238" s="200"/>
      <c r="AI238" s="200"/>
      <c r="AJ238" s="200"/>
      <c r="AK238" s="200"/>
      <c r="AL238" s="200"/>
      <c r="AM238" s="200"/>
      <c r="AN238" s="200"/>
      <c r="AO238" s="200"/>
      <c r="AP238" s="200"/>
      <c r="AQ238" s="200"/>
      <c r="AR238" s="200"/>
      <c r="AS238" s="200"/>
      <c r="AT238" s="200"/>
      <c r="AU238" s="200"/>
      <c r="AV238" s="200"/>
      <c r="AW238" s="200"/>
      <c r="AX238" s="200"/>
      <c r="AY238" s="200"/>
      <c r="AZ238" s="200"/>
      <c r="BA238" s="200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 ht="13.8">
      <c r="A239" s="1"/>
      <c r="B239" s="1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200"/>
      <c r="AG239" s="200"/>
      <c r="AH239" s="200"/>
      <c r="AI239" s="200"/>
      <c r="AJ239" s="200"/>
      <c r="AK239" s="200"/>
      <c r="AL239" s="200"/>
      <c r="AM239" s="200"/>
      <c r="AN239" s="200"/>
      <c r="AO239" s="200"/>
      <c r="AP239" s="200"/>
      <c r="AQ239" s="200"/>
      <c r="AR239" s="200"/>
      <c r="AS239" s="200"/>
      <c r="AT239" s="200"/>
      <c r="AU239" s="200"/>
      <c r="AV239" s="200"/>
      <c r="AW239" s="200"/>
      <c r="AX239" s="200"/>
      <c r="AY239" s="200"/>
      <c r="AZ239" s="200"/>
      <c r="BA239" s="200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 ht="13.8">
      <c r="A240" s="1"/>
      <c r="B240" s="1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200"/>
      <c r="AG240" s="200"/>
      <c r="AH240" s="200"/>
      <c r="AI240" s="200"/>
      <c r="AJ240" s="200"/>
      <c r="AK240" s="200"/>
      <c r="AL240" s="200"/>
      <c r="AM240" s="200"/>
      <c r="AN240" s="200"/>
      <c r="AO240" s="200"/>
      <c r="AP240" s="200"/>
      <c r="AQ240" s="200"/>
      <c r="AR240" s="200"/>
      <c r="AS240" s="200"/>
      <c r="AT240" s="200"/>
      <c r="AU240" s="200"/>
      <c r="AV240" s="200"/>
      <c r="AW240" s="200"/>
      <c r="AX240" s="200"/>
      <c r="AY240" s="200"/>
      <c r="AZ240" s="200"/>
      <c r="BA240" s="200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 ht="13.8">
      <c r="A241" s="1"/>
      <c r="B241" s="1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  <c r="AB241" s="200"/>
      <c r="AC241" s="200"/>
      <c r="AD241" s="200"/>
      <c r="AE241" s="200"/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200"/>
      <c r="AQ241" s="200"/>
      <c r="AR241" s="200"/>
      <c r="AS241" s="200"/>
      <c r="AT241" s="200"/>
      <c r="AU241" s="200"/>
      <c r="AV241" s="200"/>
      <c r="AW241" s="200"/>
      <c r="AX241" s="200"/>
      <c r="AY241" s="200"/>
      <c r="AZ241" s="200"/>
      <c r="BA241" s="200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 ht="13.8">
      <c r="A242" s="1"/>
      <c r="B242" s="1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  <c r="AB242" s="200"/>
      <c r="AC242" s="200"/>
      <c r="AD242" s="200"/>
      <c r="AE242" s="200"/>
      <c r="AF242" s="200"/>
      <c r="AG242" s="200"/>
      <c r="AH242" s="200"/>
      <c r="AI242" s="200"/>
      <c r="AJ242" s="200"/>
      <c r="AK242" s="200"/>
      <c r="AL242" s="200"/>
      <c r="AM242" s="200"/>
      <c r="AN242" s="200"/>
      <c r="AO242" s="200"/>
      <c r="AP242" s="200"/>
      <c r="AQ242" s="200"/>
      <c r="AR242" s="200"/>
      <c r="AS242" s="200"/>
      <c r="AT242" s="200"/>
      <c r="AU242" s="200"/>
      <c r="AV242" s="200"/>
      <c r="AW242" s="200"/>
      <c r="AX242" s="200"/>
      <c r="AY242" s="200"/>
      <c r="AZ242" s="200"/>
      <c r="BA242" s="200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 ht="13.8">
      <c r="A243" s="1"/>
      <c r="B243" s="1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  <c r="AB243" s="200"/>
      <c r="AC243" s="200"/>
      <c r="AD243" s="200"/>
      <c r="AE243" s="200"/>
      <c r="AF243" s="200"/>
      <c r="AG243" s="200"/>
      <c r="AH243" s="200"/>
      <c r="AI243" s="200"/>
      <c r="AJ243" s="200"/>
      <c r="AK243" s="200"/>
      <c r="AL243" s="200"/>
      <c r="AM243" s="200"/>
      <c r="AN243" s="200"/>
      <c r="AO243" s="200"/>
      <c r="AP243" s="200"/>
      <c r="AQ243" s="200"/>
      <c r="AR243" s="200"/>
      <c r="AS243" s="200"/>
      <c r="AT243" s="200"/>
      <c r="AU243" s="200"/>
      <c r="AV243" s="200"/>
      <c r="AW243" s="200"/>
      <c r="AX243" s="200"/>
      <c r="AY243" s="200"/>
      <c r="AZ243" s="200"/>
      <c r="BA243" s="200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 ht="13.8">
      <c r="A244" s="1"/>
      <c r="B244" s="1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  <c r="AB244" s="200"/>
      <c r="AC244" s="200"/>
      <c r="AD244" s="200"/>
      <c r="AE244" s="200"/>
      <c r="AF244" s="200"/>
      <c r="AG244" s="200"/>
      <c r="AH244" s="200"/>
      <c r="AI244" s="200"/>
      <c r="AJ244" s="200"/>
      <c r="AK244" s="200"/>
      <c r="AL244" s="200"/>
      <c r="AM244" s="200"/>
      <c r="AN244" s="200"/>
      <c r="AO244" s="200"/>
      <c r="AP244" s="200"/>
      <c r="AQ244" s="200"/>
      <c r="AR244" s="200"/>
      <c r="AS244" s="200"/>
      <c r="AT244" s="200"/>
      <c r="AU244" s="200"/>
      <c r="AV244" s="200"/>
      <c r="AW244" s="200"/>
      <c r="AX244" s="200"/>
      <c r="AY244" s="200"/>
      <c r="AZ244" s="200"/>
      <c r="BA244" s="200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 ht="13.8">
      <c r="A245" s="1"/>
      <c r="B245" s="1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  <c r="AB245" s="200"/>
      <c r="AC245" s="200"/>
      <c r="AD245" s="200"/>
      <c r="AE245" s="200"/>
      <c r="AF245" s="200"/>
      <c r="AG245" s="200"/>
      <c r="AH245" s="200"/>
      <c r="AI245" s="200"/>
      <c r="AJ245" s="200"/>
      <c r="AK245" s="200"/>
      <c r="AL245" s="200"/>
      <c r="AM245" s="200"/>
      <c r="AN245" s="200"/>
      <c r="AO245" s="200"/>
      <c r="AP245" s="200"/>
      <c r="AQ245" s="200"/>
      <c r="AR245" s="200"/>
      <c r="AS245" s="200"/>
      <c r="AT245" s="200"/>
      <c r="AU245" s="200"/>
      <c r="AV245" s="200"/>
      <c r="AW245" s="200"/>
      <c r="AX245" s="200"/>
      <c r="AY245" s="200"/>
      <c r="AZ245" s="200"/>
      <c r="BA245" s="200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 ht="13.8">
      <c r="A246" s="1"/>
      <c r="B246" s="1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  <c r="AB246" s="200"/>
      <c r="AC246" s="200"/>
      <c r="AD246" s="200"/>
      <c r="AE246" s="200"/>
      <c r="AF246" s="200"/>
      <c r="AG246" s="200"/>
      <c r="AH246" s="200"/>
      <c r="AI246" s="200"/>
      <c r="AJ246" s="200"/>
      <c r="AK246" s="200"/>
      <c r="AL246" s="200"/>
      <c r="AM246" s="200"/>
      <c r="AN246" s="200"/>
      <c r="AO246" s="200"/>
      <c r="AP246" s="200"/>
      <c r="AQ246" s="200"/>
      <c r="AR246" s="200"/>
      <c r="AS246" s="200"/>
      <c r="AT246" s="200"/>
      <c r="AU246" s="200"/>
      <c r="AV246" s="200"/>
      <c r="AW246" s="200"/>
      <c r="AX246" s="200"/>
      <c r="AY246" s="200"/>
      <c r="AZ246" s="200"/>
      <c r="BA246" s="200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 ht="13.8">
      <c r="A247" s="1"/>
      <c r="B247" s="1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  <c r="AB247" s="200"/>
      <c r="AC247" s="200"/>
      <c r="AD247" s="200"/>
      <c r="AE247" s="200"/>
      <c r="AF247" s="200"/>
      <c r="AG247" s="200"/>
      <c r="AH247" s="200"/>
      <c r="AI247" s="200"/>
      <c r="AJ247" s="200"/>
      <c r="AK247" s="200"/>
      <c r="AL247" s="200"/>
      <c r="AM247" s="200"/>
      <c r="AN247" s="200"/>
      <c r="AO247" s="200"/>
      <c r="AP247" s="200"/>
      <c r="AQ247" s="200"/>
      <c r="AR247" s="200"/>
      <c r="AS247" s="200"/>
      <c r="AT247" s="200"/>
      <c r="AU247" s="200"/>
      <c r="AV247" s="200"/>
      <c r="AW247" s="200"/>
      <c r="AX247" s="200"/>
      <c r="AY247" s="200"/>
      <c r="AZ247" s="200"/>
      <c r="BA247" s="200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 ht="13.8">
      <c r="A248" s="1"/>
      <c r="B248" s="1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200"/>
      <c r="AG248" s="200"/>
      <c r="AH248" s="200"/>
      <c r="AI248" s="200"/>
      <c r="AJ248" s="200"/>
      <c r="AK248" s="200"/>
      <c r="AL248" s="200"/>
      <c r="AM248" s="200"/>
      <c r="AN248" s="200"/>
      <c r="AO248" s="200"/>
      <c r="AP248" s="200"/>
      <c r="AQ248" s="200"/>
      <c r="AR248" s="200"/>
      <c r="AS248" s="200"/>
      <c r="AT248" s="200"/>
      <c r="AU248" s="200"/>
      <c r="AV248" s="200"/>
      <c r="AW248" s="200"/>
      <c r="AX248" s="200"/>
      <c r="AY248" s="200"/>
      <c r="AZ248" s="200"/>
      <c r="BA248" s="200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 ht="13.8">
      <c r="A249" s="1"/>
      <c r="B249" s="1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200"/>
      <c r="AG249" s="200"/>
      <c r="AH249" s="200"/>
      <c r="AI249" s="200"/>
      <c r="AJ249" s="200"/>
      <c r="AK249" s="200"/>
      <c r="AL249" s="200"/>
      <c r="AM249" s="200"/>
      <c r="AN249" s="200"/>
      <c r="AO249" s="200"/>
      <c r="AP249" s="200"/>
      <c r="AQ249" s="200"/>
      <c r="AR249" s="200"/>
      <c r="AS249" s="200"/>
      <c r="AT249" s="200"/>
      <c r="AU249" s="200"/>
      <c r="AV249" s="200"/>
      <c r="AW249" s="200"/>
      <c r="AX249" s="200"/>
      <c r="AY249" s="200"/>
      <c r="AZ249" s="200"/>
      <c r="BA249" s="200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 ht="13.8">
      <c r="A250" s="1"/>
      <c r="B250" s="1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200"/>
      <c r="AG250" s="200"/>
      <c r="AH250" s="200"/>
      <c r="AI250" s="200"/>
      <c r="AJ250" s="200"/>
      <c r="AK250" s="200"/>
      <c r="AL250" s="200"/>
      <c r="AM250" s="200"/>
      <c r="AN250" s="200"/>
      <c r="AO250" s="200"/>
      <c r="AP250" s="200"/>
      <c r="AQ250" s="200"/>
      <c r="AR250" s="200"/>
      <c r="AS250" s="200"/>
      <c r="AT250" s="200"/>
      <c r="AU250" s="200"/>
      <c r="AV250" s="200"/>
      <c r="AW250" s="200"/>
      <c r="AX250" s="200"/>
      <c r="AY250" s="200"/>
      <c r="AZ250" s="200"/>
      <c r="BA250" s="200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 ht="13.8">
      <c r="A251" s="1"/>
      <c r="B251" s="1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  <c r="AB251" s="200"/>
      <c r="AC251" s="200"/>
      <c r="AD251" s="200"/>
      <c r="AE251" s="200"/>
      <c r="AF251" s="200"/>
      <c r="AG251" s="200"/>
      <c r="AH251" s="200"/>
      <c r="AI251" s="200"/>
      <c r="AJ251" s="200"/>
      <c r="AK251" s="200"/>
      <c r="AL251" s="200"/>
      <c r="AM251" s="200"/>
      <c r="AN251" s="200"/>
      <c r="AO251" s="200"/>
      <c r="AP251" s="200"/>
      <c r="AQ251" s="200"/>
      <c r="AR251" s="200"/>
      <c r="AS251" s="200"/>
      <c r="AT251" s="200"/>
      <c r="AU251" s="200"/>
      <c r="AV251" s="200"/>
      <c r="AW251" s="200"/>
      <c r="AX251" s="200"/>
      <c r="AY251" s="200"/>
      <c r="AZ251" s="200"/>
      <c r="BA251" s="200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 ht="13.8">
      <c r="A252" s="1"/>
      <c r="B252" s="1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200"/>
      <c r="AG252" s="200"/>
      <c r="AH252" s="200"/>
      <c r="AI252" s="200"/>
      <c r="AJ252" s="200"/>
      <c r="AK252" s="200"/>
      <c r="AL252" s="200"/>
      <c r="AM252" s="200"/>
      <c r="AN252" s="200"/>
      <c r="AO252" s="200"/>
      <c r="AP252" s="200"/>
      <c r="AQ252" s="200"/>
      <c r="AR252" s="200"/>
      <c r="AS252" s="200"/>
      <c r="AT252" s="200"/>
      <c r="AU252" s="200"/>
      <c r="AV252" s="200"/>
      <c r="AW252" s="200"/>
      <c r="AX252" s="200"/>
      <c r="AY252" s="200"/>
      <c r="AZ252" s="200"/>
      <c r="BA252" s="200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 ht="13.8">
      <c r="A253" s="1"/>
      <c r="B253" s="1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200"/>
      <c r="AG253" s="200"/>
      <c r="AH253" s="200"/>
      <c r="AI253" s="200"/>
      <c r="AJ253" s="200"/>
      <c r="AK253" s="200"/>
      <c r="AL253" s="200"/>
      <c r="AM253" s="200"/>
      <c r="AN253" s="200"/>
      <c r="AO253" s="200"/>
      <c r="AP253" s="200"/>
      <c r="AQ253" s="200"/>
      <c r="AR253" s="200"/>
      <c r="AS253" s="200"/>
      <c r="AT253" s="200"/>
      <c r="AU253" s="200"/>
      <c r="AV253" s="200"/>
      <c r="AW253" s="200"/>
      <c r="AX253" s="200"/>
      <c r="AY253" s="200"/>
      <c r="AZ253" s="200"/>
      <c r="BA253" s="200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 ht="13.8">
      <c r="A254" s="1"/>
      <c r="B254" s="1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  <c r="AB254" s="200"/>
      <c r="AC254" s="200"/>
      <c r="AD254" s="200"/>
      <c r="AE254" s="200"/>
      <c r="AF254" s="200"/>
      <c r="AG254" s="200"/>
      <c r="AH254" s="200"/>
      <c r="AI254" s="200"/>
      <c r="AJ254" s="200"/>
      <c r="AK254" s="200"/>
      <c r="AL254" s="200"/>
      <c r="AM254" s="200"/>
      <c r="AN254" s="200"/>
      <c r="AO254" s="200"/>
      <c r="AP254" s="200"/>
      <c r="AQ254" s="200"/>
      <c r="AR254" s="200"/>
      <c r="AS254" s="200"/>
      <c r="AT254" s="200"/>
      <c r="AU254" s="200"/>
      <c r="AV254" s="200"/>
      <c r="AW254" s="200"/>
      <c r="AX254" s="200"/>
      <c r="AY254" s="200"/>
      <c r="AZ254" s="200"/>
      <c r="BA254" s="200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 ht="13.8">
      <c r="A255" s="1"/>
      <c r="B255" s="1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  <c r="AB255" s="200"/>
      <c r="AC255" s="200"/>
      <c r="AD255" s="200"/>
      <c r="AE255" s="200"/>
      <c r="AF255" s="200"/>
      <c r="AG255" s="200"/>
      <c r="AH255" s="200"/>
      <c r="AI255" s="200"/>
      <c r="AJ255" s="200"/>
      <c r="AK255" s="200"/>
      <c r="AL255" s="200"/>
      <c r="AM255" s="200"/>
      <c r="AN255" s="200"/>
      <c r="AO255" s="200"/>
      <c r="AP255" s="200"/>
      <c r="AQ255" s="200"/>
      <c r="AR255" s="200"/>
      <c r="AS255" s="200"/>
      <c r="AT255" s="200"/>
      <c r="AU255" s="200"/>
      <c r="AV255" s="200"/>
      <c r="AW255" s="200"/>
      <c r="AX255" s="200"/>
      <c r="AY255" s="200"/>
      <c r="AZ255" s="200"/>
      <c r="BA255" s="200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 ht="13.8">
      <c r="A256" s="1"/>
      <c r="B256" s="1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  <c r="AB256" s="200"/>
      <c r="AC256" s="200"/>
      <c r="AD256" s="200"/>
      <c r="AE256" s="200"/>
      <c r="AF256" s="200"/>
      <c r="AG256" s="200"/>
      <c r="AH256" s="200"/>
      <c r="AI256" s="200"/>
      <c r="AJ256" s="200"/>
      <c r="AK256" s="200"/>
      <c r="AL256" s="200"/>
      <c r="AM256" s="200"/>
      <c r="AN256" s="200"/>
      <c r="AO256" s="200"/>
      <c r="AP256" s="200"/>
      <c r="AQ256" s="200"/>
      <c r="AR256" s="200"/>
      <c r="AS256" s="200"/>
      <c r="AT256" s="200"/>
      <c r="AU256" s="200"/>
      <c r="AV256" s="200"/>
      <c r="AW256" s="200"/>
      <c r="AX256" s="200"/>
      <c r="AY256" s="200"/>
      <c r="AZ256" s="200"/>
      <c r="BA256" s="200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 ht="13.8">
      <c r="A257" s="1"/>
      <c r="B257" s="1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  <c r="AB257" s="200"/>
      <c r="AC257" s="200"/>
      <c r="AD257" s="200"/>
      <c r="AE257" s="200"/>
      <c r="AF257" s="200"/>
      <c r="AG257" s="200"/>
      <c r="AH257" s="200"/>
      <c r="AI257" s="200"/>
      <c r="AJ257" s="200"/>
      <c r="AK257" s="200"/>
      <c r="AL257" s="200"/>
      <c r="AM257" s="200"/>
      <c r="AN257" s="200"/>
      <c r="AO257" s="200"/>
      <c r="AP257" s="200"/>
      <c r="AQ257" s="200"/>
      <c r="AR257" s="200"/>
      <c r="AS257" s="200"/>
      <c r="AT257" s="200"/>
      <c r="AU257" s="200"/>
      <c r="AV257" s="200"/>
      <c r="AW257" s="200"/>
      <c r="AX257" s="200"/>
      <c r="AY257" s="200"/>
      <c r="AZ257" s="200"/>
      <c r="BA257" s="200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 ht="13.8">
      <c r="A258" s="1"/>
      <c r="B258" s="1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  <c r="AA258" s="200"/>
      <c r="AB258" s="200"/>
      <c r="AC258" s="200"/>
      <c r="AD258" s="200"/>
      <c r="AE258" s="200"/>
      <c r="AF258" s="200"/>
      <c r="AG258" s="200"/>
      <c r="AH258" s="200"/>
      <c r="AI258" s="200"/>
      <c r="AJ258" s="200"/>
      <c r="AK258" s="200"/>
      <c r="AL258" s="200"/>
      <c r="AM258" s="200"/>
      <c r="AN258" s="200"/>
      <c r="AO258" s="200"/>
      <c r="AP258" s="200"/>
      <c r="AQ258" s="200"/>
      <c r="AR258" s="200"/>
      <c r="AS258" s="200"/>
      <c r="AT258" s="200"/>
      <c r="AU258" s="200"/>
      <c r="AV258" s="200"/>
      <c r="AW258" s="200"/>
      <c r="AX258" s="200"/>
      <c r="AY258" s="200"/>
      <c r="AZ258" s="200"/>
      <c r="BA258" s="200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 ht="13.8">
      <c r="A259" s="1"/>
      <c r="B259" s="1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  <c r="AB259" s="200"/>
      <c r="AC259" s="200"/>
      <c r="AD259" s="200"/>
      <c r="AE259" s="200"/>
      <c r="AF259" s="200"/>
      <c r="AG259" s="200"/>
      <c r="AH259" s="200"/>
      <c r="AI259" s="200"/>
      <c r="AJ259" s="200"/>
      <c r="AK259" s="200"/>
      <c r="AL259" s="200"/>
      <c r="AM259" s="200"/>
      <c r="AN259" s="200"/>
      <c r="AO259" s="200"/>
      <c r="AP259" s="200"/>
      <c r="AQ259" s="200"/>
      <c r="AR259" s="200"/>
      <c r="AS259" s="200"/>
      <c r="AT259" s="200"/>
      <c r="AU259" s="200"/>
      <c r="AV259" s="200"/>
      <c r="AW259" s="200"/>
      <c r="AX259" s="200"/>
      <c r="AY259" s="200"/>
      <c r="AZ259" s="200"/>
      <c r="BA259" s="200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 ht="13.8">
      <c r="A260" s="1"/>
      <c r="B260" s="1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200"/>
      <c r="AG260" s="200"/>
      <c r="AH260" s="200"/>
      <c r="AI260" s="200"/>
      <c r="AJ260" s="200"/>
      <c r="AK260" s="200"/>
      <c r="AL260" s="200"/>
      <c r="AM260" s="200"/>
      <c r="AN260" s="200"/>
      <c r="AO260" s="200"/>
      <c r="AP260" s="200"/>
      <c r="AQ260" s="200"/>
      <c r="AR260" s="200"/>
      <c r="AS260" s="200"/>
      <c r="AT260" s="200"/>
      <c r="AU260" s="200"/>
      <c r="AV260" s="200"/>
      <c r="AW260" s="200"/>
      <c r="AX260" s="200"/>
      <c r="AY260" s="200"/>
      <c r="AZ260" s="200"/>
      <c r="BA260" s="200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 ht="13.8">
      <c r="A261" s="1"/>
      <c r="B261" s="1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200"/>
      <c r="AG261" s="200"/>
      <c r="AH261" s="200"/>
      <c r="AI261" s="200"/>
      <c r="AJ261" s="200"/>
      <c r="AK261" s="200"/>
      <c r="AL261" s="200"/>
      <c r="AM261" s="200"/>
      <c r="AN261" s="200"/>
      <c r="AO261" s="200"/>
      <c r="AP261" s="200"/>
      <c r="AQ261" s="200"/>
      <c r="AR261" s="200"/>
      <c r="AS261" s="200"/>
      <c r="AT261" s="200"/>
      <c r="AU261" s="200"/>
      <c r="AV261" s="200"/>
      <c r="AW261" s="200"/>
      <c r="AX261" s="200"/>
      <c r="AY261" s="200"/>
      <c r="AZ261" s="200"/>
      <c r="BA261" s="200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 ht="13.8">
      <c r="A262" s="1"/>
      <c r="B262" s="1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200"/>
      <c r="AG262" s="200"/>
      <c r="AH262" s="200"/>
      <c r="AI262" s="200"/>
      <c r="AJ262" s="200"/>
      <c r="AK262" s="200"/>
      <c r="AL262" s="200"/>
      <c r="AM262" s="200"/>
      <c r="AN262" s="200"/>
      <c r="AO262" s="200"/>
      <c r="AP262" s="200"/>
      <c r="AQ262" s="200"/>
      <c r="AR262" s="200"/>
      <c r="AS262" s="200"/>
      <c r="AT262" s="200"/>
      <c r="AU262" s="200"/>
      <c r="AV262" s="200"/>
      <c r="AW262" s="200"/>
      <c r="AX262" s="200"/>
      <c r="AY262" s="200"/>
      <c r="AZ262" s="200"/>
      <c r="BA262" s="200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 ht="13.8">
      <c r="A263" s="1"/>
      <c r="B263" s="1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200"/>
      <c r="AG263" s="200"/>
      <c r="AH263" s="200"/>
      <c r="AI263" s="200"/>
      <c r="AJ263" s="200"/>
      <c r="AK263" s="200"/>
      <c r="AL263" s="200"/>
      <c r="AM263" s="200"/>
      <c r="AN263" s="200"/>
      <c r="AO263" s="200"/>
      <c r="AP263" s="200"/>
      <c r="AQ263" s="200"/>
      <c r="AR263" s="200"/>
      <c r="AS263" s="200"/>
      <c r="AT263" s="200"/>
      <c r="AU263" s="200"/>
      <c r="AV263" s="200"/>
      <c r="AW263" s="200"/>
      <c r="AX263" s="200"/>
      <c r="AY263" s="200"/>
      <c r="AZ263" s="200"/>
      <c r="BA263" s="200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 ht="13.8">
      <c r="A264" s="1"/>
      <c r="B264" s="1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  <c r="AA264" s="200"/>
      <c r="AB264" s="200"/>
      <c r="AC264" s="200"/>
      <c r="AD264" s="200"/>
      <c r="AE264" s="200"/>
      <c r="AF264" s="200"/>
      <c r="AG264" s="200"/>
      <c r="AH264" s="200"/>
      <c r="AI264" s="200"/>
      <c r="AJ264" s="200"/>
      <c r="AK264" s="200"/>
      <c r="AL264" s="200"/>
      <c r="AM264" s="200"/>
      <c r="AN264" s="200"/>
      <c r="AO264" s="200"/>
      <c r="AP264" s="200"/>
      <c r="AQ264" s="200"/>
      <c r="AR264" s="200"/>
      <c r="AS264" s="200"/>
      <c r="AT264" s="200"/>
      <c r="AU264" s="200"/>
      <c r="AV264" s="200"/>
      <c r="AW264" s="200"/>
      <c r="AX264" s="200"/>
      <c r="AY264" s="200"/>
      <c r="AZ264" s="200"/>
      <c r="BA264" s="200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 ht="13.8">
      <c r="A265" s="1"/>
      <c r="B265" s="1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  <c r="AA265" s="200"/>
      <c r="AB265" s="200"/>
      <c r="AC265" s="200"/>
      <c r="AD265" s="200"/>
      <c r="AE265" s="200"/>
      <c r="AF265" s="200"/>
      <c r="AG265" s="200"/>
      <c r="AH265" s="200"/>
      <c r="AI265" s="200"/>
      <c r="AJ265" s="200"/>
      <c r="AK265" s="200"/>
      <c r="AL265" s="200"/>
      <c r="AM265" s="200"/>
      <c r="AN265" s="200"/>
      <c r="AO265" s="200"/>
      <c r="AP265" s="200"/>
      <c r="AQ265" s="200"/>
      <c r="AR265" s="200"/>
      <c r="AS265" s="200"/>
      <c r="AT265" s="200"/>
      <c r="AU265" s="200"/>
      <c r="AV265" s="200"/>
      <c r="AW265" s="200"/>
      <c r="AX265" s="200"/>
      <c r="AY265" s="200"/>
      <c r="AZ265" s="200"/>
      <c r="BA265" s="200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 ht="13.8">
      <c r="A266" s="1"/>
      <c r="B266" s="1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  <c r="AA266" s="200"/>
      <c r="AB266" s="200"/>
      <c r="AC266" s="200"/>
      <c r="AD266" s="200"/>
      <c r="AE266" s="200"/>
      <c r="AF266" s="200"/>
      <c r="AG266" s="200"/>
      <c r="AH266" s="200"/>
      <c r="AI266" s="200"/>
      <c r="AJ266" s="200"/>
      <c r="AK266" s="200"/>
      <c r="AL266" s="200"/>
      <c r="AM266" s="200"/>
      <c r="AN266" s="200"/>
      <c r="AO266" s="200"/>
      <c r="AP266" s="200"/>
      <c r="AQ266" s="200"/>
      <c r="AR266" s="200"/>
      <c r="AS266" s="200"/>
      <c r="AT266" s="200"/>
      <c r="AU266" s="200"/>
      <c r="AV266" s="200"/>
      <c r="AW266" s="200"/>
      <c r="AX266" s="200"/>
      <c r="AY266" s="200"/>
      <c r="AZ266" s="200"/>
      <c r="BA266" s="200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 ht="13.8">
      <c r="A267" s="1"/>
      <c r="B267" s="1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  <c r="AA267" s="200"/>
      <c r="AB267" s="200"/>
      <c r="AC267" s="200"/>
      <c r="AD267" s="200"/>
      <c r="AE267" s="200"/>
      <c r="AF267" s="200"/>
      <c r="AG267" s="200"/>
      <c r="AH267" s="200"/>
      <c r="AI267" s="200"/>
      <c r="AJ267" s="200"/>
      <c r="AK267" s="200"/>
      <c r="AL267" s="200"/>
      <c r="AM267" s="200"/>
      <c r="AN267" s="200"/>
      <c r="AO267" s="200"/>
      <c r="AP267" s="200"/>
      <c r="AQ267" s="200"/>
      <c r="AR267" s="200"/>
      <c r="AS267" s="200"/>
      <c r="AT267" s="200"/>
      <c r="AU267" s="200"/>
      <c r="AV267" s="200"/>
      <c r="AW267" s="200"/>
      <c r="AX267" s="200"/>
      <c r="AY267" s="200"/>
      <c r="AZ267" s="200"/>
      <c r="BA267" s="200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 ht="13.8">
      <c r="A268" s="1"/>
      <c r="B268" s="1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  <c r="AA268" s="200"/>
      <c r="AB268" s="200"/>
      <c r="AC268" s="200"/>
      <c r="AD268" s="200"/>
      <c r="AE268" s="200"/>
      <c r="AF268" s="200"/>
      <c r="AG268" s="200"/>
      <c r="AH268" s="200"/>
      <c r="AI268" s="200"/>
      <c r="AJ268" s="200"/>
      <c r="AK268" s="200"/>
      <c r="AL268" s="200"/>
      <c r="AM268" s="200"/>
      <c r="AN268" s="200"/>
      <c r="AO268" s="200"/>
      <c r="AP268" s="200"/>
      <c r="AQ268" s="200"/>
      <c r="AR268" s="200"/>
      <c r="AS268" s="200"/>
      <c r="AT268" s="200"/>
      <c r="AU268" s="200"/>
      <c r="AV268" s="200"/>
      <c r="AW268" s="200"/>
      <c r="AX268" s="200"/>
      <c r="AY268" s="200"/>
      <c r="AZ268" s="200"/>
      <c r="BA268" s="200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 ht="13.8">
      <c r="A269" s="1"/>
      <c r="B269" s="1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  <c r="AB269" s="200"/>
      <c r="AC269" s="200"/>
      <c r="AD269" s="200"/>
      <c r="AE269" s="200"/>
      <c r="AF269" s="200"/>
      <c r="AG269" s="200"/>
      <c r="AH269" s="200"/>
      <c r="AI269" s="200"/>
      <c r="AJ269" s="200"/>
      <c r="AK269" s="200"/>
      <c r="AL269" s="200"/>
      <c r="AM269" s="200"/>
      <c r="AN269" s="200"/>
      <c r="AO269" s="200"/>
      <c r="AP269" s="200"/>
      <c r="AQ269" s="200"/>
      <c r="AR269" s="200"/>
      <c r="AS269" s="200"/>
      <c r="AT269" s="200"/>
      <c r="AU269" s="200"/>
      <c r="AV269" s="200"/>
      <c r="AW269" s="200"/>
      <c r="AX269" s="200"/>
      <c r="AY269" s="200"/>
      <c r="AZ269" s="200"/>
      <c r="BA269" s="200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 ht="13.8">
      <c r="A270" s="1"/>
      <c r="B270" s="1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  <c r="AA270" s="200"/>
      <c r="AB270" s="200"/>
      <c r="AC270" s="200"/>
      <c r="AD270" s="200"/>
      <c r="AE270" s="200"/>
      <c r="AF270" s="200"/>
      <c r="AG270" s="200"/>
      <c r="AH270" s="200"/>
      <c r="AI270" s="200"/>
      <c r="AJ270" s="200"/>
      <c r="AK270" s="200"/>
      <c r="AL270" s="200"/>
      <c r="AM270" s="200"/>
      <c r="AN270" s="200"/>
      <c r="AO270" s="200"/>
      <c r="AP270" s="200"/>
      <c r="AQ270" s="200"/>
      <c r="AR270" s="200"/>
      <c r="AS270" s="200"/>
      <c r="AT270" s="200"/>
      <c r="AU270" s="200"/>
      <c r="AV270" s="200"/>
      <c r="AW270" s="200"/>
      <c r="AX270" s="200"/>
      <c r="AY270" s="200"/>
      <c r="AZ270" s="200"/>
      <c r="BA270" s="200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 ht="13.8">
      <c r="A271" s="1"/>
      <c r="B271" s="1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  <c r="AA271" s="200"/>
      <c r="AB271" s="200"/>
      <c r="AC271" s="200"/>
      <c r="AD271" s="200"/>
      <c r="AE271" s="200"/>
      <c r="AF271" s="200"/>
      <c r="AG271" s="200"/>
      <c r="AH271" s="200"/>
      <c r="AI271" s="200"/>
      <c r="AJ271" s="200"/>
      <c r="AK271" s="200"/>
      <c r="AL271" s="200"/>
      <c r="AM271" s="200"/>
      <c r="AN271" s="200"/>
      <c r="AO271" s="200"/>
      <c r="AP271" s="200"/>
      <c r="AQ271" s="200"/>
      <c r="AR271" s="200"/>
      <c r="AS271" s="200"/>
      <c r="AT271" s="200"/>
      <c r="AU271" s="200"/>
      <c r="AV271" s="200"/>
      <c r="AW271" s="200"/>
      <c r="AX271" s="200"/>
      <c r="AY271" s="200"/>
      <c r="AZ271" s="200"/>
      <c r="BA271" s="200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 ht="13.8">
      <c r="A272" s="1"/>
      <c r="B272" s="1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  <c r="AA272" s="200"/>
      <c r="AB272" s="200"/>
      <c r="AC272" s="200"/>
      <c r="AD272" s="200"/>
      <c r="AE272" s="200"/>
      <c r="AF272" s="200"/>
      <c r="AG272" s="200"/>
      <c r="AH272" s="200"/>
      <c r="AI272" s="200"/>
      <c r="AJ272" s="200"/>
      <c r="AK272" s="200"/>
      <c r="AL272" s="200"/>
      <c r="AM272" s="200"/>
      <c r="AN272" s="200"/>
      <c r="AO272" s="200"/>
      <c r="AP272" s="200"/>
      <c r="AQ272" s="200"/>
      <c r="AR272" s="200"/>
      <c r="AS272" s="200"/>
      <c r="AT272" s="200"/>
      <c r="AU272" s="200"/>
      <c r="AV272" s="200"/>
      <c r="AW272" s="200"/>
      <c r="AX272" s="200"/>
      <c r="AY272" s="200"/>
      <c r="AZ272" s="200"/>
      <c r="BA272" s="200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 ht="13.8">
      <c r="A273" s="1"/>
      <c r="B273" s="1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  <c r="AA273" s="200"/>
      <c r="AB273" s="200"/>
      <c r="AC273" s="200"/>
      <c r="AD273" s="200"/>
      <c r="AE273" s="200"/>
      <c r="AF273" s="200"/>
      <c r="AG273" s="200"/>
      <c r="AH273" s="200"/>
      <c r="AI273" s="200"/>
      <c r="AJ273" s="200"/>
      <c r="AK273" s="200"/>
      <c r="AL273" s="200"/>
      <c r="AM273" s="200"/>
      <c r="AN273" s="200"/>
      <c r="AO273" s="200"/>
      <c r="AP273" s="200"/>
      <c r="AQ273" s="200"/>
      <c r="AR273" s="200"/>
      <c r="AS273" s="200"/>
      <c r="AT273" s="200"/>
      <c r="AU273" s="200"/>
      <c r="AV273" s="200"/>
      <c r="AW273" s="200"/>
      <c r="AX273" s="200"/>
      <c r="AY273" s="200"/>
      <c r="AZ273" s="200"/>
      <c r="BA273" s="200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 ht="13.8">
      <c r="A274" s="1"/>
      <c r="B274" s="1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  <c r="AA274" s="200"/>
      <c r="AB274" s="200"/>
      <c r="AC274" s="200"/>
      <c r="AD274" s="200"/>
      <c r="AE274" s="200"/>
      <c r="AF274" s="200"/>
      <c r="AG274" s="200"/>
      <c r="AH274" s="200"/>
      <c r="AI274" s="200"/>
      <c r="AJ274" s="200"/>
      <c r="AK274" s="200"/>
      <c r="AL274" s="200"/>
      <c r="AM274" s="200"/>
      <c r="AN274" s="200"/>
      <c r="AO274" s="200"/>
      <c r="AP274" s="200"/>
      <c r="AQ274" s="200"/>
      <c r="AR274" s="200"/>
      <c r="AS274" s="200"/>
      <c r="AT274" s="200"/>
      <c r="AU274" s="200"/>
      <c r="AV274" s="200"/>
      <c r="AW274" s="200"/>
      <c r="AX274" s="200"/>
      <c r="AY274" s="200"/>
      <c r="AZ274" s="200"/>
      <c r="BA274" s="200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 ht="13.8">
      <c r="A275" s="1"/>
      <c r="B275" s="1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  <c r="AB275" s="200"/>
      <c r="AC275" s="200"/>
      <c r="AD275" s="200"/>
      <c r="AE275" s="200"/>
      <c r="AF275" s="200"/>
      <c r="AG275" s="200"/>
      <c r="AH275" s="200"/>
      <c r="AI275" s="200"/>
      <c r="AJ275" s="200"/>
      <c r="AK275" s="200"/>
      <c r="AL275" s="200"/>
      <c r="AM275" s="200"/>
      <c r="AN275" s="200"/>
      <c r="AO275" s="200"/>
      <c r="AP275" s="200"/>
      <c r="AQ275" s="200"/>
      <c r="AR275" s="200"/>
      <c r="AS275" s="200"/>
      <c r="AT275" s="200"/>
      <c r="AU275" s="200"/>
      <c r="AV275" s="200"/>
      <c r="AW275" s="200"/>
      <c r="AX275" s="200"/>
      <c r="AY275" s="200"/>
      <c r="AZ275" s="200"/>
      <c r="BA275" s="200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 ht="13.8">
      <c r="A276" s="1"/>
      <c r="B276" s="1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  <c r="AB276" s="200"/>
      <c r="AC276" s="200"/>
      <c r="AD276" s="200"/>
      <c r="AE276" s="200"/>
      <c r="AF276" s="200"/>
      <c r="AG276" s="200"/>
      <c r="AH276" s="200"/>
      <c r="AI276" s="200"/>
      <c r="AJ276" s="200"/>
      <c r="AK276" s="200"/>
      <c r="AL276" s="200"/>
      <c r="AM276" s="200"/>
      <c r="AN276" s="200"/>
      <c r="AO276" s="200"/>
      <c r="AP276" s="200"/>
      <c r="AQ276" s="200"/>
      <c r="AR276" s="200"/>
      <c r="AS276" s="200"/>
      <c r="AT276" s="200"/>
      <c r="AU276" s="200"/>
      <c r="AV276" s="200"/>
      <c r="AW276" s="200"/>
      <c r="AX276" s="200"/>
      <c r="AY276" s="200"/>
      <c r="AZ276" s="200"/>
      <c r="BA276" s="200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 ht="13.8">
      <c r="A277" s="1"/>
      <c r="B277" s="1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  <c r="AA277" s="200"/>
      <c r="AB277" s="200"/>
      <c r="AC277" s="200"/>
      <c r="AD277" s="200"/>
      <c r="AE277" s="200"/>
      <c r="AF277" s="200"/>
      <c r="AG277" s="200"/>
      <c r="AH277" s="200"/>
      <c r="AI277" s="200"/>
      <c r="AJ277" s="200"/>
      <c r="AK277" s="200"/>
      <c r="AL277" s="200"/>
      <c r="AM277" s="200"/>
      <c r="AN277" s="200"/>
      <c r="AO277" s="200"/>
      <c r="AP277" s="200"/>
      <c r="AQ277" s="200"/>
      <c r="AR277" s="200"/>
      <c r="AS277" s="200"/>
      <c r="AT277" s="200"/>
      <c r="AU277" s="200"/>
      <c r="AV277" s="200"/>
      <c r="AW277" s="200"/>
      <c r="AX277" s="200"/>
      <c r="AY277" s="200"/>
      <c r="AZ277" s="200"/>
      <c r="BA277" s="200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 ht="13.8">
      <c r="A278" s="1"/>
      <c r="B278" s="1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  <c r="AB278" s="200"/>
      <c r="AC278" s="200"/>
      <c r="AD278" s="200"/>
      <c r="AE278" s="200"/>
      <c r="AF278" s="200"/>
      <c r="AG278" s="200"/>
      <c r="AH278" s="200"/>
      <c r="AI278" s="200"/>
      <c r="AJ278" s="200"/>
      <c r="AK278" s="200"/>
      <c r="AL278" s="200"/>
      <c r="AM278" s="200"/>
      <c r="AN278" s="200"/>
      <c r="AO278" s="200"/>
      <c r="AP278" s="200"/>
      <c r="AQ278" s="200"/>
      <c r="AR278" s="200"/>
      <c r="AS278" s="200"/>
      <c r="AT278" s="200"/>
      <c r="AU278" s="200"/>
      <c r="AV278" s="200"/>
      <c r="AW278" s="200"/>
      <c r="AX278" s="200"/>
      <c r="AY278" s="200"/>
      <c r="AZ278" s="200"/>
      <c r="BA278" s="200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 ht="13.8">
      <c r="A279" s="1"/>
      <c r="B279" s="1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  <c r="AB279" s="200"/>
      <c r="AC279" s="200"/>
      <c r="AD279" s="200"/>
      <c r="AE279" s="200"/>
      <c r="AF279" s="200"/>
      <c r="AG279" s="200"/>
      <c r="AH279" s="200"/>
      <c r="AI279" s="200"/>
      <c r="AJ279" s="200"/>
      <c r="AK279" s="200"/>
      <c r="AL279" s="200"/>
      <c r="AM279" s="200"/>
      <c r="AN279" s="200"/>
      <c r="AO279" s="200"/>
      <c r="AP279" s="200"/>
      <c r="AQ279" s="200"/>
      <c r="AR279" s="200"/>
      <c r="AS279" s="200"/>
      <c r="AT279" s="200"/>
      <c r="AU279" s="200"/>
      <c r="AV279" s="200"/>
      <c r="AW279" s="200"/>
      <c r="AX279" s="200"/>
      <c r="AY279" s="200"/>
      <c r="AZ279" s="200"/>
      <c r="BA279" s="200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 ht="13.8">
      <c r="A280" s="1"/>
      <c r="B280" s="1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  <c r="AB280" s="200"/>
      <c r="AC280" s="200"/>
      <c r="AD280" s="200"/>
      <c r="AE280" s="200"/>
      <c r="AF280" s="200"/>
      <c r="AG280" s="200"/>
      <c r="AH280" s="200"/>
      <c r="AI280" s="200"/>
      <c r="AJ280" s="200"/>
      <c r="AK280" s="200"/>
      <c r="AL280" s="200"/>
      <c r="AM280" s="200"/>
      <c r="AN280" s="200"/>
      <c r="AO280" s="200"/>
      <c r="AP280" s="200"/>
      <c r="AQ280" s="200"/>
      <c r="AR280" s="200"/>
      <c r="AS280" s="200"/>
      <c r="AT280" s="200"/>
      <c r="AU280" s="200"/>
      <c r="AV280" s="200"/>
      <c r="AW280" s="200"/>
      <c r="AX280" s="200"/>
      <c r="AY280" s="200"/>
      <c r="AZ280" s="200"/>
      <c r="BA280" s="200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 ht="13.8">
      <c r="A281" s="1"/>
      <c r="B281" s="1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  <c r="AB281" s="200"/>
      <c r="AC281" s="200"/>
      <c r="AD281" s="200"/>
      <c r="AE281" s="200"/>
      <c r="AF281" s="200"/>
      <c r="AG281" s="200"/>
      <c r="AH281" s="200"/>
      <c r="AI281" s="200"/>
      <c r="AJ281" s="200"/>
      <c r="AK281" s="200"/>
      <c r="AL281" s="200"/>
      <c r="AM281" s="200"/>
      <c r="AN281" s="200"/>
      <c r="AO281" s="200"/>
      <c r="AP281" s="200"/>
      <c r="AQ281" s="200"/>
      <c r="AR281" s="200"/>
      <c r="AS281" s="200"/>
      <c r="AT281" s="200"/>
      <c r="AU281" s="200"/>
      <c r="AV281" s="200"/>
      <c r="AW281" s="200"/>
      <c r="AX281" s="200"/>
      <c r="AY281" s="200"/>
      <c r="AZ281" s="200"/>
      <c r="BA281" s="200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 ht="13.8">
      <c r="A282" s="1"/>
      <c r="B282" s="1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  <c r="AB282" s="200"/>
      <c r="AC282" s="200"/>
      <c r="AD282" s="200"/>
      <c r="AE282" s="200"/>
      <c r="AF282" s="200"/>
      <c r="AG282" s="200"/>
      <c r="AH282" s="200"/>
      <c r="AI282" s="200"/>
      <c r="AJ282" s="200"/>
      <c r="AK282" s="200"/>
      <c r="AL282" s="200"/>
      <c r="AM282" s="200"/>
      <c r="AN282" s="200"/>
      <c r="AO282" s="200"/>
      <c r="AP282" s="200"/>
      <c r="AQ282" s="200"/>
      <c r="AR282" s="200"/>
      <c r="AS282" s="200"/>
      <c r="AT282" s="200"/>
      <c r="AU282" s="200"/>
      <c r="AV282" s="200"/>
      <c r="AW282" s="200"/>
      <c r="AX282" s="200"/>
      <c r="AY282" s="200"/>
      <c r="AZ282" s="200"/>
      <c r="BA282" s="200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 ht="13.8">
      <c r="A283" s="1"/>
      <c r="B283" s="1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  <c r="AB283" s="200"/>
      <c r="AC283" s="200"/>
      <c r="AD283" s="200"/>
      <c r="AE283" s="200"/>
      <c r="AF283" s="200"/>
      <c r="AG283" s="200"/>
      <c r="AH283" s="200"/>
      <c r="AI283" s="200"/>
      <c r="AJ283" s="200"/>
      <c r="AK283" s="200"/>
      <c r="AL283" s="200"/>
      <c r="AM283" s="200"/>
      <c r="AN283" s="200"/>
      <c r="AO283" s="200"/>
      <c r="AP283" s="200"/>
      <c r="AQ283" s="200"/>
      <c r="AR283" s="200"/>
      <c r="AS283" s="200"/>
      <c r="AT283" s="200"/>
      <c r="AU283" s="200"/>
      <c r="AV283" s="200"/>
      <c r="AW283" s="200"/>
      <c r="AX283" s="200"/>
      <c r="AY283" s="200"/>
      <c r="AZ283" s="200"/>
      <c r="BA283" s="200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 ht="13.8">
      <c r="A284" s="1"/>
      <c r="B284" s="1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  <c r="AB284" s="200"/>
      <c r="AC284" s="200"/>
      <c r="AD284" s="200"/>
      <c r="AE284" s="200"/>
      <c r="AF284" s="200"/>
      <c r="AG284" s="200"/>
      <c r="AH284" s="200"/>
      <c r="AI284" s="200"/>
      <c r="AJ284" s="200"/>
      <c r="AK284" s="200"/>
      <c r="AL284" s="200"/>
      <c r="AM284" s="200"/>
      <c r="AN284" s="200"/>
      <c r="AO284" s="200"/>
      <c r="AP284" s="200"/>
      <c r="AQ284" s="200"/>
      <c r="AR284" s="200"/>
      <c r="AS284" s="200"/>
      <c r="AT284" s="200"/>
      <c r="AU284" s="200"/>
      <c r="AV284" s="200"/>
      <c r="AW284" s="200"/>
      <c r="AX284" s="200"/>
      <c r="AY284" s="200"/>
      <c r="AZ284" s="200"/>
      <c r="BA284" s="200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 ht="13.8">
      <c r="A285" s="1"/>
      <c r="B285" s="1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  <c r="AB285" s="200"/>
      <c r="AC285" s="200"/>
      <c r="AD285" s="200"/>
      <c r="AE285" s="200"/>
      <c r="AF285" s="200"/>
      <c r="AG285" s="200"/>
      <c r="AH285" s="200"/>
      <c r="AI285" s="200"/>
      <c r="AJ285" s="200"/>
      <c r="AK285" s="200"/>
      <c r="AL285" s="200"/>
      <c r="AM285" s="200"/>
      <c r="AN285" s="200"/>
      <c r="AO285" s="200"/>
      <c r="AP285" s="200"/>
      <c r="AQ285" s="200"/>
      <c r="AR285" s="200"/>
      <c r="AS285" s="200"/>
      <c r="AT285" s="200"/>
      <c r="AU285" s="200"/>
      <c r="AV285" s="200"/>
      <c r="AW285" s="200"/>
      <c r="AX285" s="200"/>
      <c r="AY285" s="200"/>
      <c r="AZ285" s="200"/>
      <c r="BA285" s="200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 ht="13.8">
      <c r="A286" s="1"/>
      <c r="B286" s="1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  <c r="AA286" s="200"/>
      <c r="AB286" s="200"/>
      <c r="AC286" s="200"/>
      <c r="AD286" s="200"/>
      <c r="AE286" s="200"/>
      <c r="AF286" s="200"/>
      <c r="AG286" s="200"/>
      <c r="AH286" s="200"/>
      <c r="AI286" s="200"/>
      <c r="AJ286" s="200"/>
      <c r="AK286" s="200"/>
      <c r="AL286" s="200"/>
      <c r="AM286" s="200"/>
      <c r="AN286" s="200"/>
      <c r="AO286" s="200"/>
      <c r="AP286" s="200"/>
      <c r="AQ286" s="200"/>
      <c r="AR286" s="200"/>
      <c r="AS286" s="200"/>
      <c r="AT286" s="200"/>
      <c r="AU286" s="200"/>
      <c r="AV286" s="200"/>
      <c r="AW286" s="200"/>
      <c r="AX286" s="200"/>
      <c r="AY286" s="200"/>
      <c r="AZ286" s="200"/>
      <c r="BA286" s="200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 ht="13.8">
      <c r="A287" s="1"/>
      <c r="B287" s="1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  <c r="AB287" s="200"/>
      <c r="AC287" s="200"/>
      <c r="AD287" s="200"/>
      <c r="AE287" s="200"/>
      <c r="AF287" s="200"/>
      <c r="AG287" s="200"/>
      <c r="AH287" s="200"/>
      <c r="AI287" s="200"/>
      <c r="AJ287" s="200"/>
      <c r="AK287" s="200"/>
      <c r="AL287" s="200"/>
      <c r="AM287" s="200"/>
      <c r="AN287" s="200"/>
      <c r="AO287" s="200"/>
      <c r="AP287" s="200"/>
      <c r="AQ287" s="200"/>
      <c r="AR287" s="200"/>
      <c r="AS287" s="200"/>
      <c r="AT287" s="200"/>
      <c r="AU287" s="200"/>
      <c r="AV287" s="200"/>
      <c r="AW287" s="200"/>
      <c r="AX287" s="200"/>
      <c r="AY287" s="200"/>
      <c r="AZ287" s="200"/>
      <c r="BA287" s="200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 ht="13.8">
      <c r="A288" s="1"/>
      <c r="B288" s="1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  <c r="AB288" s="200"/>
      <c r="AC288" s="200"/>
      <c r="AD288" s="200"/>
      <c r="AE288" s="200"/>
      <c r="AF288" s="200"/>
      <c r="AG288" s="200"/>
      <c r="AH288" s="200"/>
      <c r="AI288" s="200"/>
      <c r="AJ288" s="200"/>
      <c r="AK288" s="200"/>
      <c r="AL288" s="200"/>
      <c r="AM288" s="200"/>
      <c r="AN288" s="200"/>
      <c r="AO288" s="200"/>
      <c r="AP288" s="200"/>
      <c r="AQ288" s="200"/>
      <c r="AR288" s="200"/>
      <c r="AS288" s="200"/>
      <c r="AT288" s="200"/>
      <c r="AU288" s="200"/>
      <c r="AV288" s="200"/>
      <c r="AW288" s="200"/>
      <c r="AX288" s="200"/>
      <c r="AY288" s="200"/>
      <c r="AZ288" s="200"/>
      <c r="BA288" s="200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 ht="13.8">
      <c r="A289" s="1"/>
      <c r="B289" s="1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  <c r="AA289" s="200"/>
      <c r="AB289" s="200"/>
      <c r="AC289" s="200"/>
      <c r="AD289" s="200"/>
      <c r="AE289" s="200"/>
      <c r="AF289" s="200"/>
      <c r="AG289" s="200"/>
      <c r="AH289" s="200"/>
      <c r="AI289" s="200"/>
      <c r="AJ289" s="200"/>
      <c r="AK289" s="200"/>
      <c r="AL289" s="200"/>
      <c r="AM289" s="200"/>
      <c r="AN289" s="200"/>
      <c r="AO289" s="200"/>
      <c r="AP289" s="200"/>
      <c r="AQ289" s="200"/>
      <c r="AR289" s="200"/>
      <c r="AS289" s="200"/>
      <c r="AT289" s="200"/>
      <c r="AU289" s="200"/>
      <c r="AV289" s="200"/>
      <c r="AW289" s="200"/>
      <c r="AX289" s="200"/>
      <c r="AY289" s="200"/>
      <c r="AZ289" s="200"/>
      <c r="BA289" s="200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 ht="13.8">
      <c r="A290" s="1"/>
      <c r="B290" s="1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  <c r="AB290" s="200"/>
      <c r="AC290" s="200"/>
      <c r="AD290" s="200"/>
      <c r="AE290" s="200"/>
      <c r="AF290" s="200"/>
      <c r="AG290" s="200"/>
      <c r="AH290" s="200"/>
      <c r="AI290" s="200"/>
      <c r="AJ290" s="200"/>
      <c r="AK290" s="200"/>
      <c r="AL290" s="200"/>
      <c r="AM290" s="200"/>
      <c r="AN290" s="200"/>
      <c r="AO290" s="200"/>
      <c r="AP290" s="200"/>
      <c r="AQ290" s="200"/>
      <c r="AR290" s="200"/>
      <c r="AS290" s="200"/>
      <c r="AT290" s="200"/>
      <c r="AU290" s="200"/>
      <c r="AV290" s="200"/>
      <c r="AW290" s="200"/>
      <c r="AX290" s="200"/>
      <c r="AY290" s="200"/>
      <c r="AZ290" s="200"/>
      <c r="BA290" s="200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 ht="13.8">
      <c r="A291" s="1"/>
      <c r="B291" s="1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  <c r="AB291" s="200"/>
      <c r="AC291" s="200"/>
      <c r="AD291" s="200"/>
      <c r="AE291" s="200"/>
      <c r="AF291" s="200"/>
      <c r="AG291" s="200"/>
      <c r="AH291" s="200"/>
      <c r="AI291" s="200"/>
      <c r="AJ291" s="200"/>
      <c r="AK291" s="200"/>
      <c r="AL291" s="200"/>
      <c r="AM291" s="200"/>
      <c r="AN291" s="200"/>
      <c r="AO291" s="200"/>
      <c r="AP291" s="200"/>
      <c r="AQ291" s="200"/>
      <c r="AR291" s="200"/>
      <c r="AS291" s="200"/>
      <c r="AT291" s="200"/>
      <c r="AU291" s="200"/>
      <c r="AV291" s="200"/>
      <c r="AW291" s="200"/>
      <c r="AX291" s="200"/>
      <c r="AY291" s="200"/>
      <c r="AZ291" s="200"/>
      <c r="BA291" s="200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 ht="13.8">
      <c r="A292" s="1"/>
      <c r="B292" s="1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  <c r="AB292" s="200"/>
      <c r="AC292" s="200"/>
      <c r="AD292" s="200"/>
      <c r="AE292" s="200"/>
      <c r="AF292" s="200"/>
      <c r="AG292" s="200"/>
      <c r="AH292" s="200"/>
      <c r="AI292" s="200"/>
      <c r="AJ292" s="200"/>
      <c r="AK292" s="200"/>
      <c r="AL292" s="200"/>
      <c r="AM292" s="200"/>
      <c r="AN292" s="200"/>
      <c r="AO292" s="200"/>
      <c r="AP292" s="200"/>
      <c r="AQ292" s="200"/>
      <c r="AR292" s="200"/>
      <c r="AS292" s="200"/>
      <c r="AT292" s="200"/>
      <c r="AU292" s="200"/>
      <c r="AV292" s="200"/>
      <c r="AW292" s="200"/>
      <c r="AX292" s="200"/>
      <c r="AY292" s="200"/>
      <c r="AZ292" s="200"/>
      <c r="BA292" s="200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 ht="13.8">
      <c r="A293" s="1"/>
      <c r="B293" s="1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  <c r="AA293" s="200"/>
      <c r="AB293" s="200"/>
      <c r="AC293" s="200"/>
      <c r="AD293" s="200"/>
      <c r="AE293" s="200"/>
      <c r="AF293" s="200"/>
      <c r="AG293" s="200"/>
      <c r="AH293" s="200"/>
      <c r="AI293" s="200"/>
      <c r="AJ293" s="200"/>
      <c r="AK293" s="200"/>
      <c r="AL293" s="200"/>
      <c r="AM293" s="200"/>
      <c r="AN293" s="200"/>
      <c r="AO293" s="200"/>
      <c r="AP293" s="200"/>
      <c r="AQ293" s="200"/>
      <c r="AR293" s="200"/>
      <c r="AS293" s="200"/>
      <c r="AT293" s="200"/>
      <c r="AU293" s="200"/>
      <c r="AV293" s="200"/>
      <c r="AW293" s="200"/>
      <c r="AX293" s="200"/>
      <c r="AY293" s="200"/>
      <c r="AZ293" s="200"/>
      <c r="BA293" s="200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 ht="13.8">
      <c r="A294" s="1"/>
      <c r="B294" s="1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  <c r="AB294" s="200"/>
      <c r="AC294" s="200"/>
      <c r="AD294" s="200"/>
      <c r="AE294" s="200"/>
      <c r="AF294" s="200"/>
      <c r="AG294" s="200"/>
      <c r="AH294" s="200"/>
      <c r="AI294" s="200"/>
      <c r="AJ294" s="200"/>
      <c r="AK294" s="200"/>
      <c r="AL294" s="200"/>
      <c r="AM294" s="200"/>
      <c r="AN294" s="200"/>
      <c r="AO294" s="200"/>
      <c r="AP294" s="200"/>
      <c r="AQ294" s="200"/>
      <c r="AR294" s="200"/>
      <c r="AS294" s="200"/>
      <c r="AT294" s="200"/>
      <c r="AU294" s="200"/>
      <c r="AV294" s="200"/>
      <c r="AW294" s="200"/>
      <c r="AX294" s="200"/>
      <c r="AY294" s="200"/>
      <c r="AZ294" s="200"/>
      <c r="BA294" s="200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 ht="13.8">
      <c r="A295" s="1"/>
      <c r="B295" s="1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  <c r="AB295" s="200"/>
      <c r="AC295" s="200"/>
      <c r="AD295" s="200"/>
      <c r="AE295" s="200"/>
      <c r="AF295" s="200"/>
      <c r="AG295" s="200"/>
      <c r="AH295" s="200"/>
      <c r="AI295" s="200"/>
      <c r="AJ295" s="200"/>
      <c r="AK295" s="200"/>
      <c r="AL295" s="200"/>
      <c r="AM295" s="200"/>
      <c r="AN295" s="200"/>
      <c r="AO295" s="200"/>
      <c r="AP295" s="200"/>
      <c r="AQ295" s="200"/>
      <c r="AR295" s="200"/>
      <c r="AS295" s="200"/>
      <c r="AT295" s="200"/>
      <c r="AU295" s="200"/>
      <c r="AV295" s="200"/>
      <c r="AW295" s="200"/>
      <c r="AX295" s="200"/>
      <c r="AY295" s="200"/>
      <c r="AZ295" s="200"/>
      <c r="BA295" s="200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 ht="13.8">
      <c r="A296" s="1"/>
      <c r="B296" s="1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  <c r="AB296" s="200"/>
      <c r="AC296" s="200"/>
      <c r="AD296" s="200"/>
      <c r="AE296" s="200"/>
      <c r="AF296" s="200"/>
      <c r="AG296" s="200"/>
      <c r="AH296" s="200"/>
      <c r="AI296" s="200"/>
      <c r="AJ296" s="200"/>
      <c r="AK296" s="200"/>
      <c r="AL296" s="200"/>
      <c r="AM296" s="200"/>
      <c r="AN296" s="200"/>
      <c r="AO296" s="200"/>
      <c r="AP296" s="200"/>
      <c r="AQ296" s="200"/>
      <c r="AR296" s="200"/>
      <c r="AS296" s="200"/>
      <c r="AT296" s="200"/>
      <c r="AU296" s="200"/>
      <c r="AV296" s="200"/>
      <c r="AW296" s="200"/>
      <c r="AX296" s="200"/>
      <c r="AY296" s="200"/>
      <c r="AZ296" s="200"/>
      <c r="BA296" s="200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 ht="13.8">
      <c r="A297" s="1"/>
      <c r="B297" s="1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  <c r="AB297" s="200"/>
      <c r="AC297" s="200"/>
      <c r="AD297" s="200"/>
      <c r="AE297" s="200"/>
      <c r="AF297" s="200"/>
      <c r="AG297" s="200"/>
      <c r="AH297" s="200"/>
      <c r="AI297" s="200"/>
      <c r="AJ297" s="200"/>
      <c r="AK297" s="200"/>
      <c r="AL297" s="200"/>
      <c r="AM297" s="200"/>
      <c r="AN297" s="200"/>
      <c r="AO297" s="200"/>
      <c r="AP297" s="200"/>
      <c r="AQ297" s="200"/>
      <c r="AR297" s="200"/>
      <c r="AS297" s="200"/>
      <c r="AT297" s="200"/>
      <c r="AU297" s="200"/>
      <c r="AV297" s="200"/>
      <c r="AW297" s="200"/>
      <c r="AX297" s="200"/>
      <c r="AY297" s="200"/>
      <c r="AZ297" s="200"/>
      <c r="BA297" s="200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 ht="13.8">
      <c r="A298" s="1"/>
      <c r="B298" s="1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  <c r="AB298" s="200"/>
      <c r="AC298" s="200"/>
      <c r="AD298" s="200"/>
      <c r="AE298" s="200"/>
      <c r="AF298" s="200"/>
      <c r="AG298" s="200"/>
      <c r="AH298" s="200"/>
      <c r="AI298" s="200"/>
      <c r="AJ298" s="200"/>
      <c r="AK298" s="200"/>
      <c r="AL298" s="200"/>
      <c r="AM298" s="200"/>
      <c r="AN298" s="200"/>
      <c r="AO298" s="200"/>
      <c r="AP298" s="200"/>
      <c r="AQ298" s="200"/>
      <c r="AR298" s="200"/>
      <c r="AS298" s="200"/>
      <c r="AT298" s="200"/>
      <c r="AU298" s="200"/>
      <c r="AV298" s="200"/>
      <c r="AW298" s="200"/>
      <c r="AX298" s="200"/>
      <c r="AY298" s="200"/>
      <c r="AZ298" s="200"/>
      <c r="BA298" s="200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 ht="13.8">
      <c r="A299" s="1"/>
      <c r="B299" s="1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  <c r="AB299" s="200"/>
      <c r="AC299" s="200"/>
      <c r="AD299" s="200"/>
      <c r="AE299" s="200"/>
      <c r="AF299" s="200"/>
      <c r="AG299" s="200"/>
      <c r="AH299" s="200"/>
      <c r="AI299" s="200"/>
      <c r="AJ299" s="200"/>
      <c r="AK299" s="200"/>
      <c r="AL299" s="200"/>
      <c r="AM299" s="200"/>
      <c r="AN299" s="200"/>
      <c r="AO299" s="200"/>
      <c r="AP299" s="200"/>
      <c r="AQ299" s="200"/>
      <c r="AR299" s="200"/>
      <c r="AS299" s="200"/>
      <c r="AT299" s="200"/>
      <c r="AU299" s="200"/>
      <c r="AV299" s="200"/>
      <c r="AW299" s="200"/>
      <c r="AX299" s="200"/>
      <c r="AY299" s="200"/>
      <c r="AZ299" s="200"/>
      <c r="BA299" s="200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 ht="13.8">
      <c r="A300" s="1"/>
      <c r="B300" s="1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  <c r="AB300" s="200"/>
      <c r="AC300" s="200"/>
      <c r="AD300" s="200"/>
      <c r="AE300" s="200"/>
      <c r="AF300" s="200"/>
      <c r="AG300" s="200"/>
      <c r="AH300" s="200"/>
      <c r="AI300" s="200"/>
      <c r="AJ300" s="200"/>
      <c r="AK300" s="200"/>
      <c r="AL300" s="200"/>
      <c r="AM300" s="200"/>
      <c r="AN300" s="200"/>
      <c r="AO300" s="200"/>
      <c r="AP300" s="200"/>
      <c r="AQ300" s="200"/>
      <c r="AR300" s="200"/>
      <c r="AS300" s="200"/>
      <c r="AT300" s="200"/>
      <c r="AU300" s="200"/>
      <c r="AV300" s="200"/>
      <c r="AW300" s="200"/>
      <c r="AX300" s="200"/>
      <c r="AY300" s="200"/>
      <c r="AZ300" s="200"/>
      <c r="BA300" s="200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 ht="13.8">
      <c r="A301" s="1"/>
      <c r="B301" s="1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  <c r="AA301" s="200"/>
      <c r="AB301" s="200"/>
      <c r="AC301" s="200"/>
      <c r="AD301" s="200"/>
      <c r="AE301" s="200"/>
      <c r="AF301" s="200"/>
      <c r="AG301" s="200"/>
      <c r="AH301" s="200"/>
      <c r="AI301" s="200"/>
      <c r="AJ301" s="200"/>
      <c r="AK301" s="200"/>
      <c r="AL301" s="200"/>
      <c r="AM301" s="200"/>
      <c r="AN301" s="200"/>
      <c r="AO301" s="200"/>
      <c r="AP301" s="200"/>
      <c r="AQ301" s="200"/>
      <c r="AR301" s="200"/>
      <c r="AS301" s="200"/>
      <c r="AT301" s="200"/>
      <c r="AU301" s="200"/>
      <c r="AV301" s="200"/>
      <c r="AW301" s="200"/>
      <c r="AX301" s="200"/>
      <c r="AY301" s="200"/>
      <c r="AZ301" s="200"/>
      <c r="BA301" s="200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 ht="13.8">
      <c r="A302" s="1"/>
      <c r="B302" s="1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  <c r="AB302" s="200"/>
      <c r="AC302" s="200"/>
      <c r="AD302" s="200"/>
      <c r="AE302" s="200"/>
      <c r="AF302" s="200"/>
      <c r="AG302" s="200"/>
      <c r="AH302" s="200"/>
      <c r="AI302" s="200"/>
      <c r="AJ302" s="200"/>
      <c r="AK302" s="200"/>
      <c r="AL302" s="200"/>
      <c r="AM302" s="200"/>
      <c r="AN302" s="200"/>
      <c r="AO302" s="200"/>
      <c r="AP302" s="200"/>
      <c r="AQ302" s="200"/>
      <c r="AR302" s="200"/>
      <c r="AS302" s="200"/>
      <c r="AT302" s="200"/>
      <c r="AU302" s="200"/>
      <c r="AV302" s="200"/>
      <c r="AW302" s="200"/>
      <c r="AX302" s="200"/>
      <c r="AY302" s="200"/>
      <c r="AZ302" s="200"/>
      <c r="BA302" s="200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 ht="13.8">
      <c r="A303" s="1"/>
      <c r="B303" s="1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  <c r="AB303" s="200"/>
      <c r="AC303" s="200"/>
      <c r="AD303" s="200"/>
      <c r="AE303" s="200"/>
      <c r="AF303" s="200"/>
      <c r="AG303" s="200"/>
      <c r="AH303" s="200"/>
      <c r="AI303" s="200"/>
      <c r="AJ303" s="200"/>
      <c r="AK303" s="200"/>
      <c r="AL303" s="200"/>
      <c r="AM303" s="200"/>
      <c r="AN303" s="200"/>
      <c r="AO303" s="200"/>
      <c r="AP303" s="200"/>
      <c r="AQ303" s="200"/>
      <c r="AR303" s="200"/>
      <c r="AS303" s="200"/>
      <c r="AT303" s="200"/>
      <c r="AU303" s="200"/>
      <c r="AV303" s="200"/>
      <c r="AW303" s="200"/>
      <c r="AX303" s="200"/>
      <c r="AY303" s="200"/>
      <c r="AZ303" s="200"/>
      <c r="BA303" s="200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 ht="13.8">
      <c r="A304" s="1"/>
      <c r="B304" s="1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  <c r="AB304" s="200"/>
      <c r="AC304" s="200"/>
      <c r="AD304" s="200"/>
      <c r="AE304" s="200"/>
      <c r="AF304" s="200"/>
      <c r="AG304" s="200"/>
      <c r="AH304" s="200"/>
      <c r="AI304" s="200"/>
      <c r="AJ304" s="200"/>
      <c r="AK304" s="200"/>
      <c r="AL304" s="200"/>
      <c r="AM304" s="200"/>
      <c r="AN304" s="200"/>
      <c r="AO304" s="200"/>
      <c r="AP304" s="200"/>
      <c r="AQ304" s="200"/>
      <c r="AR304" s="200"/>
      <c r="AS304" s="200"/>
      <c r="AT304" s="200"/>
      <c r="AU304" s="200"/>
      <c r="AV304" s="200"/>
      <c r="AW304" s="200"/>
      <c r="AX304" s="200"/>
      <c r="AY304" s="200"/>
      <c r="AZ304" s="200"/>
      <c r="BA304" s="200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 ht="13.8">
      <c r="A305" s="1"/>
      <c r="B305" s="1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  <c r="AA305" s="200"/>
      <c r="AB305" s="200"/>
      <c r="AC305" s="200"/>
      <c r="AD305" s="200"/>
      <c r="AE305" s="200"/>
      <c r="AF305" s="200"/>
      <c r="AG305" s="200"/>
      <c r="AH305" s="200"/>
      <c r="AI305" s="200"/>
      <c r="AJ305" s="200"/>
      <c r="AK305" s="200"/>
      <c r="AL305" s="200"/>
      <c r="AM305" s="200"/>
      <c r="AN305" s="200"/>
      <c r="AO305" s="200"/>
      <c r="AP305" s="200"/>
      <c r="AQ305" s="200"/>
      <c r="AR305" s="200"/>
      <c r="AS305" s="200"/>
      <c r="AT305" s="200"/>
      <c r="AU305" s="200"/>
      <c r="AV305" s="200"/>
      <c r="AW305" s="200"/>
      <c r="AX305" s="200"/>
      <c r="AY305" s="200"/>
      <c r="AZ305" s="200"/>
      <c r="BA305" s="200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 ht="13.8">
      <c r="A306" s="1"/>
      <c r="B306" s="1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  <c r="AB306" s="200"/>
      <c r="AC306" s="200"/>
      <c r="AD306" s="200"/>
      <c r="AE306" s="200"/>
      <c r="AF306" s="200"/>
      <c r="AG306" s="200"/>
      <c r="AH306" s="200"/>
      <c r="AI306" s="200"/>
      <c r="AJ306" s="200"/>
      <c r="AK306" s="200"/>
      <c r="AL306" s="200"/>
      <c r="AM306" s="200"/>
      <c r="AN306" s="200"/>
      <c r="AO306" s="200"/>
      <c r="AP306" s="200"/>
      <c r="AQ306" s="200"/>
      <c r="AR306" s="200"/>
      <c r="AS306" s="200"/>
      <c r="AT306" s="200"/>
      <c r="AU306" s="200"/>
      <c r="AV306" s="200"/>
      <c r="AW306" s="200"/>
      <c r="AX306" s="200"/>
      <c r="AY306" s="200"/>
      <c r="AZ306" s="200"/>
      <c r="BA306" s="200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 ht="13.8">
      <c r="A307" s="1"/>
      <c r="B307" s="1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  <c r="AA307" s="200"/>
      <c r="AB307" s="200"/>
      <c r="AC307" s="200"/>
      <c r="AD307" s="200"/>
      <c r="AE307" s="200"/>
      <c r="AF307" s="200"/>
      <c r="AG307" s="200"/>
      <c r="AH307" s="200"/>
      <c r="AI307" s="200"/>
      <c r="AJ307" s="200"/>
      <c r="AK307" s="200"/>
      <c r="AL307" s="200"/>
      <c r="AM307" s="200"/>
      <c r="AN307" s="200"/>
      <c r="AO307" s="200"/>
      <c r="AP307" s="200"/>
      <c r="AQ307" s="200"/>
      <c r="AR307" s="200"/>
      <c r="AS307" s="200"/>
      <c r="AT307" s="200"/>
      <c r="AU307" s="200"/>
      <c r="AV307" s="200"/>
      <c r="AW307" s="200"/>
      <c r="AX307" s="200"/>
      <c r="AY307" s="200"/>
      <c r="AZ307" s="200"/>
      <c r="BA307" s="200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 ht="13.8">
      <c r="A308" s="1"/>
      <c r="B308" s="1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  <c r="AB308" s="200"/>
      <c r="AC308" s="200"/>
      <c r="AD308" s="200"/>
      <c r="AE308" s="200"/>
      <c r="AF308" s="200"/>
      <c r="AG308" s="200"/>
      <c r="AH308" s="200"/>
      <c r="AI308" s="200"/>
      <c r="AJ308" s="200"/>
      <c r="AK308" s="200"/>
      <c r="AL308" s="200"/>
      <c r="AM308" s="200"/>
      <c r="AN308" s="200"/>
      <c r="AO308" s="200"/>
      <c r="AP308" s="200"/>
      <c r="AQ308" s="200"/>
      <c r="AR308" s="200"/>
      <c r="AS308" s="200"/>
      <c r="AT308" s="200"/>
      <c r="AU308" s="200"/>
      <c r="AV308" s="200"/>
      <c r="AW308" s="200"/>
      <c r="AX308" s="200"/>
      <c r="AY308" s="200"/>
      <c r="AZ308" s="200"/>
      <c r="BA308" s="200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 ht="13.8">
      <c r="A309" s="1"/>
      <c r="B309" s="1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  <c r="AA309" s="200"/>
      <c r="AB309" s="200"/>
      <c r="AC309" s="200"/>
      <c r="AD309" s="200"/>
      <c r="AE309" s="200"/>
      <c r="AF309" s="200"/>
      <c r="AG309" s="200"/>
      <c r="AH309" s="200"/>
      <c r="AI309" s="200"/>
      <c r="AJ309" s="200"/>
      <c r="AK309" s="200"/>
      <c r="AL309" s="200"/>
      <c r="AM309" s="200"/>
      <c r="AN309" s="200"/>
      <c r="AO309" s="200"/>
      <c r="AP309" s="200"/>
      <c r="AQ309" s="200"/>
      <c r="AR309" s="200"/>
      <c r="AS309" s="200"/>
      <c r="AT309" s="200"/>
      <c r="AU309" s="200"/>
      <c r="AV309" s="200"/>
      <c r="AW309" s="200"/>
      <c r="AX309" s="200"/>
      <c r="AY309" s="200"/>
      <c r="AZ309" s="200"/>
      <c r="BA309" s="200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 ht="13.8">
      <c r="A310" s="1"/>
      <c r="B310" s="1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  <c r="AB310" s="200"/>
      <c r="AC310" s="200"/>
      <c r="AD310" s="200"/>
      <c r="AE310" s="200"/>
      <c r="AF310" s="200"/>
      <c r="AG310" s="200"/>
      <c r="AH310" s="200"/>
      <c r="AI310" s="200"/>
      <c r="AJ310" s="200"/>
      <c r="AK310" s="200"/>
      <c r="AL310" s="200"/>
      <c r="AM310" s="200"/>
      <c r="AN310" s="200"/>
      <c r="AO310" s="200"/>
      <c r="AP310" s="200"/>
      <c r="AQ310" s="200"/>
      <c r="AR310" s="200"/>
      <c r="AS310" s="200"/>
      <c r="AT310" s="200"/>
      <c r="AU310" s="200"/>
      <c r="AV310" s="200"/>
      <c r="AW310" s="200"/>
      <c r="AX310" s="200"/>
      <c r="AY310" s="200"/>
      <c r="AZ310" s="200"/>
      <c r="BA310" s="200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 ht="13.8">
      <c r="A311" s="1"/>
      <c r="B311" s="1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  <c r="AB311" s="200"/>
      <c r="AC311" s="200"/>
      <c r="AD311" s="200"/>
      <c r="AE311" s="200"/>
      <c r="AF311" s="200"/>
      <c r="AG311" s="200"/>
      <c r="AH311" s="200"/>
      <c r="AI311" s="200"/>
      <c r="AJ311" s="200"/>
      <c r="AK311" s="200"/>
      <c r="AL311" s="200"/>
      <c r="AM311" s="200"/>
      <c r="AN311" s="200"/>
      <c r="AO311" s="200"/>
      <c r="AP311" s="200"/>
      <c r="AQ311" s="200"/>
      <c r="AR311" s="200"/>
      <c r="AS311" s="200"/>
      <c r="AT311" s="200"/>
      <c r="AU311" s="200"/>
      <c r="AV311" s="200"/>
      <c r="AW311" s="200"/>
      <c r="AX311" s="200"/>
      <c r="AY311" s="200"/>
      <c r="AZ311" s="200"/>
      <c r="BA311" s="200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 ht="13.8">
      <c r="A312" s="1"/>
      <c r="B312" s="1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  <c r="AA312" s="200"/>
      <c r="AB312" s="200"/>
      <c r="AC312" s="200"/>
      <c r="AD312" s="200"/>
      <c r="AE312" s="200"/>
      <c r="AF312" s="200"/>
      <c r="AG312" s="200"/>
      <c r="AH312" s="200"/>
      <c r="AI312" s="200"/>
      <c r="AJ312" s="200"/>
      <c r="AK312" s="200"/>
      <c r="AL312" s="200"/>
      <c r="AM312" s="200"/>
      <c r="AN312" s="200"/>
      <c r="AO312" s="200"/>
      <c r="AP312" s="200"/>
      <c r="AQ312" s="200"/>
      <c r="AR312" s="200"/>
      <c r="AS312" s="200"/>
      <c r="AT312" s="200"/>
      <c r="AU312" s="200"/>
      <c r="AV312" s="200"/>
      <c r="AW312" s="200"/>
      <c r="AX312" s="200"/>
      <c r="AY312" s="200"/>
      <c r="AZ312" s="200"/>
      <c r="BA312" s="200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 ht="13.8">
      <c r="A313" s="1"/>
      <c r="B313" s="1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  <c r="AA313" s="200"/>
      <c r="AB313" s="200"/>
      <c r="AC313" s="200"/>
      <c r="AD313" s="200"/>
      <c r="AE313" s="200"/>
      <c r="AF313" s="200"/>
      <c r="AG313" s="200"/>
      <c r="AH313" s="200"/>
      <c r="AI313" s="200"/>
      <c r="AJ313" s="200"/>
      <c r="AK313" s="200"/>
      <c r="AL313" s="200"/>
      <c r="AM313" s="200"/>
      <c r="AN313" s="200"/>
      <c r="AO313" s="200"/>
      <c r="AP313" s="200"/>
      <c r="AQ313" s="200"/>
      <c r="AR313" s="200"/>
      <c r="AS313" s="200"/>
      <c r="AT313" s="200"/>
      <c r="AU313" s="200"/>
      <c r="AV313" s="200"/>
      <c r="AW313" s="200"/>
      <c r="AX313" s="200"/>
      <c r="AY313" s="200"/>
      <c r="AZ313" s="200"/>
      <c r="BA313" s="200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 ht="13.8">
      <c r="A314" s="1"/>
      <c r="B314" s="1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  <c r="AA314" s="200"/>
      <c r="AB314" s="200"/>
      <c r="AC314" s="200"/>
      <c r="AD314" s="200"/>
      <c r="AE314" s="200"/>
      <c r="AF314" s="200"/>
      <c r="AG314" s="200"/>
      <c r="AH314" s="200"/>
      <c r="AI314" s="200"/>
      <c r="AJ314" s="200"/>
      <c r="AK314" s="200"/>
      <c r="AL314" s="200"/>
      <c r="AM314" s="200"/>
      <c r="AN314" s="200"/>
      <c r="AO314" s="200"/>
      <c r="AP314" s="200"/>
      <c r="AQ314" s="200"/>
      <c r="AR314" s="200"/>
      <c r="AS314" s="200"/>
      <c r="AT314" s="200"/>
      <c r="AU314" s="200"/>
      <c r="AV314" s="200"/>
      <c r="AW314" s="200"/>
      <c r="AX314" s="200"/>
      <c r="AY314" s="200"/>
      <c r="AZ314" s="200"/>
      <c r="BA314" s="200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 ht="13.8">
      <c r="A315" s="1"/>
      <c r="B315" s="1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  <c r="AB315" s="200"/>
      <c r="AC315" s="200"/>
      <c r="AD315" s="200"/>
      <c r="AE315" s="200"/>
      <c r="AF315" s="200"/>
      <c r="AG315" s="200"/>
      <c r="AH315" s="200"/>
      <c r="AI315" s="200"/>
      <c r="AJ315" s="200"/>
      <c r="AK315" s="200"/>
      <c r="AL315" s="200"/>
      <c r="AM315" s="200"/>
      <c r="AN315" s="200"/>
      <c r="AO315" s="200"/>
      <c r="AP315" s="200"/>
      <c r="AQ315" s="200"/>
      <c r="AR315" s="200"/>
      <c r="AS315" s="200"/>
      <c r="AT315" s="200"/>
      <c r="AU315" s="200"/>
      <c r="AV315" s="200"/>
      <c r="AW315" s="200"/>
      <c r="AX315" s="200"/>
      <c r="AY315" s="200"/>
      <c r="AZ315" s="200"/>
      <c r="BA315" s="200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 ht="13.8">
      <c r="A316" s="1"/>
      <c r="B316" s="1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  <c r="AB316" s="200"/>
      <c r="AC316" s="200"/>
      <c r="AD316" s="200"/>
      <c r="AE316" s="200"/>
      <c r="AF316" s="200"/>
      <c r="AG316" s="200"/>
      <c r="AH316" s="200"/>
      <c r="AI316" s="200"/>
      <c r="AJ316" s="200"/>
      <c r="AK316" s="200"/>
      <c r="AL316" s="200"/>
      <c r="AM316" s="200"/>
      <c r="AN316" s="200"/>
      <c r="AO316" s="200"/>
      <c r="AP316" s="200"/>
      <c r="AQ316" s="200"/>
      <c r="AR316" s="200"/>
      <c r="AS316" s="200"/>
      <c r="AT316" s="200"/>
      <c r="AU316" s="200"/>
      <c r="AV316" s="200"/>
      <c r="AW316" s="200"/>
      <c r="AX316" s="200"/>
      <c r="AY316" s="200"/>
      <c r="AZ316" s="200"/>
      <c r="BA316" s="200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 ht="13.8">
      <c r="A317" s="1"/>
      <c r="B317" s="1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  <c r="AB317" s="200"/>
      <c r="AC317" s="200"/>
      <c r="AD317" s="200"/>
      <c r="AE317" s="200"/>
      <c r="AF317" s="200"/>
      <c r="AG317" s="200"/>
      <c r="AH317" s="200"/>
      <c r="AI317" s="200"/>
      <c r="AJ317" s="200"/>
      <c r="AK317" s="200"/>
      <c r="AL317" s="200"/>
      <c r="AM317" s="200"/>
      <c r="AN317" s="200"/>
      <c r="AO317" s="200"/>
      <c r="AP317" s="200"/>
      <c r="AQ317" s="200"/>
      <c r="AR317" s="200"/>
      <c r="AS317" s="200"/>
      <c r="AT317" s="200"/>
      <c r="AU317" s="200"/>
      <c r="AV317" s="200"/>
      <c r="AW317" s="200"/>
      <c r="AX317" s="200"/>
      <c r="AY317" s="200"/>
      <c r="AZ317" s="200"/>
      <c r="BA317" s="200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 ht="13.8">
      <c r="A318" s="1"/>
      <c r="B318" s="1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  <c r="AA318" s="200"/>
      <c r="AB318" s="200"/>
      <c r="AC318" s="200"/>
      <c r="AD318" s="200"/>
      <c r="AE318" s="200"/>
      <c r="AF318" s="200"/>
      <c r="AG318" s="200"/>
      <c r="AH318" s="200"/>
      <c r="AI318" s="200"/>
      <c r="AJ318" s="200"/>
      <c r="AK318" s="200"/>
      <c r="AL318" s="200"/>
      <c r="AM318" s="200"/>
      <c r="AN318" s="200"/>
      <c r="AO318" s="200"/>
      <c r="AP318" s="200"/>
      <c r="AQ318" s="200"/>
      <c r="AR318" s="200"/>
      <c r="AS318" s="200"/>
      <c r="AT318" s="200"/>
      <c r="AU318" s="200"/>
      <c r="AV318" s="200"/>
      <c r="AW318" s="200"/>
      <c r="AX318" s="200"/>
      <c r="AY318" s="200"/>
      <c r="AZ318" s="200"/>
      <c r="BA318" s="200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 ht="13.8">
      <c r="A319" s="1"/>
      <c r="B319" s="1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  <c r="AA319" s="200"/>
      <c r="AB319" s="200"/>
      <c r="AC319" s="200"/>
      <c r="AD319" s="200"/>
      <c r="AE319" s="200"/>
      <c r="AF319" s="200"/>
      <c r="AG319" s="200"/>
      <c r="AH319" s="200"/>
      <c r="AI319" s="200"/>
      <c r="AJ319" s="200"/>
      <c r="AK319" s="200"/>
      <c r="AL319" s="200"/>
      <c r="AM319" s="200"/>
      <c r="AN319" s="200"/>
      <c r="AO319" s="200"/>
      <c r="AP319" s="200"/>
      <c r="AQ319" s="200"/>
      <c r="AR319" s="200"/>
      <c r="AS319" s="200"/>
      <c r="AT319" s="200"/>
      <c r="AU319" s="200"/>
      <c r="AV319" s="200"/>
      <c r="AW319" s="200"/>
      <c r="AX319" s="200"/>
      <c r="AY319" s="200"/>
      <c r="AZ319" s="200"/>
      <c r="BA319" s="200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 ht="13.8">
      <c r="A320" s="1"/>
      <c r="B320" s="1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  <c r="AA320" s="200"/>
      <c r="AB320" s="200"/>
      <c r="AC320" s="200"/>
      <c r="AD320" s="200"/>
      <c r="AE320" s="200"/>
      <c r="AF320" s="200"/>
      <c r="AG320" s="200"/>
      <c r="AH320" s="200"/>
      <c r="AI320" s="200"/>
      <c r="AJ320" s="200"/>
      <c r="AK320" s="200"/>
      <c r="AL320" s="200"/>
      <c r="AM320" s="200"/>
      <c r="AN320" s="200"/>
      <c r="AO320" s="200"/>
      <c r="AP320" s="200"/>
      <c r="AQ320" s="200"/>
      <c r="AR320" s="200"/>
      <c r="AS320" s="200"/>
      <c r="AT320" s="200"/>
      <c r="AU320" s="200"/>
      <c r="AV320" s="200"/>
      <c r="AW320" s="200"/>
      <c r="AX320" s="200"/>
      <c r="AY320" s="200"/>
      <c r="AZ320" s="200"/>
      <c r="BA320" s="200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 ht="13.8">
      <c r="A321" s="1"/>
      <c r="B321" s="1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  <c r="AA321" s="200"/>
      <c r="AB321" s="200"/>
      <c r="AC321" s="200"/>
      <c r="AD321" s="200"/>
      <c r="AE321" s="200"/>
      <c r="AF321" s="200"/>
      <c r="AG321" s="200"/>
      <c r="AH321" s="200"/>
      <c r="AI321" s="200"/>
      <c r="AJ321" s="200"/>
      <c r="AK321" s="200"/>
      <c r="AL321" s="200"/>
      <c r="AM321" s="200"/>
      <c r="AN321" s="200"/>
      <c r="AO321" s="200"/>
      <c r="AP321" s="200"/>
      <c r="AQ321" s="200"/>
      <c r="AR321" s="200"/>
      <c r="AS321" s="200"/>
      <c r="AT321" s="200"/>
      <c r="AU321" s="200"/>
      <c r="AV321" s="200"/>
      <c r="AW321" s="200"/>
      <c r="AX321" s="200"/>
      <c r="AY321" s="200"/>
      <c r="AZ321" s="200"/>
      <c r="BA321" s="200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 ht="13.8">
      <c r="A322" s="1"/>
      <c r="B322" s="1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  <c r="AA322" s="200"/>
      <c r="AB322" s="200"/>
      <c r="AC322" s="200"/>
      <c r="AD322" s="200"/>
      <c r="AE322" s="200"/>
      <c r="AF322" s="200"/>
      <c r="AG322" s="200"/>
      <c r="AH322" s="200"/>
      <c r="AI322" s="200"/>
      <c r="AJ322" s="200"/>
      <c r="AK322" s="200"/>
      <c r="AL322" s="200"/>
      <c r="AM322" s="200"/>
      <c r="AN322" s="200"/>
      <c r="AO322" s="200"/>
      <c r="AP322" s="200"/>
      <c r="AQ322" s="200"/>
      <c r="AR322" s="200"/>
      <c r="AS322" s="200"/>
      <c r="AT322" s="200"/>
      <c r="AU322" s="200"/>
      <c r="AV322" s="200"/>
      <c r="AW322" s="200"/>
      <c r="AX322" s="200"/>
      <c r="AY322" s="200"/>
      <c r="AZ322" s="200"/>
      <c r="BA322" s="200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 ht="13.8">
      <c r="A323" s="1"/>
      <c r="B323" s="1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  <c r="AA323" s="200"/>
      <c r="AB323" s="200"/>
      <c r="AC323" s="200"/>
      <c r="AD323" s="200"/>
      <c r="AE323" s="200"/>
      <c r="AF323" s="200"/>
      <c r="AG323" s="200"/>
      <c r="AH323" s="200"/>
      <c r="AI323" s="200"/>
      <c r="AJ323" s="200"/>
      <c r="AK323" s="200"/>
      <c r="AL323" s="200"/>
      <c r="AM323" s="200"/>
      <c r="AN323" s="200"/>
      <c r="AO323" s="200"/>
      <c r="AP323" s="200"/>
      <c r="AQ323" s="200"/>
      <c r="AR323" s="200"/>
      <c r="AS323" s="200"/>
      <c r="AT323" s="200"/>
      <c r="AU323" s="200"/>
      <c r="AV323" s="200"/>
      <c r="AW323" s="200"/>
      <c r="AX323" s="200"/>
      <c r="AY323" s="200"/>
      <c r="AZ323" s="200"/>
      <c r="BA323" s="200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 ht="13.8">
      <c r="A324" s="1"/>
      <c r="B324" s="1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  <c r="AA324" s="200"/>
      <c r="AB324" s="200"/>
      <c r="AC324" s="200"/>
      <c r="AD324" s="200"/>
      <c r="AE324" s="200"/>
      <c r="AF324" s="200"/>
      <c r="AG324" s="200"/>
      <c r="AH324" s="200"/>
      <c r="AI324" s="200"/>
      <c r="AJ324" s="200"/>
      <c r="AK324" s="200"/>
      <c r="AL324" s="200"/>
      <c r="AM324" s="200"/>
      <c r="AN324" s="200"/>
      <c r="AO324" s="200"/>
      <c r="AP324" s="200"/>
      <c r="AQ324" s="200"/>
      <c r="AR324" s="200"/>
      <c r="AS324" s="200"/>
      <c r="AT324" s="200"/>
      <c r="AU324" s="200"/>
      <c r="AV324" s="200"/>
      <c r="AW324" s="200"/>
      <c r="AX324" s="200"/>
      <c r="AY324" s="200"/>
      <c r="AZ324" s="200"/>
      <c r="BA324" s="200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 ht="13.8">
      <c r="A325" s="1"/>
      <c r="B325" s="1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  <c r="AA325" s="200"/>
      <c r="AB325" s="200"/>
      <c r="AC325" s="200"/>
      <c r="AD325" s="200"/>
      <c r="AE325" s="200"/>
      <c r="AF325" s="200"/>
      <c r="AG325" s="200"/>
      <c r="AH325" s="200"/>
      <c r="AI325" s="200"/>
      <c r="AJ325" s="200"/>
      <c r="AK325" s="200"/>
      <c r="AL325" s="200"/>
      <c r="AM325" s="200"/>
      <c r="AN325" s="200"/>
      <c r="AO325" s="200"/>
      <c r="AP325" s="200"/>
      <c r="AQ325" s="200"/>
      <c r="AR325" s="200"/>
      <c r="AS325" s="200"/>
      <c r="AT325" s="200"/>
      <c r="AU325" s="200"/>
      <c r="AV325" s="200"/>
      <c r="AW325" s="200"/>
      <c r="AX325" s="200"/>
      <c r="AY325" s="200"/>
      <c r="AZ325" s="200"/>
      <c r="BA325" s="200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 ht="13.8">
      <c r="A326" s="1"/>
      <c r="B326" s="1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  <c r="AA326" s="200"/>
      <c r="AB326" s="200"/>
      <c r="AC326" s="200"/>
      <c r="AD326" s="200"/>
      <c r="AE326" s="200"/>
      <c r="AF326" s="200"/>
      <c r="AG326" s="200"/>
      <c r="AH326" s="200"/>
      <c r="AI326" s="200"/>
      <c r="AJ326" s="200"/>
      <c r="AK326" s="200"/>
      <c r="AL326" s="200"/>
      <c r="AM326" s="200"/>
      <c r="AN326" s="200"/>
      <c r="AO326" s="200"/>
      <c r="AP326" s="200"/>
      <c r="AQ326" s="200"/>
      <c r="AR326" s="200"/>
      <c r="AS326" s="200"/>
      <c r="AT326" s="200"/>
      <c r="AU326" s="200"/>
      <c r="AV326" s="200"/>
      <c r="AW326" s="200"/>
      <c r="AX326" s="200"/>
      <c r="AY326" s="200"/>
      <c r="AZ326" s="200"/>
      <c r="BA326" s="200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 ht="13.8">
      <c r="A327" s="1"/>
      <c r="B327" s="1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  <c r="AA327" s="200"/>
      <c r="AB327" s="200"/>
      <c r="AC327" s="200"/>
      <c r="AD327" s="200"/>
      <c r="AE327" s="200"/>
      <c r="AF327" s="200"/>
      <c r="AG327" s="200"/>
      <c r="AH327" s="200"/>
      <c r="AI327" s="200"/>
      <c r="AJ327" s="200"/>
      <c r="AK327" s="200"/>
      <c r="AL327" s="200"/>
      <c r="AM327" s="200"/>
      <c r="AN327" s="200"/>
      <c r="AO327" s="200"/>
      <c r="AP327" s="200"/>
      <c r="AQ327" s="200"/>
      <c r="AR327" s="200"/>
      <c r="AS327" s="200"/>
      <c r="AT327" s="200"/>
      <c r="AU327" s="200"/>
      <c r="AV327" s="200"/>
      <c r="AW327" s="200"/>
      <c r="AX327" s="200"/>
      <c r="AY327" s="200"/>
      <c r="AZ327" s="200"/>
      <c r="BA327" s="200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 ht="13.8">
      <c r="A328" s="1"/>
      <c r="B328" s="1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  <c r="AA328" s="200"/>
      <c r="AB328" s="200"/>
      <c r="AC328" s="200"/>
      <c r="AD328" s="200"/>
      <c r="AE328" s="200"/>
      <c r="AF328" s="200"/>
      <c r="AG328" s="200"/>
      <c r="AH328" s="200"/>
      <c r="AI328" s="200"/>
      <c r="AJ328" s="200"/>
      <c r="AK328" s="200"/>
      <c r="AL328" s="200"/>
      <c r="AM328" s="200"/>
      <c r="AN328" s="200"/>
      <c r="AO328" s="200"/>
      <c r="AP328" s="200"/>
      <c r="AQ328" s="200"/>
      <c r="AR328" s="200"/>
      <c r="AS328" s="200"/>
      <c r="AT328" s="200"/>
      <c r="AU328" s="200"/>
      <c r="AV328" s="200"/>
      <c r="AW328" s="200"/>
      <c r="AX328" s="200"/>
      <c r="AY328" s="200"/>
      <c r="AZ328" s="200"/>
      <c r="BA328" s="200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 ht="13.8">
      <c r="A329" s="1"/>
      <c r="B329" s="1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  <c r="AA329" s="200"/>
      <c r="AB329" s="200"/>
      <c r="AC329" s="200"/>
      <c r="AD329" s="200"/>
      <c r="AE329" s="200"/>
      <c r="AF329" s="200"/>
      <c r="AG329" s="200"/>
      <c r="AH329" s="200"/>
      <c r="AI329" s="200"/>
      <c r="AJ329" s="200"/>
      <c r="AK329" s="200"/>
      <c r="AL329" s="200"/>
      <c r="AM329" s="200"/>
      <c r="AN329" s="200"/>
      <c r="AO329" s="200"/>
      <c r="AP329" s="200"/>
      <c r="AQ329" s="200"/>
      <c r="AR329" s="200"/>
      <c r="AS329" s="200"/>
      <c r="AT329" s="200"/>
      <c r="AU329" s="200"/>
      <c r="AV329" s="200"/>
      <c r="AW329" s="200"/>
      <c r="AX329" s="200"/>
      <c r="AY329" s="200"/>
      <c r="AZ329" s="200"/>
      <c r="BA329" s="200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 ht="13.8">
      <c r="A330" s="1"/>
      <c r="B330" s="1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  <c r="AA330" s="200"/>
      <c r="AB330" s="200"/>
      <c r="AC330" s="200"/>
      <c r="AD330" s="200"/>
      <c r="AE330" s="200"/>
      <c r="AF330" s="200"/>
      <c r="AG330" s="200"/>
      <c r="AH330" s="200"/>
      <c r="AI330" s="200"/>
      <c r="AJ330" s="200"/>
      <c r="AK330" s="200"/>
      <c r="AL330" s="200"/>
      <c r="AM330" s="200"/>
      <c r="AN330" s="200"/>
      <c r="AO330" s="200"/>
      <c r="AP330" s="200"/>
      <c r="AQ330" s="200"/>
      <c r="AR330" s="200"/>
      <c r="AS330" s="200"/>
      <c r="AT330" s="200"/>
      <c r="AU330" s="200"/>
      <c r="AV330" s="200"/>
      <c r="AW330" s="200"/>
      <c r="AX330" s="200"/>
      <c r="AY330" s="200"/>
      <c r="AZ330" s="200"/>
      <c r="BA330" s="200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 ht="13.8">
      <c r="A331" s="1"/>
      <c r="B331" s="1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  <c r="AA331" s="200"/>
      <c r="AB331" s="200"/>
      <c r="AC331" s="200"/>
      <c r="AD331" s="200"/>
      <c r="AE331" s="200"/>
      <c r="AF331" s="200"/>
      <c r="AG331" s="200"/>
      <c r="AH331" s="200"/>
      <c r="AI331" s="200"/>
      <c r="AJ331" s="200"/>
      <c r="AK331" s="200"/>
      <c r="AL331" s="200"/>
      <c r="AM331" s="200"/>
      <c r="AN331" s="200"/>
      <c r="AO331" s="200"/>
      <c r="AP331" s="200"/>
      <c r="AQ331" s="200"/>
      <c r="AR331" s="200"/>
      <c r="AS331" s="200"/>
      <c r="AT331" s="200"/>
      <c r="AU331" s="200"/>
      <c r="AV331" s="200"/>
      <c r="AW331" s="200"/>
      <c r="AX331" s="200"/>
      <c r="AY331" s="200"/>
      <c r="AZ331" s="200"/>
      <c r="BA331" s="200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 ht="13.8">
      <c r="A332" s="1"/>
      <c r="B332" s="1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  <c r="AA332" s="200"/>
      <c r="AB332" s="200"/>
      <c r="AC332" s="200"/>
      <c r="AD332" s="200"/>
      <c r="AE332" s="200"/>
      <c r="AF332" s="200"/>
      <c r="AG332" s="200"/>
      <c r="AH332" s="200"/>
      <c r="AI332" s="200"/>
      <c r="AJ332" s="200"/>
      <c r="AK332" s="200"/>
      <c r="AL332" s="200"/>
      <c r="AM332" s="200"/>
      <c r="AN332" s="200"/>
      <c r="AO332" s="200"/>
      <c r="AP332" s="200"/>
      <c r="AQ332" s="200"/>
      <c r="AR332" s="200"/>
      <c r="AS332" s="200"/>
      <c r="AT332" s="200"/>
      <c r="AU332" s="200"/>
      <c r="AV332" s="200"/>
      <c r="AW332" s="200"/>
      <c r="AX332" s="200"/>
      <c r="AY332" s="200"/>
      <c r="AZ332" s="200"/>
      <c r="BA332" s="200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 ht="13.8">
      <c r="A333" s="1"/>
      <c r="B333" s="1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  <c r="AA333" s="200"/>
      <c r="AB333" s="200"/>
      <c r="AC333" s="200"/>
      <c r="AD333" s="200"/>
      <c r="AE333" s="200"/>
      <c r="AF333" s="200"/>
      <c r="AG333" s="200"/>
      <c r="AH333" s="200"/>
      <c r="AI333" s="200"/>
      <c r="AJ333" s="200"/>
      <c r="AK333" s="200"/>
      <c r="AL333" s="200"/>
      <c r="AM333" s="200"/>
      <c r="AN333" s="200"/>
      <c r="AO333" s="200"/>
      <c r="AP333" s="200"/>
      <c r="AQ333" s="200"/>
      <c r="AR333" s="200"/>
      <c r="AS333" s="200"/>
      <c r="AT333" s="200"/>
      <c r="AU333" s="200"/>
      <c r="AV333" s="200"/>
      <c r="AW333" s="200"/>
      <c r="AX333" s="200"/>
      <c r="AY333" s="200"/>
      <c r="AZ333" s="200"/>
      <c r="BA333" s="200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 ht="13.8">
      <c r="A334" s="1"/>
      <c r="B334" s="1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  <c r="AA334" s="200"/>
      <c r="AB334" s="200"/>
      <c r="AC334" s="200"/>
      <c r="AD334" s="200"/>
      <c r="AE334" s="200"/>
      <c r="AF334" s="200"/>
      <c r="AG334" s="200"/>
      <c r="AH334" s="200"/>
      <c r="AI334" s="200"/>
      <c r="AJ334" s="200"/>
      <c r="AK334" s="200"/>
      <c r="AL334" s="200"/>
      <c r="AM334" s="200"/>
      <c r="AN334" s="200"/>
      <c r="AO334" s="200"/>
      <c r="AP334" s="200"/>
      <c r="AQ334" s="200"/>
      <c r="AR334" s="200"/>
      <c r="AS334" s="200"/>
      <c r="AT334" s="200"/>
      <c r="AU334" s="200"/>
      <c r="AV334" s="200"/>
      <c r="AW334" s="200"/>
      <c r="AX334" s="200"/>
      <c r="AY334" s="200"/>
      <c r="AZ334" s="200"/>
      <c r="BA334" s="200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 ht="13.8">
      <c r="A335" s="1"/>
      <c r="B335" s="1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  <c r="AA335" s="200"/>
      <c r="AB335" s="200"/>
      <c r="AC335" s="200"/>
      <c r="AD335" s="200"/>
      <c r="AE335" s="200"/>
      <c r="AF335" s="200"/>
      <c r="AG335" s="200"/>
      <c r="AH335" s="200"/>
      <c r="AI335" s="200"/>
      <c r="AJ335" s="200"/>
      <c r="AK335" s="200"/>
      <c r="AL335" s="200"/>
      <c r="AM335" s="200"/>
      <c r="AN335" s="200"/>
      <c r="AO335" s="200"/>
      <c r="AP335" s="200"/>
      <c r="AQ335" s="200"/>
      <c r="AR335" s="200"/>
      <c r="AS335" s="200"/>
      <c r="AT335" s="200"/>
      <c r="AU335" s="200"/>
      <c r="AV335" s="200"/>
      <c r="AW335" s="200"/>
      <c r="AX335" s="200"/>
      <c r="AY335" s="200"/>
      <c r="AZ335" s="200"/>
      <c r="BA335" s="200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 ht="13.8">
      <c r="A336" s="1"/>
      <c r="B336" s="1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  <c r="AA336" s="200"/>
      <c r="AB336" s="200"/>
      <c r="AC336" s="200"/>
      <c r="AD336" s="200"/>
      <c r="AE336" s="200"/>
      <c r="AF336" s="200"/>
      <c r="AG336" s="200"/>
      <c r="AH336" s="200"/>
      <c r="AI336" s="200"/>
      <c r="AJ336" s="200"/>
      <c r="AK336" s="200"/>
      <c r="AL336" s="200"/>
      <c r="AM336" s="200"/>
      <c r="AN336" s="200"/>
      <c r="AO336" s="200"/>
      <c r="AP336" s="200"/>
      <c r="AQ336" s="200"/>
      <c r="AR336" s="200"/>
      <c r="AS336" s="200"/>
      <c r="AT336" s="200"/>
      <c r="AU336" s="200"/>
      <c r="AV336" s="200"/>
      <c r="AW336" s="200"/>
      <c r="AX336" s="200"/>
      <c r="AY336" s="200"/>
      <c r="AZ336" s="200"/>
      <c r="BA336" s="200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 ht="13.8">
      <c r="A337" s="1"/>
      <c r="B337" s="1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  <c r="AA337" s="200"/>
      <c r="AB337" s="200"/>
      <c r="AC337" s="200"/>
      <c r="AD337" s="200"/>
      <c r="AE337" s="200"/>
      <c r="AF337" s="200"/>
      <c r="AG337" s="200"/>
      <c r="AH337" s="200"/>
      <c r="AI337" s="200"/>
      <c r="AJ337" s="200"/>
      <c r="AK337" s="200"/>
      <c r="AL337" s="200"/>
      <c r="AM337" s="200"/>
      <c r="AN337" s="200"/>
      <c r="AO337" s="200"/>
      <c r="AP337" s="200"/>
      <c r="AQ337" s="200"/>
      <c r="AR337" s="200"/>
      <c r="AS337" s="200"/>
      <c r="AT337" s="200"/>
      <c r="AU337" s="200"/>
      <c r="AV337" s="200"/>
      <c r="AW337" s="200"/>
      <c r="AX337" s="200"/>
      <c r="AY337" s="200"/>
      <c r="AZ337" s="200"/>
      <c r="BA337" s="200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 ht="13.8">
      <c r="A338" s="1"/>
      <c r="B338" s="1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  <c r="AA338" s="200"/>
      <c r="AB338" s="200"/>
      <c r="AC338" s="200"/>
      <c r="AD338" s="200"/>
      <c r="AE338" s="200"/>
      <c r="AF338" s="200"/>
      <c r="AG338" s="200"/>
      <c r="AH338" s="200"/>
      <c r="AI338" s="200"/>
      <c r="AJ338" s="200"/>
      <c r="AK338" s="200"/>
      <c r="AL338" s="200"/>
      <c r="AM338" s="200"/>
      <c r="AN338" s="200"/>
      <c r="AO338" s="200"/>
      <c r="AP338" s="200"/>
      <c r="AQ338" s="200"/>
      <c r="AR338" s="200"/>
      <c r="AS338" s="200"/>
      <c r="AT338" s="200"/>
      <c r="AU338" s="200"/>
      <c r="AV338" s="200"/>
      <c r="AW338" s="200"/>
      <c r="AX338" s="200"/>
      <c r="AY338" s="200"/>
      <c r="AZ338" s="200"/>
      <c r="BA338" s="200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 ht="13.8">
      <c r="A339" s="1"/>
      <c r="B339" s="1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  <c r="AA339" s="200"/>
      <c r="AB339" s="200"/>
      <c r="AC339" s="200"/>
      <c r="AD339" s="200"/>
      <c r="AE339" s="200"/>
      <c r="AF339" s="200"/>
      <c r="AG339" s="200"/>
      <c r="AH339" s="200"/>
      <c r="AI339" s="200"/>
      <c r="AJ339" s="200"/>
      <c r="AK339" s="200"/>
      <c r="AL339" s="200"/>
      <c r="AM339" s="200"/>
      <c r="AN339" s="200"/>
      <c r="AO339" s="200"/>
      <c r="AP339" s="200"/>
      <c r="AQ339" s="200"/>
      <c r="AR339" s="200"/>
      <c r="AS339" s="200"/>
      <c r="AT339" s="200"/>
      <c r="AU339" s="200"/>
      <c r="AV339" s="200"/>
      <c r="AW339" s="200"/>
      <c r="AX339" s="200"/>
      <c r="AY339" s="200"/>
      <c r="AZ339" s="200"/>
      <c r="BA339" s="200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 ht="13.8">
      <c r="A340" s="1"/>
      <c r="B340" s="1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  <c r="AA340" s="200"/>
      <c r="AB340" s="200"/>
      <c r="AC340" s="200"/>
      <c r="AD340" s="200"/>
      <c r="AE340" s="200"/>
      <c r="AF340" s="200"/>
      <c r="AG340" s="200"/>
      <c r="AH340" s="200"/>
      <c r="AI340" s="200"/>
      <c r="AJ340" s="200"/>
      <c r="AK340" s="200"/>
      <c r="AL340" s="200"/>
      <c r="AM340" s="200"/>
      <c r="AN340" s="200"/>
      <c r="AO340" s="200"/>
      <c r="AP340" s="200"/>
      <c r="AQ340" s="200"/>
      <c r="AR340" s="200"/>
      <c r="AS340" s="200"/>
      <c r="AT340" s="200"/>
      <c r="AU340" s="200"/>
      <c r="AV340" s="200"/>
      <c r="AW340" s="200"/>
      <c r="AX340" s="200"/>
      <c r="AY340" s="200"/>
      <c r="AZ340" s="200"/>
      <c r="BA340" s="200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 ht="13.8">
      <c r="A341" s="1"/>
      <c r="B341" s="1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  <c r="AB341" s="200"/>
      <c r="AC341" s="200"/>
      <c r="AD341" s="200"/>
      <c r="AE341" s="200"/>
      <c r="AF341" s="200"/>
      <c r="AG341" s="200"/>
      <c r="AH341" s="200"/>
      <c r="AI341" s="200"/>
      <c r="AJ341" s="200"/>
      <c r="AK341" s="200"/>
      <c r="AL341" s="200"/>
      <c r="AM341" s="200"/>
      <c r="AN341" s="200"/>
      <c r="AO341" s="200"/>
      <c r="AP341" s="200"/>
      <c r="AQ341" s="200"/>
      <c r="AR341" s="200"/>
      <c r="AS341" s="200"/>
      <c r="AT341" s="200"/>
      <c r="AU341" s="200"/>
      <c r="AV341" s="200"/>
      <c r="AW341" s="200"/>
      <c r="AX341" s="200"/>
      <c r="AY341" s="200"/>
      <c r="AZ341" s="200"/>
      <c r="BA341" s="200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 ht="13.8">
      <c r="A342" s="1"/>
      <c r="B342" s="1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  <c r="AA342" s="200"/>
      <c r="AB342" s="200"/>
      <c r="AC342" s="200"/>
      <c r="AD342" s="200"/>
      <c r="AE342" s="200"/>
      <c r="AF342" s="200"/>
      <c r="AG342" s="200"/>
      <c r="AH342" s="200"/>
      <c r="AI342" s="200"/>
      <c r="AJ342" s="200"/>
      <c r="AK342" s="200"/>
      <c r="AL342" s="200"/>
      <c r="AM342" s="200"/>
      <c r="AN342" s="200"/>
      <c r="AO342" s="200"/>
      <c r="AP342" s="200"/>
      <c r="AQ342" s="200"/>
      <c r="AR342" s="200"/>
      <c r="AS342" s="200"/>
      <c r="AT342" s="200"/>
      <c r="AU342" s="200"/>
      <c r="AV342" s="200"/>
      <c r="AW342" s="200"/>
      <c r="AX342" s="200"/>
      <c r="AY342" s="200"/>
      <c r="AZ342" s="200"/>
      <c r="BA342" s="200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 ht="13.8">
      <c r="A343" s="1"/>
      <c r="B343" s="1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  <c r="AA343" s="200"/>
      <c r="AB343" s="200"/>
      <c r="AC343" s="200"/>
      <c r="AD343" s="200"/>
      <c r="AE343" s="200"/>
      <c r="AF343" s="200"/>
      <c r="AG343" s="200"/>
      <c r="AH343" s="200"/>
      <c r="AI343" s="200"/>
      <c r="AJ343" s="200"/>
      <c r="AK343" s="200"/>
      <c r="AL343" s="200"/>
      <c r="AM343" s="200"/>
      <c r="AN343" s="200"/>
      <c r="AO343" s="200"/>
      <c r="AP343" s="200"/>
      <c r="AQ343" s="200"/>
      <c r="AR343" s="200"/>
      <c r="AS343" s="200"/>
      <c r="AT343" s="200"/>
      <c r="AU343" s="200"/>
      <c r="AV343" s="200"/>
      <c r="AW343" s="200"/>
      <c r="AX343" s="200"/>
      <c r="AY343" s="200"/>
      <c r="AZ343" s="200"/>
      <c r="BA343" s="200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 ht="13.8">
      <c r="A344" s="1"/>
      <c r="B344" s="1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  <c r="AA344" s="200"/>
      <c r="AB344" s="200"/>
      <c r="AC344" s="200"/>
      <c r="AD344" s="200"/>
      <c r="AE344" s="200"/>
      <c r="AF344" s="200"/>
      <c r="AG344" s="200"/>
      <c r="AH344" s="200"/>
      <c r="AI344" s="200"/>
      <c r="AJ344" s="200"/>
      <c r="AK344" s="200"/>
      <c r="AL344" s="200"/>
      <c r="AM344" s="200"/>
      <c r="AN344" s="200"/>
      <c r="AO344" s="200"/>
      <c r="AP344" s="200"/>
      <c r="AQ344" s="200"/>
      <c r="AR344" s="200"/>
      <c r="AS344" s="200"/>
      <c r="AT344" s="200"/>
      <c r="AU344" s="200"/>
      <c r="AV344" s="200"/>
      <c r="AW344" s="200"/>
      <c r="AX344" s="200"/>
      <c r="AY344" s="200"/>
      <c r="AZ344" s="200"/>
      <c r="BA344" s="200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 ht="13.8">
      <c r="A345" s="1"/>
      <c r="B345" s="1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  <c r="AA345" s="200"/>
      <c r="AB345" s="200"/>
      <c r="AC345" s="200"/>
      <c r="AD345" s="200"/>
      <c r="AE345" s="200"/>
      <c r="AF345" s="200"/>
      <c r="AG345" s="200"/>
      <c r="AH345" s="200"/>
      <c r="AI345" s="200"/>
      <c r="AJ345" s="200"/>
      <c r="AK345" s="200"/>
      <c r="AL345" s="200"/>
      <c r="AM345" s="200"/>
      <c r="AN345" s="200"/>
      <c r="AO345" s="200"/>
      <c r="AP345" s="200"/>
      <c r="AQ345" s="200"/>
      <c r="AR345" s="200"/>
      <c r="AS345" s="200"/>
      <c r="AT345" s="200"/>
      <c r="AU345" s="200"/>
      <c r="AV345" s="200"/>
      <c r="AW345" s="200"/>
      <c r="AX345" s="200"/>
      <c r="AY345" s="200"/>
      <c r="AZ345" s="200"/>
      <c r="BA345" s="200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 ht="13.8">
      <c r="A346" s="1"/>
      <c r="B346" s="1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  <c r="AA346" s="200"/>
      <c r="AB346" s="200"/>
      <c r="AC346" s="200"/>
      <c r="AD346" s="200"/>
      <c r="AE346" s="200"/>
      <c r="AF346" s="200"/>
      <c r="AG346" s="200"/>
      <c r="AH346" s="200"/>
      <c r="AI346" s="200"/>
      <c r="AJ346" s="200"/>
      <c r="AK346" s="200"/>
      <c r="AL346" s="200"/>
      <c r="AM346" s="200"/>
      <c r="AN346" s="200"/>
      <c r="AO346" s="200"/>
      <c r="AP346" s="200"/>
      <c r="AQ346" s="200"/>
      <c r="AR346" s="200"/>
      <c r="AS346" s="200"/>
      <c r="AT346" s="200"/>
      <c r="AU346" s="200"/>
      <c r="AV346" s="200"/>
      <c r="AW346" s="200"/>
      <c r="AX346" s="200"/>
      <c r="AY346" s="200"/>
      <c r="AZ346" s="200"/>
      <c r="BA346" s="200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 ht="13.8">
      <c r="A347" s="1"/>
      <c r="B347" s="1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  <c r="AA347" s="200"/>
      <c r="AB347" s="200"/>
      <c r="AC347" s="200"/>
      <c r="AD347" s="200"/>
      <c r="AE347" s="200"/>
      <c r="AF347" s="200"/>
      <c r="AG347" s="200"/>
      <c r="AH347" s="200"/>
      <c r="AI347" s="200"/>
      <c r="AJ347" s="200"/>
      <c r="AK347" s="200"/>
      <c r="AL347" s="200"/>
      <c r="AM347" s="200"/>
      <c r="AN347" s="200"/>
      <c r="AO347" s="200"/>
      <c r="AP347" s="200"/>
      <c r="AQ347" s="200"/>
      <c r="AR347" s="200"/>
      <c r="AS347" s="200"/>
      <c r="AT347" s="200"/>
      <c r="AU347" s="200"/>
      <c r="AV347" s="200"/>
      <c r="AW347" s="200"/>
      <c r="AX347" s="200"/>
      <c r="AY347" s="200"/>
      <c r="AZ347" s="200"/>
      <c r="BA347" s="200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 ht="13.8">
      <c r="A348" s="1"/>
      <c r="B348" s="1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  <c r="AA348" s="200"/>
      <c r="AB348" s="200"/>
      <c r="AC348" s="200"/>
      <c r="AD348" s="200"/>
      <c r="AE348" s="200"/>
      <c r="AF348" s="200"/>
      <c r="AG348" s="200"/>
      <c r="AH348" s="200"/>
      <c r="AI348" s="200"/>
      <c r="AJ348" s="200"/>
      <c r="AK348" s="200"/>
      <c r="AL348" s="200"/>
      <c r="AM348" s="200"/>
      <c r="AN348" s="200"/>
      <c r="AO348" s="200"/>
      <c r="AP348" s="200"/>
      <c r="AQ348" s="200"/>
      <c r="AR348" s="200"/>
      <c r="AS348" s="200"/>
      <c r="AT348" s="200"/>
      <c r="AU348" s="200"/>
      <c r="AV348" s="200"/>
      <c r="AW348" s="200"/>
      <c r="AX348" s="200"/>
      <c r="AY348" s="200"/>
      <c r="AZ348" s="200"/>
      <c r="BA348" s="200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 ht="13.8">
      <c r="A349" s="1"/>
      <c r="B349" s="1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  <c r="AA349" s="200"/>
      <c r="AB349" s="200"/>
      <c r="AC349" s="200"/>
      <c r="AD349" s="200"/>
      <c r="AE349" s="200"/>
      <c r="AF349" s="200"/>
      <c r="AG349" s="200"/>
      <c r="AH349" s="200"/>
      <c r="AI349" s="200"/>
      <c r="AJ349" s="200"/>
      <c r="AK349" s="200"/>
      <c r="AL349" s="200"/>
      <c r="AM349" s="200"/>
      <c r="AN349" s="200"/>
      <c r="AO349" s="200"/>
      <c r="AP349" s="200"/>
      <c r="AQ349" s="200"/>
      <c r="AR349" s="200"/>
      <c r="AS349" s="200"/>
      <c r="AT349" s="200"/>
      <c r="AU349" s="200"/>
      <c r="AV349" s="200"/>
      <c r="AW349" s="200"/>
      <c r="AX349" s="200"/>
      <c r="AY349" s="200"/>
      <c r="AZ349" s="200"/>
      <c r="BA349" s="200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 ht="13.8">
      <c r="A350" s="1"/>
      <c r="B350" s="1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  <c r="AA350" s="200"/>
      <c r="AB350" s="200"/>
      <c r="AC350" s="200"/>
      <c r="AD350" s="200"/>
      <c r="AE350" s="200"/>
      <c r="AF350" s="200"/>
      <c r="AG350" s="200"/>
      <c r="AH350" s="200"/>
      <c r="AI350" s="200"/>
      <c r="AJ350" s="200"/>
      <c r="AK350" s="200"/>
      <c r="AL350" s="200"/>
      <c r="AM350" s="200"/>
      <c r="AN350" s="200"/>
      <c r="AO350" s="200"/>
      <c r="AP350" s="200"/>
      <c r="AQ350" s="200"/>
      <c r="AR350" s="200"/>
      <c r="AS350" s="200"/>
      <c r="AT350" s="200"/>
      <c r="AU350" s="200"/>
      <c r="AV350" s="200"/>
      <c r="AW350" s="200"/>
      <c r="AX350" s="200"/>
      <c r="AY350" s="200"/>
      <c r="AZ350" s="200"/>
      <c r="BA350" s="200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 ht="13.8">
      <c r="A351" s="1"/>
      <c r="B351" s="1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  <c r="AA351" s="200"/>
      <c r="AB351" s="200"/>
      <c r="AC351" s="200"/>
      <c r="AD351" s="200"/>
      <c r="AE351" s="200"/>
      <c r="AF351" s="200"/>
      <c r="AG351" s="200"/>
      <c r="AH351" s="200"/>
      <c r="AI351" s="200"/>
      <c r="AJ351" s="200"/>
      <c r="AK351" s="200"/>
      <c r="AL351" s="200"/>
      <c r="AM351" s="200"/>
      <c r="AN351" s="200"/>
      <c r="AO351" s="200"/>
      <c r="AP351" s="200"/>
      <c r="AQ351" s="200"/>
      <c r="AR351" s="200"/>
      <c r="AS351" s="200"/>
      <c r="AT351" s="200"/>
      <c r="AU351" s="200"/>
      <c r="AV351" s="200"/>
      <c r="AW351" s="200"/>
      <c r="AX351" s="200"/>
      <c r="AY351" s="200"/>
      <c r="AZ351" s="200"/>
      <c r="BA351" s="200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 ht="13.8">
      <c r="A352" s="1"/>
      <c r="B352" s="1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  <c r="AA352" s="200"/>
      <c r="AB352" s="200"/>
      <c r="AC352" s="200"/>
      <c r="AD352" s="200"/>
      <c r="AE352" s="200"/>
      <c r="AF352" s="200"/>
      <c r="AG352" s="200"/>
      <c r="AH352" s="200"/>
      <c r="AI352" s="200"/>
      <c r="AJ352" s="200"/>
      <c r="AK352" s="200"/>
      <c r="AL352" s="200"/>
      <c r="AM352" s="200"/>
      <c r="AN352" s="200"/>
      <c r="AO352" s="200"/>
      <c r="AP352" s="200"/>
      <c r="AQ352" s="200"/>
      <c r="AR352" s="200"/>
      <c r="AS352" s="200"/>
      <c r="AT352" s="200"/>
      <c r="AU352" s="200"/>
      <c r="AV352" s="200"/>
      <c r="AW352" s="200"/>
      <c r="AX352" s="200"/>
      <c r="AY352" s="200"/>
      <c r="AZ352" s="200"/>
      <c r="BA352" s="200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 ht="13.8">
      <c r="A353" s="1"/>
      <c r="B353" s="1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  <c r="AA353" s="200"/>
      <c r="AB353" s="200"/>
      <c r="AC353" s="200"/>
      <c r="AD353" s="200"/>
      <c r="AE353" s="200"/>
      <c r="AF353" s="200"/>
      <c r="AG353" s="200"/>
      <c r="AH353" s="200"/>
      <c r="AI353" s="200"/>
      <c r="AJ353" s="200"/>
      <c r="AK353" s="200"/>
      <c r="AL353" s="200"/>
      <c r="AM353" s="200"/>
      <c r="AN353" s="200"/>
      <c r="AO353" s="200"/>
      <c r="AP353" s="200"/>
      <c r="AQ353" s="200"/>
      <c r="AR353" s="200"/>
      <c r="AS353" s="200"/>
      <c r="AT353" s="200"/>
      <c r="AU353" s="200"/>
      <c r="AV353" s="200"/>
      <c r="AW353" s="200"/>
      <c r="AX353" s="200"/>
      <c r="AY353" s="200"/>
      <c r="AZ353" s="200"/>
      <c r="BA353" s="200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 ht="13.8">
      <c r="A354" s="1"/>
      <c r="B354" s="1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  <c r="AA354" s="200"/>
      <c r="AB354" s="200"/>
      <c r="AC354" s="200"/>
      <c r="AD354" s="200"/>
      <c r="AE354" s="200"/>
      <c r="AF354" s="200"/>
      <c r="AG354" s="200"/>
      <c r="AH354" s="200"/>
      <c r="AI354" s="200"/>
      <c r="AJ354" s="200"/>
      <c r="AK354" s="200"/>
      <c r="AL354" s="200"/>
      <c r="AM354" s="200"/>
      <c r="AN354" s="200"/>
      <c r="AO354" s="200"/>
      <c r="AP354" s="200"/>
      <c r="AQ354" s="200"/>
      <c r="AR354" s="200"/>
      <c r="AS354" s="200"/>
      <c r="AT354" s="200"/>
      <c r="AU354" s="200"/>
      <c r="AV354" s="200"/>
      <c r="AW354" s="200"/>
      <c r="AX354" s="200"/>
      <c r="AY354" s="200"/>
      <c r="AZ354" s="200"/>
      <c r="BA354" s="200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 ht="13.8">
      <c r="A355" s="1"/>
      <c r="B355" s="1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  <c r="AA355" s="200"/>
      <c r="AB355" s="200"/>
      <c r="AC355" s="200"/>
      <c r="AD355" s="200"/>
      <c r="AE355" s="200"/>
      <c r="AF355" s="200"/>
      <c r="AG355" s="200"/>
      <c r="AH355" s="200"/>
      <c r="AI355" s="200"/>
      <c r="AJ355" s="200"/>
      <c r="AK355" s="200"/>
      <c r="AL355" s="200"/>
      <c r="AM355" s="200"/>
      <c r="AN355" s="200"/>
      <c r="AO355" s="200"/>
      <c r="AP355" s="200"/>
      <c r="AQ355" s="200"/>
      <c r="AR355" s="200"/>
      <c r="AS355" s="200"/>
      <c r="AT355" s="200"/>
      <c r="AU355" s="200"/>
      <c r="AV355" s="200"/>
      <c r="AW355" s="200"/>
      <c r="AX355" s="200"/>
      <c r="AY355" s="200"/>
      <c r="AZ355" s="200"/>
      <c r="BA355" s="200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 ht="13.8">
      <c r="A356" s="1"/>
      <c r="B356" s="1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  <c r="AA356" s="200"/>
      <c r="AB356" s="200"/>
      <c r="AC356" s="200"/>
      <c r="AD356" s="200"/>
      <c r="AE356" s="200"/>
      <c r="AF356" s="200"/>
      <c r="AG356" s="200"/>
      <c r="AH356" s="200"/>
      <c r="AI356" s="200"/>
      <c r="AJ356" s="200"/>
      <c r="AK356" s="200"/>
      <c r="AL356" s="200"/>
      <c r="AM356" s="200"/>
      <c r="AN356" s="200"/>
      <c r="AO356" s="200"/>
      <c r="AP356" s="200"/>
      <c r="AQ356" s="200"/>
      <c r="AR356" s="200"/>
      <c r="AS356" s="200"/>
      <c r="AT356" s="200"/>
      <c r="AU356" s="200"/>
      <c r="AV356" s="200"/>
      <c r="AW356" s="200"/>
      <c r="AX356" s="200"/>
      <c r="AY356" s="200"/>
      <c r="AZ356" s="200"/>
      <c r="BA356" s="200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 ht="13.8">
      <c r="A357" s="1"/>
      <c r="B357" s="1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  <c r="AA357" s="200"/>
      <c r="AB357" s="200"/>
      <c r="AC357" s="200"/>
      <c r="AD357" s="200"/>
      <c r="AE357" s="200"/>
      <c r="AF357" s="200"/>
      <c r="AG357" s="200"/>
      <c r="AH357" s="200"/>
      <c r="AI357" s="200"/>
      <c r="AJ357" s="200"/>
      <c r="AK357" s="200"/>
      <c r="AL357" s="200"/>
      <c r="AM357" s="200"/>
      <c r="AN357" s="200"/>
      <c r="AO357" s="200"/>
      <c r="AP357" s="200"/>
      <c r="AQ357" s="200"/>
      <c r="AR357" s="200"/>
      <c r="AS357" s="200"/>
      <c r="AT357" s="200"/>
      <c r="AU357" s="200"/>
      <c r="AV357" s="200"/>
      <c r="AW357" s="200"/>
      <c r="AX357" s="200"/>
      <c r="AY357" s="200"/>
      <c r="AZ357" s="200"/>
      <c r="BA357" s="200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 ht="13.8">
      <c r="A358" s="1"/>
      <c r="B358" s="1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  <c r="AA358" s="200"/>
      <c r="AB358" s="200"/>
      <c r="AC358" s="200"/>
      <c r="AD358" s="200"/>
      <c r="AE358" s="200"/>
      <c r="AF358" s="200"/>
      <c r="AG358" s="200"/>
      <c r="AH358" s="200"/>
      <c r="AI358" s="200"/>
      <c r="AJ358" s="200"/>
      <c r="AK358" s="200"/>
      <c r="AL358" s="200"/>
      <c r="AM358" s="200"/>
      <c r="AN358" s="200"/>
      <c r="AO358" s="200"/>
      <c r="AP358" s="200"/>
      <c r="AQ358" s="200"/>
      <c r="AR358" s="200"/>
      <c r="AS358" s="200"/>
      <c r="AT358" s="200"/>
      <c r="AU358" s="200"/>
      <c r="AV358" s="200"/>
      <c r="AW358" s="200"/>
      <c r="AX358" s="200"/>
      <c r="AY358" s="200"/>
      <c r="AZ358" s="200"/>
      <c r="BA358" s="200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 ht="13.8">
      <c r="A359" s="1"/>
      <c r="B359" s="1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  <c r="AA359" s="200"/>
      <c r="AB359" s="200"/>
      <c r="AC359" s="200"/>
      <c r="AD359" s="200"/>
      <c r="AE359" s="200"/>
      <c r="AF359" s="200"/>
      <c r="AG359" s="200"/>
      <c r="AH359" s="200"/>
      <c r="AI359" s="200"/>
      <c r="AJ359" s="200"/>
      <c r="AK359" s="200"/>
      <c r="AL359" s="200"/>
      <c r="AM359" s="200"/>
      <c r="AN359" s="200"/>
      <c r="AO359" s="200"/>
      <c r="AP359" s="200"/>
      <c r="AQ359" s="200"/>
      <c r="AR359" s="200"/>
      <c r="AS359" s="200"/>
      <c r="AT359" s="200"/>
      <c r="AU359" s="200"/>
      <c r="AV359" s="200"/>
      <c r="AW359" s="200"/>
      <c r="AX359" s="200"/>
      <c r="AY359" s="200"/>
      <c r="AZ359" s="200"/>
      <c r="BA359" s="200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 ht="13.8">
      <c r="A360" s="1"/>
      <c r="B360" s="1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  <c r="AA360" s="200"/>
      <c r="AB360" s="200"/>
      <c r="AC360" s="200"/>
      <c r="AD360" s="200"/>
      <c r="AE360" s="200"/>
      <c r="AF360" s="200"/>
      <c r="AG360" s="200"/>
      <c r="AH360" s="200"/>
      <c r="AI360" s="200"/>
      <c r="AJ360" s="200"/>
      <c r="AK360" s="200"/>
      <c r="AL360" s="200"/>
      <c r="AM360" s="200"/>
      <c r="AN360" s="200"/>
      <c r="AO360" s="200"/>
      <c r="AP360" s="200"/>
      <c r="AQ360" s="200"/>
      <c r="AR360" s="200"/>
      <c r="AS360" s="200"/>
      <c r="AT360" s="200"/>
      <c r="AU360" s="200"/>
      <c r="AV360" s="200"/>
      <c r="AW360" s="200"/>
      <c r="AX360" s="200"/>
      <c r="AY360" s="200"/>
      <c r="AZ360" s="200"/>
      <c r="BA360" s="200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 ht="13.8">
      <c r="A361" s="1"/>
      <c r="B361" s="1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  <c r="AB361" s="200"/>
      <c r="AC361" s="200"/>
      <c r="AD361" s="200"/>
      <c r="AE361" s="200"/>
      <c r="AF361" s="200"/>
      <c r="AG361" s="200"/>
      <c r="AH361" s="200"/>
      <c r="AI361" s="200"/>
      <c r="AJ361" s="200"/>
      <c r="AK361" s="200"/>
      <c r="AL361" s="200"/>
      <c r="AM361" s="200"/>
      <c r="AN361" s="200"/>
      <c r="AO361" s="200"/>
      <c r="AP361" s="200"/>
      <c r="AQ361" s="200"/>
      <c r="AR361" s="200"/>
      <c r="AS361" s="200"/>
      <c r="AT361" s="200"/>
      <c r="AU361" s="200"/>
      <c r="AV361" s="200"/>
      <c r="AW361" s="200"/>
      <c r="AX361" s="200"/>
      <c r="AY361" s="200"/>
      <c r="AZ361" s="200"/>
      <c r="BA361" s="200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 ht="13.8">
      <c r="A362" s="1"/>
      <c r="B362" s="1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00"/>
      <c r="AG362" s="200"/>
      <c r="AH362" s="200"/>
      <c r="AI362" s="200"/>
      <c r="AJ362" s="200"/>
      <c r="AK362" s="200"/>
      <c r="AL362" s="200"/>
      <c r="AM362" s="200"/>
      <c r="AN362" s="200"/>
      <c r="AO362" s="200"/>
      <c r="AP362" s="200"/>
      <c r="AQ362" s="200"/>
      <c r="AR362" s="200"/>
      <c r="AS362" s="200"/>
      <c r="AT362" s="200"/>
      <c r="AU362" s="200"/>
      <c r="AV362" s="200"/>
      <c r="AW362" s="200"/>
      <c r="AX362" s="200"/>
      <c r="AY362" s="200"/>
      <c r="AZ362" s="200"/>
      <c r="BA362" s="200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 ht="13.8">
      <c r="A363" s="1"/>
      <c r="B363" s="1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  <c r="AB363" s="200"/>
      <c r="AC363" s="200"/>
      <c r="AD363" s="200"/>
      <c r="AE363" s="200"/>
      <c r="AF363" s="200"/>
      <c r="AG363" s="200"/>
      <c r="AH363" s="200"/>
      <c r="AI363" s="200"/>
      <c r="AJ363" s="200"/>
      <c r="AK363" s="200"/>
      <c r="AL363" s="200"/>
      <c r="AM363" s="200"/>
      <c r="AN363" s="200"/>
      <c r="AO363" s="200"/>
      <c r="AP363" s="200"/>
      <c r="AQ363" s="200"/>
      <c r="AR363" s="200"/>
      <c r="AS363" s="200"/>
      <c r="AT363" s="200"/>
      <c r="AU363" s="200"/>
      <c r="AV363" s="200"/>
      <c r="AW363" s="200"/>
      <c r="AX363" s="200"/>
      <c r="AY363" s="200"/>
      <c r="AZ363" s="200"/>
      <c r="BA363" s="200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 ht="13.8">
      <c r="A364" s="1"/>
      <c r="B364" s="1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  <c r="AB364" s="200"/>
      <c r="AC364" s="200"/>
      <c r="AD364" s="200"/>
      <c r="AE364" s="200"/>
      <c r="AF364" s="200"/>
      <c r="AG364" s="200"/>
      <c r="AH364" s="200"/>
      <c r="AI364" s="200"/>
      <c r="AJ364" s="200"/>
      <c r="AK364" s="200"/>
      <c r="AL364" s="200"/>
      <c r="AM364" s="200"/>
      <c r="AN364" s="200"/>
      <c r="AO364" s="200"/>
      <c r="AP364" s="200"/>
      <c r="AQ364" s="200"/>
      <c r="AR364" s="200"/>
      <c r="AS364" s="200"/>
      <c r="AT364" s="200"/>
      <c r="AU364" s="200"/>
      <c r="AV364" s="200"/>
      <c r="AW364" s="200"/>
      <c r="AX364" s="200"/>
      <c r="AY364" s="200"/>
      <c r="AZ364" s="200"/>
      <c r="BA364" s="200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 ht="13.8">
      <c r="A365" s="1"/>
      <c r="B365" s="1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  <c r="AA365" s="200"/>
      <c r="AB365" s="200"/>
      <c r="AC365" s="200"/>
      <c r="AD365" s="200"/>
      <c r="AE365" s="200"/>
      <c r="AF365" s="200"/>
      <c r="AG365" s="200"/>
      <c r="AH365" s="200"/>
      <c r="AI365" s="200"/>
      <c r="AJ365" s="200"/>
      <c r="AK365" s="200"/>
      <c r="AL365" s="200"/>
      <c r="AM365" s="200"/>
      <c r="AN365" s="200"/>
      <c r="AO365" s="200"/>
      <c r="AP365" s="200"/>
      <c r="AQ365" s="200"/>
      <c r="AR365" s="200"/>
      <c r="AS365" s="200"/>
      <c r="AT365" s="200"/>
      <c r="AU365" s="200"/>
      <c r="AV365" s="200"/>
      <c r="AW365" s="200"/>
      <c r="AX365" s="200"/>
      <c r="AY365" s="200"/>
      <c r="AZ365" s="200"/>
      <c r="BA365" s="200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 ht="13.8">
      <c r="A366" s="1"/>
      <c r="B366" s="1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  <c r="AA366" s="200"/>
      <c r="AB366" s="200"/>
      <c r="AC366" s="200"/>
      <c r="AD366" s="200"/>
      <c r="AE366" s="200"/>
      <c r="AF366" s="200"/>
      <c r="AG366" s="200"/>
      <c r="AH366" s="200"/>
      <c r="AI366" s="200"/>
      <c r="AJ366" s="200"/>
      <c r="AK366" s="200"/>
      <c r="AL366" s="200"/>
      <c r="AM366" s="200"/>
      <c r="AN366" s="200"/>
      <c r="AO366" s="200"/>
      <c r="AP366" s="200"/>
      <c r="AQ366" s="200"/>
      <c r="AR366" s="200"/>
      <c r="AS366" s="200"/>
      <c r="AT366" s="200"/>
      <c r="AU366" s="200"/>
      <c r="AV366" s="200"/>
      <c r="AW366" s="200"/>
      <c r="AX366" s="200"/>
      <c r="AY366" s="200"/>
      <c r="AZ366" s="200"/>
      <c r="BA366" s="200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 ht="13.8">
      <c r="A367" s="1"/>
      <c r="B367" s="1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  <c r="AB367" s="200"/>
      <c r="AC367" s="200"/>
      <c r="AD367" s="200"/>
      <c r="AE367" s="200"/>
      <c r="AF367" s="200"/>
      <c r="AG367" s="200"/>
      <c r="AH367" s="200"/>
      <c r="AI367" s="200"/>
      <c r="AJ367" s="200"/>
      <c r="AK367" s="200"/>
      <c r="AL367" s="200"/>
      <c r="AM367" s="200"/>
      <c r="AN367" s="200"/>
      <c r="AO367" s="200"/>
      <c r="AP367" s="200"/>
      <c r="AQ367" s="200"/>
      <c r="AR367" s="200"/>
      <c r="AS367" s="200"/>
      <c r="AT367" s="200"/>
      <c r="AU367" s="200"/>
      <c r="AV367" s="200"/>
      <c r="AW367" s="200"/>
      <c r="AX367" s="200"/>
      <c r="AY367" s="200"/>
      <c r="AZ367" s="200"/>
      <c r="BA367" s="200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 ht="13.8">
      <c r="A368" s="1"/>
      <c r="B368" s="1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  <c r="AB368" s="200"/>
      <c r="AC368" s="200"/>
      <c r="AD368" s="200"/>
      <c r="AE368" s="200"/>
      <c r="AF368" s="200"/>
      <c r="AG368" s="200"/>
      <c r="AH368" s="200"/>
      <c r="AI368" s="200"/>
      <c r="AJ368" s="200"/>
      <c r="AK368" s="200"/>
      <c r="AL368" s="200"/>
      <c r="AM368" s="200"/>
      <c r="AN368" s="200"/>
      <c r="AO368" s="200"/>
      <c r="AP368" s="200"/>
      <c r="AQ368" s="200"/>
      <c r="AR368" s="200"/>
      <c r="AS368" s="200"/>
      <c r="AT368" s="200"/>
      <c r="AU368" s="200"/>
      <c r="AV368" s="200"/>
      <c r="AW368" s="200"/>
      <c r="AX368" s="200"/>
      <c r="AY368" s="200"/>
      <c r="AZ368" s="200"/>
      <c r="BA368" s="200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 ht="13.8">
      <c r="A369" s="1"/>
      <c r="B369" s="1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  <c r="AB369" s="200"/>
      <c r="AC369" s="200"/>
      <c r="AD369" s="200"/>
      <c r="AE369" s="200"/>
      <c r="AF369" s="200"/>
      <c r="AG369" s="200"/>
      <c r="AH369" s="200"/>
      <c r="AI369" s="200"/>
      <c r="AJ369" s="200"/>
      <c r="AK369" s="200"/>
      <c r="AL369" s="200"/>
      <c r="AM369" s="200"/>
      <c r="AN369" s="200"/>
      <c r="AO369" s="200"/>
      <c r="AP369" s="200"/>
      <c r="AQ369" s="200"/>
      <c r="AR369" s="200"/>
      <c r="AS369" s="200"/>
      <c r="AT369" s="200"/>
      <c r="AU369" s="200"/>
      <c r="AV369" s="200"/>
      <c r="AW369" s="200"/>
      <c r="AX369" s="200"/>
      <c r="AY369" s="200"/>
      <c r="AZ369" s="200"/>
      <c r="BA369" s="200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 ht="13.8">
      <c r="A370" s="1"/>
      <c r="B370" s="1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  <c r="AB370" s="200"/>
      <c r="AC370" s="200"/>
      <c r="AD370" s="200"/>
      <c r="AE370" s="200"/>
      <c r="AF370" s="200"/>
      <c r="AG370" s="200"/>
      <c r="AH370" s="200"/>
      <c r="AI370" s="200"/>
      <c r="AJ370" s="200"/>
      <c r="AK370" s="200"/>
      <c r="AL370" s="200"/>
      <c r="AM370" s="200"/>
      <c r="AN370" s="200"/>
      <c r="AO370" s="200"/>
      <c r="AP370" s="200"/>
      <c r="AQ370" s="200"/>
      <c r="AR370" s="200"/>
      <c r="AS370" s="200"/>
      <c r="AT370" s="200"/>
      <c r="AU370" s="200"/>
      <c r="AV370" s="200"/>
      <c r="AW370" s="200"/>
      <c r="AX370" s="200"/>
      <c r="AY370" s="200"/>
      <c r="AZ370" s="200"/>
      <c r="BA370" s="200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 ht="13.8">
      <c r="A371" s="1"/>
      <c r="B371" s="1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  <c r="AB371" s="200"/>
      <c r="AC371" s="200"/>
      <c r="AD371" s="200"/>
      <c r="AE371" s="200"/>
      <c r="AF371" s="200"/>
      <c r="AG371" s="200"/>
      <c r="AH371" s="200"/>
      <c r="AI371" s="200"/>
      <c r="AJ371" s="200"/>
      <c r="AK371" s="200"/>
      <c r="AL371" s="200"/>
      <c r="AM371" s="200"/>
      <c r="AN371" s="200"/>
      <c r="AO371" s="200"/>
      <c r="AP371" s="200"/>
      <c r="AQ371" s="200"/>
      <c r="AR371" s="200"/>
      <c r="AS371" s="200"/>
      <c r="AT371" s="200"/>
      <c r="AU371" s="200"/>
      <c r="AV371" s="200"/>
      <c r="AW371" s="200"/>
      <c r="AX371" s="200"/>
      <c r="AY371" s="200"/>
      <c r="AZ371" s="200"/>
      <c r="BA371" s="200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 ht="13.8">
      <c r="A372" s="1"/>
      <c r="B372" s="1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  <c r="AB372" s="200"/>
      <c r="AC372" s="200"/>
      <c r="AD372" s="200"/>
      <c r="AE372" s="200"/>
      <c r="AF372" s="200"/>
      <c r="AG372" s="200"/>
      <c r="AH372" s="200"/>
      <c r="AI372" s="200"/>
      <c r="AJ372" s="200"/>
      <c r="AK372" s="200"/>
      <c r="AL372" s="200"/>
      <c r="AM372" s="200"/>
      <c r="AN372" s="200"/>
      <c r="AO372" s="200"/>
      <c r="AP372" s="200"/>
      <c r="AQ372" s="200"/>
      <c r="AR372" s="200"/>
      <c r="AS372" s="200"/>
      <c r="AT372" s="200"/>
      <c r="AU372" s="200"/>
      <c r="AV372" s="200"/>
      <c r="AW372" s="200"/>
      <c r="AX372" s="200"/>
      <c r="AY372" s="200"/>
      <c r="AZ372" s="200"/>
      <c r="BA372" s="200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 ht="13.8">
      <c r="A373" s="1"/>
      <c r="B373" s="1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  <c r="AB373" s="200"/>
      <c r="AC373" s="200"/>
      <c r="AD373" s="200"/>
      <c r="AE373" s="200"/>
      <c r="AF373" s="200"/>
      <c r="AG373" s="200"/>
      <c r="AH373" s="200"/>
      <c r="AI373" s="200"/>
      <c r="AJ373" s="200"/>
      <c r="AK373" s="200"/>
      <c r="AL373" s="200"/>
      <c r="AM373" s="200"/>
      <c r="AN373" s="200"/>
      <c r="AO373" s="200"/>
      <c r="AP373" s="200"/>
      <c r="AQ373" s="200"/>
      <c r="AR373" s="200"/>
      <c r="AS373" s="200"/>
      <c r="AT373" s="200"/>
      <c r="AU373" s="200"/>
      <c r="AV373" s="200"/>
      <c r="AW373" s="200"/>
      <c r="AX373" s="200"/>
      <c r="AY373" s="200"/>
      <c r="AZ373" s="200"/>
      <c r="BA373" s="200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 ht="13.8">
      <c r="A374" s="1"/>
      <c r="B374" s="1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  <c r="AB374" s="200"/>
      <c r="AC374" s="200"/>
      <c r="AD374" s="200"/>
      <c r="AE374" s="200"/>
      <c r="AF374" s="200"/>
      <c r="AG374" s="200"/>
      <c r="AH374" s="200"/>
      <c r="AI374" s="200"/>
      <c r="AJ374" s="200"/>
      <c r="AK374" s="200"/>
      <c r="AL374" s="200"/>
      <c r="AM374" s="200"/>
      <c r="AN374" s="200"/>
      <c r="AO374" s="200"/>
      <c r="AP374" s="200"/>
      <c r="AQ374" s="200"/>
      <c r="AR374" s="200"/>
      <c r="AS374" s="200"/>
      <c r="AT374" s="200"/>
      <c r="AU374" s="200"/>
      <c r="AV374" s="200"/>
      <c r="AW374" s="200"/>
      <c r="AX374" s="200"/>
      <c r="AY374" s="200"/>
      <c r="AZ374" s="200"/>
      <c r="BA374" s="200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 ht="13.8">
      <c r="A375" s="1"/>
      <c r="B375" s="1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  <c r="AB375" s="200"/>
      <c r="AC375" s="200"/>
      <c r="AD375" s="200"/>
      <c r="AE375" s="200"/>
      <c r="AF375" s="200"/>
      <c r="AG375" s="200"/>
      <c r="AH375" s="200"/>
      <c r="AI375" s="200"/>
      <c r="AJ375" s="200"/>
      <c r="AK375" s="200"/>
      <c r="AL375" s="200"/>
      <c r="AM375" s="200"/>
      <c r="AN375" s="200"/>
      <c r="AO375" s="200"/>
      <c r="AP375" s="200"/>
      <c r="AQ375" s="200"/>
      <c r="AR375" s="200"/>
      <c r="AS375" s="200"/>
      <c r="AT375" s="200"/>
      <c r="AU375" s="200"/>
      <c r="AV375" s="200"/>
      <c r="AW375" s="200"/>
      <c r="AX375" s="200"/>
      <c r="AY375" s="200"/>
      <c r="AZ375" s="200"/>
      <c r="BA375" s="200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 ht="13.8">
      <c r="A376" s="1"/>
      <c r="B376" s="1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  <c r="AB376" s="200"/>
      <c r="AC376" s="200"/>
      <c r="AD376" s="200"/>
      <c r="AE376" s="200"/>
      <c r="AF376" s="200"/>
      <c r="AG376" s="200"/>
      <c r="AH376" s="200"/>
      <c r="AI376" s="200"/>
      <c r="AJ376" s="200"/>
      <c r="AK376" s="200"/>
      <c r="AL376" s="200"/>
      <c r="AM376" s="200"/>
      <c r="AN376" s="200"/>
      <c r="AO376" s="200"/>
      <c r="AP376" s="200"/>
      <c r="AQ376" s="200"/>
      <c r="AR376" s="200"/>
      <c r="AS376" s="200"/>
      <c r="AT376" s="200"/>
      <c r="AU376" s="200"/>
      <c r="AV376" s="200"/>
      <c r="AW376" s="200"/>
      <c r="AX376" s="200"/>
      <c r="AY376" s="200"/>
      <c r="AZ376" s="200"/>
      <c r="BA376" s="200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 ht="13.8">
      <c r="A377" s="1"/>
      <c r="B377" s="1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  <c r="AB377" s="200"/>
      <c r="AC377" s="200"/>
      <c r="AD377" s="200"/>
      <c r="AE377" s="200"/>
      <c r="AF377" s="200"/>
      <c r="AG377" s="200"/>
      <c r="AH377" s="200"/>
      <c r="AI377" s="200"/>
      <c r="AJ377" s="200"/>
      <c r="AK377" s="200"/>
      <c r="AL377" s="200"/>
      <c r="AM377" s="200"/>
      <c r="AN377" s="200"/>
      <c r="AO377" s="200"/>
      <c r="AP377" s="200"/>
      <c r="AQ377" s="200"/>
      <c r="AR377" s="200"/>
      <c r="AS377" s="200"/>
      <c r="AT377" s="200"/>
      <c r="AU377" s="200"/>
      <c r="AV377" s="200"/>
      <c r="AW377" s="200"/>
      <c r="AX377" s="200"/>
      <c r="AY377" s="200"/>
      <c r="AZ377" s="200"/>
      <c r="BA377" s="200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 ht="13.8">
      <c r="A378" s="1"/>
      <c r="B378" s="1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  <c r="AB378" s="200"/>
      <c r="AC378" s="200"/>
      <c r="AD378" s="200"/>
      <c r="AE378" s="200"/>
      <c r="AF378" s="200"/>
      <c r="AG378" s="200"/>
      <c r="AH378" s="200"/>
      <c r="AI378" s="200"/>
      <c r="AJ378" s="200"/>
      <c r="AK378" s="200"/>
      <c r="AL378" s="200"/>
      <c r="AM378" s="200"/>
      <c r="AN378" s="200"/>
      <c r="AO378" s="200"/>
      <c r="AP378" s="200"/>
      <c r="AQ378" s="200"/>
      <c r="AR378" s="200"/>
      <c r="AS378" s="200"/>
      <c r="AT378" s="200"/>
      <c r="AU378" s="200"/>
      <c r="AV378" s="200"/>
      <c r="AW378" s="200"/>
      <c r="AX378" s="200"/>
      <c r="AY378" s="200"/>
      <c r="AZ378" s="200"/>
      <c r="BA378" s="200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 ht="13.8">
      <c r="A379" s="1"/>
      <c r="B379" s="1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  <c r="AB379" s="200"/>
      <c r="AC379" s="200"/>
      <c r="AD379" s="200"/>
      <c r="AE379" s="200"/>
      <c r="AF379" s="200"/>
      <c r="AG379" s="200"/>
      <c r="AH379" s="200"/>
      <c r="AI379" s="200"/>
      <c r="AJ379" s="200"/>
      <c r="AK379" s="200"/>
      <c r="AL379" s="200"/>
      <c r="AM379" s="200"/>
      <c r="AN379" s="200"/>
      <c r="AO379" s="200"/>
      <c r="AP379" s="200"/>
      <c r="AQ379" s="200"/>
      <c r="AR379" s="200"/>
      <c r="AS379" s="200"/>
      <c r="AT379" s="200"/>
      <c r="AU379" s="200"/>
      <c r="AV379" s="200"/>
      <c r="AW379" s="200"/>
      <c r="AX379" s="200"/>
      <c r="AY379" s="200"/>
      <c r="AZ379" s="200"/>
      <c r="BA379" s="200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 ht="13.8">
      <c r="A380" s="1"/>
      <c r="B380" s="1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  <c r="AB380" s="200"/>
      <c r="AC380" s="200"/>
      <c r="AD380" s="200"/>
      <c r="AE380" s="200"/>
      <c r="AF380" s="200"/>
      <c r="AG380" s="200"/>
      <c r="AH380" s="200"/>
      <c r="AI380" s="200"/>
      <c r="AJ380" s="200"/>
      <c r="AK380" s="200"/>
      <c r="AL380" s="200"/>
      <c r="AM380" s="200"/>
      <c r="AN380" s="200"/>
      <c r="AO380" s="200"/>
      <c r="AP380" s="200"/>
      <c r="AQ380" s="200"/>
      <c r="AR380" s="200"/>
      <c r="AS380" s="200"/>
      <c r="AT380" s="200"/>
      <c r="AU380" s="200"/>
      <c r="AV380" s="200"/>
      <c r="AW380" s="200"/>
      <c r="AX380" s="200"/>
      <c r="AY380" s="200"/>
      <c r="AZ380" s="200"/>
      <c r="BA380" s="200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 ht="13.8">
      <c r="A381" s="1"/>
      <c r="B381" s="1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  <c r="AH381" s="200"/>
      <c r="AI381" s="200"/>
      <c r="AJ381" s="200"/>
      <c r="AK381" s="200"/>
      <c r="AL381" s="200"/>
      <c r="AM381" s="200"/>
      <c r="AN381" s="200"/>
      <c r="AO381" s="200"/>
      <c r="AP381" s="200"/>
      <c r="AQ381" s="200"/>
      <c r="AR381" s="200"/>
      <c r="AS381" s="200"/>
      <c r="AT381" s="200"/>
      <c r="AU381" s="200"/>
      <c r="AV381" s="200"/>
      <c r="AW381" s="200"/>
      <c r="AX381" s="200"/>
      <c r="AY381" s="200"/>
      <c r="AZ381" s="200"/>
      <c r="BA381" s="200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 ht="13.8">
      <c r="A382" s="1"/>
      <c r="B382" s="1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  <c r="AB382" s="200"/>
      <c r="AC382" s="200"/>
      <c r="AD382" s="200"/>
      <c r="AE382" s="200"/>
      <c r="AF382" s="200"/>
      <c r="AG382" s="200"/>
      <c r="AH382" s="200"/>
      <c r="AI382" s="200"/>
      <c r="AJ382" s="200"/>
      <c r="AK382" s="200"/>
      <c r="AL382" s="200"/>
      <c r="AM382" s="200"/>
      <c r="AN382" s="200"/>
      <c r="AO382" s="200"/>
      <c r="AP382" s="200"/>
      <c r="AQ382" s="200"/>
      <c r="AR382" s="200"/>
      <c r="AS382" s="200"/>
      <c r="AT382" s="200"/>
      <c r="AU382" s="200"/>
      <c r="AV382" s="200"/>
      <c r="AW382" s="200"/>
      <c r="AX382" s="200"/>
      <c r="AY382" s="200"/>
      <c r="AZ382" s="200"/>
      <c r="BA382" s="200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 ht="13.8">
      <c r="A383" s="1"/>
      <c r="B383" s="1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  <c r="AB383" s="200"/>
      <c r="AC383" s="200"/>
      <c r="AD383" s="200"/>
      <c r="AE383" s="200"/>
      <c r="AF383" s="200"/>
      <c r="AG383" s="200"/>
      <c r="AH383" s="200"/>
      <c r="AI383" s="200"/>
      <c r="AJ383" s="200"/>
      <c r="AK383" s="200"/>
      <c r="AL383" s="200"/>
      <c r="AM383" s="200"/>
      <c r="AN383" s="200"/>
      <c r="AO383" s="200"/>
      <c r="AP383" s="200"/>
      <c r="AQ383" s="200"/>
      <c r="AR383" s="200"/>
      <c r="AS383" s="200"/>
      <c r="AT383" s="200"/>
      <c r="AU383" s="200"/>
      <c r="AV383" s="200"/>
      <c r="AW383" s="200"/>
      <c r="AX383" s="200"/>
      <c r="AY383" s="200"/>
      <c r="AZ383" s="200"/>
      <c r="BA383" s="200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 ht="13.8">
      <c r="A384" s="1"/>
      <c r="B384" s="1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  <c r="AB384" s="200"/>
      <c r="AC384" s="200"/>
      <c r="AD384" s="200"/>
      <c r="AE384" s="200"/>
      <c r="AF384" s="200"/>
      <c r="AG384" s="200"/>
      <c r="AH384" s="200"/>
      <c r="AI384" s="200"/>
      <c r="AJ384" s="200"/>
      <c r="AK384" s="200"/>
      <c r="AL384" s="200"/>
      <c r="AM384" s="200"/>
      <c r="AN384" s="200"/>
      <c r="AO384" s="200"/>
      <c r="AP384" s="200"/>
      <c r="AQ384" s="200"/>
      <c r="AR384" s="200"/>
      <c r="AS384" s="200"/>
      <c r="AT384" s="200"/>
      <c r="AU384" s="200"/>
      <c r="AV384" s="200"/>
      <c r="AW384" s="200"/>
      <c r="AX384" s="200"/>
      <c r="AY384" s="200"/>
      <c r="AZ384" s="200"/>
      <c r="BA384" s="200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 ht="13.8">
      <c r="A385" s="1"/>
      <c r="B385" s="1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0"/>
      <c r="AK385" s="200"/>
      <c r="AL385" s="200"/>
      <c r="AM385" s="200"/>
      <c r="AN385" s="200"/>
      <c r="AO385" s="200"/>
      <c r="AP385" s="200"/>
      <c r="AQ385" s="200"/>
      <c r="AR385" s="200"/>
      <c r="AS385" s="200"/>
      <c r="AT385" s="200"/>
      <c r="AU385" s="200"/>
      <c r="AV385" s="200"/>
      <c r="AW385" s="200"/>
      <c r="AX385" s="200"/>
      <c r="AY385" s="200"/>
      <c r="AZ385" s="200"/>
      <c r="BA385" s="200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 ht="13.8">
      <c r="A386" s="1"/>
      <c r="B386" s="1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  <c r="AB386" s="200"/>
      <c r="AC386" s="200"/>
      <c r="AD386" s="200"/>
      <c r="AE386" s="200"/>
      <c r="AF386" s="200"/>
      <c r="AG386" s="200"/>
      <c r="AH386" s="200"/>
      <c r="AI386" s="200"/>
      <c r="AJ386" s="200"/>
      <c r="AK386" s="200"/>
      <c r="AL386" s="200"/>
      <c r="AM386" s="200"/>
      <c r="AN386" s="200"/>
      <c r="AO386" s="200"/>
      <c r="AP386" s="200"/>
      <c r="AQ386" s="200"/>
      <c r="AR386" s="200"/>
      <c r="AS386" s="200"/>
      <c r="AT386" s="200"/>
      <c r="AU386" s="200"/>
      <c r="AV386" s="200"/>
      <c r="AW386" s="200"/>
      <c r="AX386" s="200"/>
      <c r="AY386" s="200"/>
      <c r="AZ386" s="200"/>
      <c r="BA386" s="200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 ht="13.8">
      <c r="A387" s="1"/>
      <c r="B387" s="1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  <c r="AB387" s="200"/>
      <c r="AC387" s="200"/>
      <c r="AD387" s="200"/>
      <c r="AE387" s="200"/>
      <c r="AF387" s="200"/>
      <c r="AG387" s="200"/>
      <c r="AH387" s="200"/>
      <c r="AI387" s="200"/>
      <c r="AJ387" s="200"/>
      <c r="AK387" s="200"/>
      <c r="AL387" s="200"/>
      <c r="AM387" s="200"/>
      <c r="AN387" s="200"/>
      <c r="AO387" s="200"/>
      <c r="AP387" s="200"/>
      <c r="AQ387" s="200"/>
      <c r="AR387" s="200"/>
      <c r="AS387" s="200"/>
      <c r="AT387" s="200"/>
      <c r="AU387" s="200"/>
      <c r="AV387" s="200"/>
      <c r="AW387" s="200"/>
      <c r="AX387" s="200"/>
      <c r="AY387" s="200"/>
      <c r="AZ387" s="200"/>
      <c r="BA387" s="200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 ht="13.8">
      <c r="A388" s="1"/>
      <c r="B388" s="1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00"/>
      <c r="AH388" s="200"/>
      <c r="AI388" s="200"/>
      <c r="AJ388" s="200"/>
      <c r="AK388" s="200"/>
      <c r="AL388" s="200"/>
      <c r="AM388" s="200"/>
      <c r="AN388" s="200"/>
      <c r="AO388" s="200"/>
      <c r="AP388" s="200"/>
      <c r="AQ388" s="200"/>
      <c r="AR388" s="200"/>
      <c r="AS388" s="200"/>
      <c r="AT388" s="200"/>
      <c r="AU388" s="200"/>
      <c r="AV388" s="200"/>
      <c r="AW388" s="200"/>
      <c r="AX388" s="200"/>
      <c r="AY388" s="200"/>
      <c r="AZ388" s="200"/>
      <c r="BA388" s="200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 ht="13.8">
      <c r="A389" s="1"/>
      <c r="B389" s="1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  <c r="AB389" s="200"/>
      <c r="AC389" s="200"/>
      <c r="AD389" s="200"/>
      <c r="AE389" s="200"/>
      <c r="AF389" s="200"/>
      <c r="AG389" s="200"/>
      <c r="AH389" s="200"/>
      <c r="AI389" s="200"/>
      <c r="AJ389" s="200"/>
      <c r="AK389" s="200"/>
      <c r="AL389" s="200"/>
      <c r="AM389" s="200"/>
      <c r="AN389" s="200"/>
      <c r="AO389" s="200"/>
      <c r="AP389" s="200"/>
      <c r="AQ389" s="200"/>
      <c r="AR389" s="200"/>
      <c r="AS389" s="200"/>
      <c r="AT389" s="200"/>
      <c r="AU389" s="200"/>
      <c r="AV389" s="200"/>
      <c r="AW389" s="200"/>
      <c r="AX389" s="200"/>
      <c r="AY389" s="200"/>
      <c r="AZ389" s="200"/>
      <c r="BA389" s="200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 ht="13.8">
      <c r="A390" s="1"/>
      <c r="B390" s="1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  <c r="AB390" s="200"/>
      <c r="AC390" s="200"/>
      <c r="AD390" s="200"/>
      <c r="AE390" s="200"/>
      <c r="AF390" s="200"/>
      <c r="AG390" s="200"/>
      <c r="AH390" s="200"/>
      <c r="AI390" s="200"/>
      <c r="AJ390" s="200"/>
      <c r="AK390" s="200"/>
      <c r="AL390" s="200"/>
      <c r="AM390" s="200"/>
      <c r="AN390" s="200"/>
      <c r="AO390" s="200"/>
      <c r="AP390" s="200"/>
      <c r="AQ390" s="200"/>
      <c r="AR390" s="200"/>
      <c r="AS390" s="200"/>
      <c r="AT390" s="200"/>
      <c r="AU390" s="200"/>
      <c r="AV390" s="200"/>
      <c r="AW390" s="200"/>
      <c r="AX390" s="200"/>
      <c r="AY390" s="200"/>
      <c r="AZ390" s="200"/>
      <c r="BA390" s="200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 ht="13.8">
      <c r="A391" s="1"/>
      <c r="B391" s="1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  <c r="AB391" s="200"/>
      <c r="AC391" s="200"/>
      <c r="AD391" s="200"/>
      <c r="AE391" s="200"/>
      <c r="AF391" s="200"/>
      <c r="AG391" s="200"/>
      <c r="AH391" s="200"/>
      <c r="AI391" s="200"/>
      <c r="AJ391" s="200"/>
      <c r="AK391" s="200"/>
      <c r="AL391" s="200"/>
      <c r="AM391" s="200"/>
      <c r="AN391" s="200"/>
      <c r="AO391" s="200"/>
      <c r="AP391" s="200"/>
      <c r="AQ391" s="200"/>
      <c r="AR391" s="200"/>
      <c r="AS391" s="200"/>
      <c r="AT391" s="200"/>
      <c r="AU391" s="200"/>
      <c r="AV391" s="200"/>
      <c r="AW391" s="200"/>
      <c r="AX391" s="200"/>
      <c r="AY391" s="200"/>
      <c r="AZ391" s="200"/>
      <c r="BA391" s="200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 ht="13.8">
      <c r="A392" s="1"/>
      <c r="B392" s="1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  <c r="AB392" s="200"/>
      <c r="AC392" s="200"/>
      <c r="AD392" s="200"/>
      <c r="AE392" s="200"/>
      <c r="AF392" s="200"/>
      <c r="AG392" s="200"/>
      <c r="AH392" s="200"/>
      <c r="AI392" s="200"/>
      <c r="AJ392" s="200"/>
      <c r="AK392" s="200"/>
      <c r="AL392" s="200"/>
      <c r="AM392" s="200"/>
      <c r="AN392" s="200"/>
      <c r="AO392" s="200"/>
      <c r="AP392" s="200"/>
      <c r="AQ392" s="200"/>
      <c r="AR392" s="200"/>
      <c r="AS392" s="200"/>
      <c r="AT392" s="200"/>
      <c r="AU392" s="200"/>
      <c r="AV392" s="200"/>
      <c r="AW392" s="200"/>
      <c r="AX392" s="200"/>
      <c r="AY392" s="200"/>
      <c r="AZ392" s="200"/>
      <c r="BA392" s="200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 ht="13.8">
      <c r="A393" s="1"/>
      <c r="B393" s="1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0"/>
      <c r="AK393" s="200"/>
      <c r="AL393" s="200"/>
      <c r="AM393" s="200"/>
      <c r="AN393" s="200"/>
      <c r="AO393" s="200"/>
      <c r="AP393" s="200"/>
      <c r="AQ393" s="200"/>
      <c r="AR393" s="200"/>
      <c r="AS393" s="200"/>
      <c r="AT393" s="200"/>
      <c r="AU393" s="200"/>
      <c r="AV393" s="200"/>
      <c r="AW393" s="200"/>
      <c r="AX393" s="200"/>
      <c r="AY393" s="200"/>
      <c r="AZ393" s="200"/>
      <c r="BA393" s="200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 ht="13.8">
      <c r="A394" s="1"/>
      <c r="B394" s="1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  <c r="AB394" s="200"/>
      <c r="AC394" s="200"/>
      <c r="AD394" s="200"/>
      <c r="AE394" s="200"/>
      <c r="AF394" s="200"/>
      <c r="AG394" s="200"/>
      <c r="AH394" s="200"/>
      <c r="AI394" s="200"/>
      <c r="AJ394" s="200"/>
      <c r="AK394" s="200"/>
      <c r="AL394" s="200"/>
      <c r="AM394" s="200"/>
      <c r="AN394" s="200"/>
      <c r="AO394" s="200"/>
      <c r="AP394" s="200"/>
      <c r="AQ394" s="200"/>
      <c r="AR394" s="200"/>
      <c r="AS394" s="200"/>
      <c r="AT394" s="200"/>
      <c r="AU394" s="200"/>
      <c r="AV394" s="200"/>
      <c r="AW394" s="200"/>
      <c r="AX394" s="200"/>
      <c r="AY394" s="200"/>
      <c r="AZ394" s="200"/>
      <c r="BA394" s="200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 ht="13.8">
      <c r="A395" s="1"/>
      <c r="B395" s="1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  <c r="AH395" s="200"/>
      <c r="AI395" s="200"/>
      <c r="AJ395" s="200"/>
      <c r="AK395" s="200"/>
      <c r="AL395" s="200"/>
      <c r="AM395" s="200"/>
      <c r="AN395" s="200"/>
      <c r="AO395" s="200"/>
      <c r="AP395" s="200"/>
      <c r="AQ395" s="200"/>
      <c r="AR395" s="200"/>
      <c r="AS395" s="200"/>
      <c r="AT395" s="200"/>
      <c r="AU395" s="200"/>
      <c r="AV395" s="200"/>
      <c r="AW395" s="200"/>
      <c r="AX395" s="200"/>
      <c r="AY395" s="200"/>
      <c r="AZ395" s="200"/>
      <c r="BA395" s="200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 ht="13.8">
      <c r="A396" s="1"/>
      <c r="B396" s="1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  <c r="AB396" s="200"/>
      <c r="AC396" s="200"/>
      <c r="AD396" s="200"/>
      <c r="AE396" s="200"/>
      <c r="AF396" s="200"/>
      <c r="AG396" s="200"/>
      <c r="AH396" s="200"/>
      <c r="AI396" s="200"/>
      <c r="AJ396" s="200"/>
      <c r="AK396" s="200"/>
      <c r="AL396" s="200"/>
      <c r="AM396" s="200"/>
      <c r="AN396" s="200"/>
      <c r="AO396" s="200"/>
      <c r="AP396" s="200"/>
      <c r="AQ396" s="200"/>
      <c r="AR396" s="200"/>
      <c r="AS396" s="200"/>
      <c r="AT396" s="200"/>
      <c r="AU396" s="200"/>
      <c r="AV396" s="200"/>
      <c r="AW396" s="200"/>
      <c r="AX396" s="200"/>
      <c r="AY396" s="200"/>
      <c r="AZ396" s="200"/>
      <c r="BA396" s="200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 ht="13.8">
      <c r="A397" s="1"/>
      <c r="B397" s="1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  <c r="AB397" s="200"/>
      <c r="AC397" s="200"/>
      <c r="AD397" s="200"/>
      <c r="AE397" s="200"/>
      <c r="AF397" s="200"/>
      <c r="AG397" s="200"/>
      <c r="AH397" s="200"/>
      <c r="AI397" s="200"/>
      <c r="AJ397" s="200"/>
      <c r="AK397" s="200"/>
      <c r="AL397" s="200"/>
      <c r="AM397" s="200"/>
      <c r="AN397" s="200"/>
      <c r="AO397" s="200"/>
      <c r="AP397" s="200"/>
      <c r="AQ397" s="200"/>
      <c r="AR397" s="200"/>
      <c r="AS397" s="200"/>
      <c r="AT397" s="200"/>
      <c r="AU397" s="200"/>
      <c r="AV397" s="200"/>
      <c r="AW397" s="200"/>
      <c r="AX397" s="200"/>
      <c r="AY397" s="200"/>
      <c r="AZ397" s="200"/>
      <c r="BA397" s="200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 ht="13.8">
      <c r="A398" s="1"/>
      <c r="B398" s="1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  <c r="AB398" s="200"/>
      <c r="AC398" s="200"/>
      <c r="AD398" s="200"/>
      <c r="AE398" s="200"/>
      <c r="AF398" s="200"/>
      <c r="AG398" s="200"/>
      <c r="AH398" s="200"/>
      <c r="AI398" s="200"/>
      <c r="AJ398" s="200"/>
      <c r="AK398" s="200"/>
      <c r="AL398" s="200"/>
      <c r="AM398" s="200"/>
      <c r="AN398" s="200"/>
      <c r="AO398" s="200"/>
      <c r="AP398" s="200"/>
      <c r="AQ398" s="200"/>
      <c r="AR398" s="200"/>
      <c r="AS398" s="200"/>
      <c r="AT398" s="200"/>
      <c r="AU398" s="200"/>
      <c r="AV398" s="200"/>
      <c r="AW398" s="200"/>
      <c r="AX398" s="200"/>
      <c r="AY398" s="200"/>
      <c r="AZ398" s="200"/>
      <c r="BA398" s="200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 ht="13.8">
      <c r="A399" s="1"/>
      <c r="B399" s="1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  <c r="AB399" s="200"/>
      <c r="AC399" s="200"/>
      <c r="AD399" s="200"/>
      <c r="AE399" s="200"/>
      <c r="AF399" s="200"/>
      <c r="AG399" s="200"/>
      <c r="AH399" s="200"/>
      <c r="AI399" s="200"/>
      <c r="AJ399" s="200"/>
      <c r="AK399" s="200"/>
      <c r="AL399" s="200"/>
      <c r="AM399" s="200"/>
      <c r="AN399" s="200"/>
      <c r="AO399" s="200"/>
      <c r="AP399" s="200"/>
      <c r="AQ399" s="200"/>
      <c r="AR399" s="200"/>
      <c r="AS399" s="200"/>
      <c r="AT399" s="200"/>
      <c r="AU399" s="200"/>
      <c r="AV399" s="200"/>
      <c r="AW399" s="200"/>
      <c r="AX399" s="200"/>
      <c r="AY399" s="200"/>
      <c r="AZ399" s="200"/>
      <c r="BA399" s="200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 ht="13.8">
      <c r="A400" s="1"/>
      <c r="B400" s="1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  <c r="AB400" s="200"/>
      <c r="AC400" s="200"/>
      <c r="AD400" s="200"/>
      <c r="AE400" s="200"/>
      <c r="AF400" s="200"/>
      <c r="AG400" s="200"/>
      <c r="AH400" s="200"/>
      <c r="AI400" s="200"/>
      <c r="AJ400" s="200"/>
      <c r="AK400" s="200"/>
      <c r="AL400" s="200"/>
      <c r="AM400" s="200"/>
      <c r="AN400" s="200"/>
      <c r="AO400" s="200"/>
      <c r="AP400" s="200"/>
      <c r="AQ400" s="200"/>
      <c r="AR400" s="200"/>
      <c r="AS400" s="200"/>
      <c r="AT400" s="200"/>
      <c r="AU400" s="200"/>
      <c r="AV400" s="200"/>
      <c r="AW400" s="200"/>
      <c r="AX400" s="200"/>
      <c r="AY400" s="200"/>
      <c r="AZ400" s="200"/>
      <c r="BA400" s="200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 ht="13.8">
      <c r="A401" s="1"/>
      <c r="B401" s="1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  <c r="AB401" s="200"/>
      <c r="AC401" s="200"/>
      <c r="AD401" s="200"/>
      <c r="AE401" s="200"/>
      <c r="AF401" s="200"/>
      <c r="AG401" s="200"/>
      <c r="AH401" s="200"/>
      <c r="AI401" s="200"/>
      <c r="AJ401" s="200"/>
      <c r="AK401" s="200"/>
      <c r="AL401" s="200"/>
      <c r="AM401" s="200"/>
      <c r="AN401" s="200"/>
      <c r="AO401" s="200"/>
      <c r="AP401" s="200"/>
      <c r="AQ401" s="200"/>
      <c r="AR401" s="200"/>
      <c r="AS401" s="200"/>
      <c r="AT401" s="200"/>
      <c r="AU401" s="200"/>
      <c r="AV401" s="200"/>
      <c r="AW401" s="200"/>
      <c r="AX401" s="200"/>
      <c r="AY401" s="200"/>
      <c r="AZ401" s="200"/>
      <c r="BA401" s="200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 ht="13.8">
      <c r="A402" s="1"/>
      <c r="B402" s="1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200"/>
      <c r="AG402" s="200"/>
      <c r="AH402" s="200"/>
      <c r="AI402" s="200"/>
      <c r="AJ402" s="200"/>
      <c r="AK402" s="200"/>
      <c r="AL402" s="200"/>
      <c r="AM402" s="200"/>
      <c r="AN402" s="200"/>
      <c r="AO402" s="200"/>
      <c r="AP402" s="200"/>
      <c r="AQ402" s="200"/>
      <c r="AR402" s="200"/>
      <c r="AS402" s="200"/>
      <c r="AT402" s="200"/>
      <c r="AU402" s="200"/>
      <c r="AV402" s="200"/>
      <c r="AW402" s="200"/>
      <c r="AX402" s="200"/>
      <c r="AY402" s="200"/>
      <c r="AZ402" s="200"/>
      <c r="BA402" s="200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 ht="13.8">
      <c r="A403" s="1"/>
      <c r="B403" s="1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  <c r="AB403" s="200"/>
      <c r="AC403" s="200"/>
      <c r="AD403" s="200"/>
      <c r="AE403" s="200"/>
      <c r="AF403" s="200"/>
      <c r="AG403" s="200"/>
      <c r="AH403" s="200"/>
      <c r="AI403" s="200"/>
      <c r="AJ403" s="200"/>
      <c r="AK403" s="200"/>
      <c r="AL403" s="200"/>
      <c r="AM403" s="200"/>
      <c r="AN403" s="200"/>
      <c r="AO403" s="200"/>
      <c r="AP403" s="200"/>
      <c r="AQ403" s="200"/>
      <c r="AR403" s="200"/>
      <c r="AS403" s="200"/>
      <c r="AT403" s="200"/>
      <c r="AU403" s="200"/>
      <c r="AV403" s="200"/>
      <c r="AW403" s="200"/>
      <c r="AX403" s="200"/>
      <c r="AY403" s="200"/>
      <c r="AZ403" s="200"/>
      <c r="BA403" s="200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 ht="13.8">
      <c r="A404" s="1"/>
      <c r="B404" s="1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  <c r="AB404" s="200"/>
      <c r="AC404" s="200"/>
      <c r="AD404" s="200"/>
      <c r="AE404" s="200"/>
      <c r="AF404" s="200"/>
      <c r="AG404" s="200"/>
      <c r="AH404" s="200"/>
      <c r="AI404" s="200"/>
      <c r="AJ404" s="200"/>
      <c r="AK404" s="200"/>
      <c r="AL404" s="200"/>
      <c r="AM404" s="200"/>
      <c r="AN404" s="200"/>
      <c r="AO404" s="200"/>
      <c r="AP404" s="200"/>
      <c r="AQ404" s="200"/>
      <c r="AR404" s="200"/>
      <c r="AS404" s="200"/>
      <c r="AT404" s="200"/>
      <c r="AU404" s="200"/>
      <c r="AV404" s="200"/>
      <c r="AW404" s="200"/>
      <c r="AX404" s="200"/>
      <c r="AY404" s="200"/>
      <c r="AZ404" s="200"/>
      <c r="BA404" s="200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 ht="13.8">
      <c r="A405" s="1"/>
      <c r="B405" s="1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  <c r="AB405" s="200"/>
      <c r="AC405" s="200"/>
      <c r="AD405" s="200"/>
      <c r="AE405" s="200"/>
      <c r="AF405" s="200"/>
      <c r="AG405" s="200"/>
      <c r="AH405" s="200"/>
      <c r="AI405" s="200"/>
      <c r="AJ405" s="200"/>
      <c r="AK405" s="200"/>
      <c r="AL405" s="200"/>
      <c r="AM405" s="200"/>
      <c r="AN405" s="200"/>
      <c r="AO405" s="200"/>
      <c r="AP405" s="200"/>
      <c r="AQ405" s="200"/>
      <c r="AR405" s="200"/>
      <c r="AS405" s="200"/>
      <c r="AT405" s="200"/>
      <c r="AU405" s="200"/>
      <c r="AV405" s="200"/>
      <c r="AW405" s="200"/>
      <c r="AX405" s="200"/>
      <c r="AY405" s="200"/>
      <c r="AZ405" s="200"/>
      <c r="BA405" s="200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 ht="13.8">
      <c r="A406" s="1"/>
      <c r="B406" s="1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  <c r="AB406" s="200"/>
      <c r="AC406" s="200"/>
      <c r="AD406" s="200"/>
      <c r="AE406" s="200"/>
      <c r="AF406" s="200"/>
      <c r="AG406" s="200"/>
      <c r="AH406" s="200"/>
      <c r="AI406" s="200"/>
      <c r="AJ406" s="200"/>
      <c r="AK406" s="200"/>
      <c r="AL406" s="200"/>
      <c r="AM406" s="200"/>
      <c r="AN406" s="200"/>
      <c r="AO406" s="200"/>
      <c r="AP406" s="200"/>
      <c r="AQ406" s="200"/>
      <c r="AR406" s="200"/>
      <c r="AS406" s="200"/>
      <c r="AT406" s="200"/>
      <c r="AU406" s="200"/>
      <c r="AV406" s="200"/>
      <c r="AW406" s="200"/>
      <c r="AX406" s="200"/>
      <c r="AY406" s="200"/>
      <c r="AZ406" s="200"/>
      <c r="BA406" s="200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 ht="13.8">
      <c r="A407" s="1"/>
      <c r="B407" s="1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  <c r="AB407" s="200"/>
      <c r="AC407" s="200"/>
      <c r="AD407" s="200"/>
      <c r="AE407" s="200"/>
      <c r="AF407" s="200"/>
      <c r="AG407" s="200"/>
      <c r="AH407" s="200"/>
      <c r="AI407" s="200"/>
      <c r="AJ407" s="200"/>
      <c r="AK407" s="200"/>
      <c r="AL407" s="200"/>
      <c r="AM407" s="200"/>
      <c r="AN407" s="200"/>
      <c r="AO407" s="200"/>
      <c r="AP407" s="200"/>
      <c r="AQ407" s="200"/>
      <c r="AR407" s="200"/>
      <c r="AS407" s="200"/>
      <c r="AT407" s="200"/>
      <c r="AU407" s="200"/>
      <c r="AV407" s="200"/>
      <c r="AW407" s="200"/>
      <c r="AX407" s="200"/>
      <c r="AY407" s="200"/>
      <c r="AZ407" s="200"/>
      <c r="BA407" s="200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 ht="13.8">
      <c r="A408" s="1"/>
      <c r="B408" s="1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200"/>
      <c r="AG408" s="200"/>
      <c r="AH408" s="200"/>
      <c r="AI408" s="200"/>
      <c r="AJ408" s="200"/>
      <c r="AK408" s="200"/>
      <c r="AL408" s="200"/>
      <c r="AM408" s="200"/>
      <c r="AN408" s="200"/>
      <c r="AO408" s="200"/>
      <c r="AP408" s="200"/>
      <c r="AQ408" s="200"/>
      <c r="AR408" s="200"/>
      <c r="AS408" s="200"/>
      <c r="AT408" s="200"/>
      <c r="AU408" s="200"/>
      <c r="AV408" s="200"/>
      <c r="AW408" s="200"/>
      <c r="AX408" s="200"/>
      <c r="AY408" s="200"/>
      <c r="AZ408" s="200"/>
      <c r="BA408" s="200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 ht="13.8">
      <c r="A409" s="1"/>
      <c r="B409" s="1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0"/>
      <c r="AK409" s="200"/>
      <c r="AL409" s="200"/>
      <c r="AM409" s="200"/>
      <c r="AN409" s="200"/>
      <c r="AO409" s="200"/>
      <c r="AP409" s="200"/>
      <c r="AQ409" s="200"/>
      <c r="AR409" s="200"/>
      <c r="AS409" s="200"/>
      <c r="AT409" s="200"/>
      <c r="AU409" s="200"/>
      <c r="AV409" s="200"/>
      <c r="AW409" s="200"/>
      <c r="AX409" s="200"/>
      <c r="AY409" s="200"/>
      <c r="AZ409" s="200"/>
      <c r="BA409" s="200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 ht="13.8">
      <c r="A410" s="1"/>
      <c r="B410" s="1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  <c r="AB410" s="200"/>
      <c r="AC410" s="200"/>
      <c r="AD410" s="200"/>
      <c r="AE410" s="200"/>
      <c r="AF410" s="200"/>
      <c r="AG410" s="200"/>
      <c r="AH410" s="200"/>
      <c r="AI410" s="200"/>
      <c r="AJ410" s="200"/>
      <c r="AK410" s="200"/>
      <c r="AL410" s="200"/>
      <c r="AM410" s="200"/>
      <c r="AN410" s="200"/>
      <c r="AO410" s="200"/>
      <c r="AP410" s="200"/>
      <c r="AQ410" s="200"/>
      <c r="AR410" s="200"/>
      <c r="AS410" s="200"/>
      <c r="AT410" s="200"/>
      <c r="AU410" s="200"/>
      <c r="AV410" s="200"/>
      <c r="AW410" s="200"/>
      <c r="AX410" s="200"/>
      <c r="AY410" s="200"/>
      <c r="AZ410" s="200"/>
      <c r="BA410" s="200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 ht="13.8">
      <c r="A411" s="1"/>
      <c r="B411" s="1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  <c r="AH411" s="200"/>
      <c r="AI411" s="200"/>
      <c r="AJ411" s="200"/>
      <c r="AK411" s="200"/>
      <c r="AL411" s="200"/>
      <c r="AM411" s="200"/>
      <c r="AN411" s="200"/>
      <c r="AO411" s="200"/>
      <c r="AP411" s="200"/>
      <c r="AQ411" s="200"/>
      <c r="AR411" s="200"/>
      <c r="AS411" s="200"/>
      <c r="AT411" s="200"/>
      <c r="AU411" s="200"/>
      <c r="AV411" s="200"/>
      <c r="AW411" s="200"/>
      <c r="AX411" s="200"/>
      <c r="AY411" s="200"/>
      <c r="AZ411" s="200"/>
      <c r="BA411" s="200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 ht="13.8">
      <c r="A412" s="1"/>
      <c r="B412" s="1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/>
      <c r="AI412" s="200"/>
      <c r="AJ412" s="200"/>
      <c r="AK412" s="200"/>
      <c r="AL412" s="200"/>
      <c r="AM412" s="200"/>
      <c r="AN412" s="200"/>
      <c r="AO412" s="200"/>
      <c r="AP412" s="200"/>
      <c r="AQ412" s="200"/>
      <c r="AR412" s="200"/>
      <c r="AS412" s="200"/>
      <c r="AT412" s="200"/>
      <c r="AU412" s="200"/>
      <c r="AV412" s="200"/>
      <c r="AW412" s="200"/>
      <c r="AX412" s="200"/>
      <c r="AY412" s="200"/>
      <c r="AZ412" s="200"/>
      <c r="BA412" s="200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 ht="13.8">
      <c r="A413" s="1"/>
      <c r="B413" s="1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  <c r="AH413" s="200"/>
      <c r="AI413" s="200"/>
      <c r="AJ413" s="200"/>
      <c r="AK413" s="200"/>
      <c r="AL413" s="200"/>
      <c r="AM413" s="200"/>
      <c r="AN413" s="200"/>
      <c r="AO413" s="200"/>
      <c r="AP413" s="200"/>
      <c r="AQ413" s="200"/>
      <c r="AR413" s="200"/>
      <c r="AS413" s="200"/>
      <c r="AT413" s="200"/>
      <c r="AU413" s="200"/>
      <c r="AV413" s="200"/>
      <c r="AW413" s="200"/>
      <c r="AX413" s="200"/>
      <c r="AY413" s="200"/>
      <c r="AZ413" s="200"/>
      <c r="BA413" s="200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 ht="13.8">
      <c r="A414" s="1"/>
      <c r="B414" s="1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  <c r="AH414" s="200"/>
      <c r="AI414" s="200"/>
      <c r="AJ414" s="200"/>
      <c r="AK414" s="200"/>
      <c r="AL414" s="200"/>
      <c r="AM414" s="200"/>
      <c r="AN414" s="200"/>
      <c r="AO414" s="200"/>
      <c r="AP414" s="200"/>
      <c r="AQ414" s="200"/>
      <c r="AR414" s="200"/>
      <c r="AS414" s="200"/>
      <c r="AT414" s="200"/>
      <c r="AU414" s="200"/>
      <c r="AV414" s="200"/>
      <c r="AW414" s="200"/>
      <c r="AX414" s="200"/>
      <c r="AY414" s="200"/>
      <c r="AZ414" s="200"/>
      <c r="BA414" s="200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 ht="13.8">
      <c r="A415" s="1"/>
      <c r="B415" s="1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  <c r="AK415" s="200"/>
      <c r="AL415" s="200"/>
      <c r="AM415" s="200"/>
      <c r="AN415" s="200"/>
      <c r="AO415" s="200"/>
      <c r="AP415" s="200"/>
      <c r="AQ415" s="200"/>
      <c r="AR415" s="200"/>
      <c r="AS415" s="200"/>
      <c r="AT415" s="200"/>
      <c r="AU415" s="200"/>
      <c r="AV415" s="200"/>
      <c r="AW415" s="200"/>
      <c r="AX415" s="200"/>
      <c r="AY415" s="200"/>
      <c r="AZ415" s="200"/>
      <c r="BA415" s="200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 ht="13.8">
      <c r="A416" s="1"/>
      <c r="B416" s="1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  <c r="AH416" s="200"/>
      <c r="AI416" s="200"/>
      <c r="AJ416" s="200"/>
      <c r="AK416" s="200"/>
      <c r="AL416" s="200"/>
      <c r="AM416" s="200"/>
      <c r="AN416" s="200"/>
      <c r="AO416" s="200"/>
      <c r="AP416" s="200"/>
      <c r="AQ416" s="200"/>
      <c r="AR416" s="200"/>
      <c r="AS416" s="200"/>
      <c r="AT416" s="200"/>
      <c r="AU416" s="200"/>
      <c r="AV416" s="200"/>
      <c r="AW416" s="200"/>
      <c r="AX416" s="200"/>
      <c r="AY416" s="200"/>
      <c r="AZ416" s="200"/>
      <c r="BA416" s="200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 ht="13.8">
      <c r="A417" s="1"/>
      <c r="B417" s="1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  <c r="AH417" s="200"/>
      <c r="AI417" s="200"/>
      <c r="AJ417" s="200"/>
      <c r="AK417" s="200"/>
      <c r="AL417" s="200"/>
      <c r="AM417" s="200"/>
      <c r="AN417" s="200"/>
      <c r="AO417" s="200"/>
      <c r="AP417" s="200"/>
      <c r="AQ417" s="200"/>
      <c r="AR417" s="200"/>
      <c r="AS417" s="200"/>
      <c r="AT417" s="200"/>
      <c r="AU417" s="200"/>
      <c r="AV417" s="200"/>
      <c r="AW417" s="200"/>
      <c r="AX417" s="200"/>
      <c r="AY417" s="200"/>
      <c r="AZ417" s="200"/>
      <c r="BA417" s="200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 ht="13.8">
      <c r="A418" s="1"/>
      <c r="B418" s="1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0"/>
      <c r="AK418" s="200"/>
      <c r="AL418" s="200"/>
      <c r="AM418" s="200"/>
      <c r="AN418" s="200"/>
      <c r="AO418" s="200"/>
      <c r="AP418" s="200"/>
      <c r="AQ418" s="200"/>
      <c r="AR418" s="200"/>
      <c r="AS418" s="200"/>
      <c r="AT418" s="200"/>
      <c r="AU418" s="200"/>
      <c r="AV418" s="200"/>
      <c r="AW418" s="200"/>
      <c r="AX418" s="200"/>
      <c r="AY418" s="200"/>
      <c r="AZ418" s="200"/>
      <c r="BA418" s="200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 ht="13.8">
      <c r="A419" s="1"/>
      <c r="B419" s="1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  <c r="AH419" s="200"/>
      <c r="AI419" s="200"/>
      <c r="AJ419" s="200"/>
      <c r="AK419" s="200"/>
      <c r="AL419" s="200"/>
      <c r="AM419" s="200"/>
      <c r="AN419" s="200"/>
      <c r="AO419" s="200"/>
      <c r="AP419" s="200"/>
      <c r="AQ419" s="200"/>
      <c r="AR419" s="200"/>
      <c r="AS419" s="200"/>
      <c r="AT419" s="200"/>
      <c r="AU419" s="200"/>
      <c r="AV419" s="200"/>
      <c r="AW419" s="200"/>
      <c r="AX419" s="200"/>
      <c r="AY419" s="200"/>
      <c r="AZ419" s="200"/>
      <c r="BA419" s="200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 ht="13.8">
      <c r="A420" s="1"/>
      <c r="B420" s="1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  <c r="AH420" s="200"/>
      <c r="AI420" s="200"/>
      <c r="AJ420" s="200"/>
      <c r="AK420" s="200"/>
      <c r="AL420" s="200"/>
      <c r="AM420" s="200"/>
      <c r="AN420" s="200"/>
      <c r="AO420" s="200"/>
      <c r="AP420" s="200"/>
      <c r="AQ420" s="200"/>
      <c r="AR420" s="200"/>
      <c r="AS420" s="200"/>
      <c r="AT420" s="200"/>
      <c r="AU420" s="200"/>
      <c r="AV420" s="200"/>
      <c r="AW420" s="200"/>
      <c r="AX420" s="200"/>
      <c r="AY420" s="200"/>
      <c r="AZ420" s="200"/>
      <c r="BA420" s="200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 ht="13.8">
      <c r="A421" s="1"/>
      <c r="B421" s="1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  <c r="AH421" s="200"/>
      <c r="AI421" s="200"/>
      <c r="AJ421" s="200"/>
      <c r="AK421" s="200"/>
      <c r="AL421" s="200"/>
      <c r="AM421" s="200"/>
      <c r="AN421" s="200"/>
      <c r="AO421" s="200"/>
      <c r="AP421" s="200"/>
      <c r="AQ421" s="200"/>
      <c r="AR421" s="200"/>
      <c r="AS421" s="200"/>
      <c r="AT421" s="200"/>
      <c r="AU421" s="200"/>
      <c r="AV421" s="200"/>
      <c r="AW421" s="200"/>
      <c r="AX421" s="200"/>
      <c r="AY421" s="200"/>
      <c r="AZ421" s="200"/>
      <c r="BA421" s="200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 ht="13.8">
      <c r="A422" s="1"/>
      <c r="B422" s="1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  <c r="AH422" s="200"/>
      <c r="AI422" s="200"/>
      <c r="AJ422" s="200"/>
      <c r="AK422" s="200"/>
      <c r="AL422" s="200"/>
      <c r="AM422" s="200"/>
      <c r="AN422" s="200"/>
      <c r="AO422" s="200"/>
      <c r="AP422" s="200"/>
      <c r="AQ422" s="200"/>
      <c r="AR422" s="200"/>
      <c r="AS422" s="200"/>
      <c r="AT422" s="200"/>
      <c r="AU422" s="200"/>
      <c r="AV422" s="200"/>
      <c r="AW422" s="200"/>
      <c r="AX422" s="200"/>
      <c r="AY422" s="200"/>
      <c r="AZ422" s="200"/>
      <c r="BA422" s="200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 ht="13.8">
      <c r="A423" s="1"/>
      <c r="B423" s="1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  <c r="AH423" s="200"/>
      <c r="AI423" s="200"/>
      <c r="AJ423" s="200"/>
      <c r="AK423" s="200"/>
      <c r="AL423" s="200"/>
      <c r="AM423" s="200"/>
      <c r="AN423" s="200"/>
      <c r="AO423" s="200"/>
      <c r="AP423" s="200"/>
      <c r="AQ423" s="200"/>
      <c r="AR423" s="200"/>
      <c r="AS423" s="200"/>
      <c r="AT423" s="200"/>
      <c r="AU423" s="200"/>
      <c r="AV423" s="200"/>
      <c r="AW423" s="200"/>
      <c r="AX423" s="200"/>
      <c r="AY423" s="200"/>
      <c r="AZ423" s="200"/>
      <c r="BA423" s="200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 ht="13.8">
      <c r="A424" s="1"/>
      <c r="B424" s="1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  <c r="AH424" s="200"/>
      <c r="AI424" s="200"/>
      <c r="AJ424" s="200"/>
      <c r="AK424" s="200"/>
      <c r="AL424" s="200"/>
      <c r="AM424" s="200"/>
      <c r="AN424" s="200"/>
      <c r="AO424" s="200"/>
      <c r="AP424" s="200"/>
      <c r="AQ424" s="200"/>
      <c r="AR424" s="200"/>
      <c r="AS424" s="200"/>
      <c r="AT424" s="200"/>
      <c r="AU424" s="200"/>
      <c r="AV424" s="200"/>
      <c r="AW424" s="200"/>
      <c r="AX424" s="200"/>
      <c r="AY424" s="200"/>
      <c r="AZ424" s="200"/>
      <c r="BA424" s="200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 ht="13.8">
      <c r="A425" s="1"/>
      <c r="B425" s="1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  <c r="AH425" s="200"/>
      <c r="AI425" s="200"/>
      <c r="AJ425" s="200"/>
      <c r="AK425" s="200"/>
      <c r="AL425" s="200"/>
      <c r="AM425" s="200"/>
      <c r="AN425" s="200"/>
      <c r="AO425" s="200"/>
      <c r="AP425" s="200"/>
      <c r="AQ425" s="200"/>
      <c r="AR425" s="200"/>
      <c r="AS425" s="200"/>
      <c r="AT425" s="200"/>
      <c r="AU425" s="200"/>
      <c r="AV425" s="200"/>
      <c r="AW425" s="200"/>
      <c r="AX425" s="200"/>
      <c r="AY425" s="200"/>
      <c r="AZ425" s="200"/>
      <c r="BA425" s="200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 ht="13.8">
      <c r="A426" s="1"/>
      <c r="B426" s="1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  <c r="AK426" s="200"/>
      <c r="AL426" s="200"/>
      <c r="AM426" s="200"/>
      <c r="AN426" s="200"/>
      <c r="AO426" s="200"/>
      <c r="AP426" s="200"/>
      <c r="AQ426" s="200"/>
      <c r="AR426" s="200"/>
      <c r="AS426" s="200"/>
      <c r="AT426" s="200"/>
      <c r="AU426" s="200"/>
      <c r="AV426" s="200"/>
      <c r="AW426" s="200"/>
      <c r="AX426" s="200"/>
      <c r="AY426" s="200"/>
      <c r="AZ426" s="200"/>
      <c r="BA426" s="200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 ht="13.8">
      <c r="A427" s="1"/>
      <c r="B427" s="1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  <c r="AH427" s="200"/>
      <c r="AI427" s="200"/>
      <c r="AJ427" s="200"/>
      <c r="AK427" s="200"/>
      <c r="AL427" s="200"/>
      <c r="AM427" s="200"/>
      <c r="AN427" s="200"/>
      <c r="AO427" s="200"/>
      <c r="AP427" s="200"/>
      <c r="AQ427" s="200"/>
      <c r="AR427" s="200"/>
      <c r="AS427" s="200"/>
      <c r="AT427" s="200"/>
      <c r="AU427" s="200"/>
      <c r="AV427" s="200"/>
      <c r="AW427" s="200"/>
      <c r="AX427" s="200"/>
      <c r="AY427" s="200"/>
      <c r="AZ427" s="200"/>
      <c r="BA427" s="200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 ht="13.8">
      <c r="A428" s="1"/>
      <c r="B428" s="1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  <c r="AH428" s="200"/>
      <c r="AI428" s="200"/>
      <c r="AJ428" s="200"/>
      <c r="AK428" s="200"/>
      <c r="AL428" s="200"/>
      <c r="AM428" s="200"/>
      <c r="AN428" s="200"/>
      <c r="AO428" s="200"/>
      <c r="AP428" s="200"/>
      <c r="AQ428" s="200"/>
      <c r="AR428" s="200"/>
      <c r="AS428" s="200"/>
      <c r="AT428" s="200"/>
      <c r="AU428" s="200"/>
      <c r="AV428" s="200"/>
      <c r="AW428" s="200"/>
      <c r="AX428" s="200"/>
      <c r="AY428" s="200"/>
      <c r="AZ428" s="200"/>
      <c r="BA428" s="200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 ht="13.8">
      <c r="A429" s="1"/>
      <c r="B429" s="1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/>
      <c r="AI429" s="200"/>
      <c r="AJ429" s="200"/>
      <c r="AK429" s="200"/>
      <c r="AL429" s="200"/>
      <c r="AM429" s="200"/>
      <c r="AN429" s="200"/>
      <c r="AO429" s="200"/>
      <c r="AP429" s="200"/>
      <c r="AQ429" s="200"/>
      <c r="AR429" s="200"/>
      <c r="AS429" s="200"/>
      <c r="AT429" s="200"/>
      <c r="AU429" s="200"/>
      <c r="AV429" s="200"/>
      <c r="AW429" s="200"/>
      <c r="AX429" s="200"/>
      <c r="AY429" s="200"/>
      <c r="AZ429" s="200"/>
      <c r="BA429" s="200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 ht="13.8">
      <c r="A430" s="1"/>
      <c r="B430" s="1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  <c r="AH430" s="200"/>
      <c r="AI430" s="200"/>
      <c r="AJ430" s="200"/>
      <c r="AK430" s="200"/>
      <c r="AL430" s="200"/>
      <c r="AM430" s="200"/>
      <c r="AN430" s="200"/>
      <c r="AO430" s="200"/>
      <c r="AP430" s="200"/>
      <c r="AQ430" s="200"/>
      <c r="AR430" s="200"/>
      <c r="AS430" s="200"/>
      <c r="AT430" s="200"/>
      <c r="AU430" s="200"/>
      <c r="AV430" s="200"/>
      <c r="AW430" s="200"/>
      <c r="AX430" s="200"/>
      <c r="AY430" s="200"/>
      <c r="AZ430" s="200"/>
      <c r="BA430" s="200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 ht="13.8">
      <c r="A431" s="1"/>
      <c r="B431" s="1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200"/>
      <c r="AJ431" s="200"/>
      <c r="AK431" s="200"/>
      <c r="AL431" s="200"/>
      <c r="AM431" s="200"/>
      <c r="AN431" s="200"/>
      <c r="AO431" s="200"/>
      <c r="AP431" s="200"/>
      <c r="AQ431" s="200"/>
      <c r="AR431" s="200"/>
      <c r="AS431" s="200"/>
      <c r="AT431" s="200"/>
      <c r="AU431" s="200"/>
      <c r="AV431" s="200"/>
      <c r="AW431" s="200"/>
      <c r="AX431" s="200"/>
      <c r="AY431" s="200"/>
      <c r="AZ431" s="200"/>
      <c r="BA431" s="200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 ht="13.8">
      <c r="A432" s="1"/>
      <c r="B432" s="1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200"/>
      <c r="AJ432" s="200"/>
      <c r="AK432" s="200"/>
      <c r="AL432" s="200"/>
      <c r="AM432" s="200"/>
      <c r="AN432" s="200"/>
      <c r="AO432" s="200"/>
      <c r="AP432" s="200"/>
      <c r="AQ432" s="200"/>
      <c r="AR432" s="200"/>
      <c r="AS432" s="200"/>
      <c r="AT432" s="200"/>
      <c r="AU432" s="200"/>
      <c r="AV432" s="200"/>
      <c r="AW432" s="200"/>
      <c r="AX432" s="200"/>
      <c r="AY432" s="200"/>
      <c r="AZ432" s="200"/>
      <c r="BA432" s="200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 ht="13.8">
      <c r="A433" s="1"/>
      <c r="B433" s="1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0"/>
      <c r="AK433" s="200"/>
      <c r="AL433" s="200"/>
      <c r="AM433" s="200"/>
      <c r="AN433" s="200"/>
      <c r="AO433" s="200"/>
      <c r="AP433" s="200"/>
      <c r="AQ433" s="200"/>
      <c r="AR433" s="200"/>
      <c r="AS433" s="200"/>
      <c r="AT433" s="200"/>
      <c r="AU433" s="200"/>
      <c r="AV433" s="200"/>
      <c r="AW433" s="200"/>
      <c r="AX433" s="200"/>
      <c r="AY433" s="200"/>
      <c r="AZ433" s="200"/>
      <c r="BA433" s="200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 ht="13.8">
      <c r="A434" s="1"/>
      <c r="B434" s="1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  <c r="AK434" s="200"/>
      <c r="AL434" s="200"/>
      <c r="AM434" s="200"/>
      <c r="AN434" s="200"/>
      <c r="AO434" s="200"/>
      <c r="AP434" s="200"/>
      <c r="AQ434" s="200"/>
      <c r="AR434" s="200"/>
      <c r="AS434" s="200"/>
      <c r="AT434" s="200"/>
      <c r="AU434" s="200"/>
      <c r="AV434" s="200"/>
      <c r="AW434" s="200"/>
      <c r="AX434" s="200"/>
      <c r="AY434" s="200"/>
      <c r="AZ434" s="200"/>
      <c r="BA434" s="200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 ht="13.8">
      <c r="A435" s="1"/>
      <c r="B435" s="1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200"/>
      <c r="AJ435" s="200"/>
      <c r="AK435" s="200"/>
      <c r="AL435" s="200"/>
      <c r="AM435" s="200"/>
      <c r="AN435" s="200"/>
      <c r="AO435" s="200"/>
      <c r="AP435" s="200"/>
      <c r="AQ435" s="200"/>
      <c r="AR435" s="200"/>
      <c r="AS435" s="200"/>
      <c r="AT435" s="200"/>
      <c r="AU435" s="200"/>
      <c r="AV435" s="200"/>
      <c r="AW435" s="200"/>
      <c r="AX435" s="200"/>
      <c r="AY435" s="200"/>
      <c r="AZ435" s="200"/>
      <c r="BA435" s="200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 ht="13.8">
      <c r="A436" s="1"/>
      <c r="B436" s="1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  <c r="AH436" s="200"/>
      <c r="AI436" s="200"/>
      <c r="AJ436" s="200"/>
      <c r="AK436" s="200"/>
      <c r="AL436" s="200"/>
      <c r="AM436" s="200"/>
      <c r="AN436" s="200"/>
      <c r="AO436" s="200"/>
      <c r="AP436" s="200"/>
      <c r="AQ436" s="200"/>
      <c r="AR436" s="200"/>
      <c r="AS436" s="200"/>
      <c r="AT436" s="200"/>
      <c r="AU436" s="200"/>
      <c r="AV436" s="200"/>
      <c r="AW436" s="200"/>
      <c r="AX436" s="200"/>
      <c r="AY436" s="200"/>
      <c r="AZ436" s="200"/>
      <c r="BA436" s="200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 ht="13.8">
      <c r="A437" s="1"/>
      <c r="B437" s="1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  <c r="AH437" s="200"/>
      <c r="AI437" s="200"/>
      <c r="AJ437" s="200"/>
      <c r="AK437" s="200"/>
      <c r="AL437" s="200"/>
      <c r="AM437" s="200"/>
      <c r="AN437" s="200"/>
      <c r="AO437" s="200"/>
      <c r="AP437" s="200"/>
      <c r="AQ437" s="200"/>
      <c r="AR437" s="200"/>
      <c r="AS437" s="200"/>
      <c r="AT437" s="200"/>
      <c r="AU437" s="200"/>
      <c r="AV437" s="200"/>
      <c r="AW437" s="200"/>
      <c r="AX437" s="200"/>
      <c r="AY437" s="200"/>
      <c r="AZ437" s="200"/>
      <c r="BA437" s="200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 ht="13.8">
      <c r="A438" s="1"/>
      <c r="B438" s="1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0"/>
      <c r="AK438" s="200"/>
      <c r="AL438" s="200"/>
      <c r="AM438" s="200"/>
      <c r="AN438" s="200"/>
      <c r="AO438" s="200"/>
      <c r="AP438" s="200"/>
      <c r="AQ438" s="200"/>
      <c r="AR438" s="200"/>
      <c r="AS438" s="200"/>
      <c r="AT438" s="200"/>
      <c r="AU438" s="200"/>
      <c r="AV438" s="200"/>
      <c r="AW438" s="200"/>
      <c r="AX438" s="200"/>
      <c r="AY438" s="200"/>
      <c r="AZ438" s="200"/>
      <c r="BA438" s="200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 ht="13.8">
      <c r="A439" s="1"/>
      <c r="B439" s="1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  <c r="AH439" s="200"/>
      <c r="AI439" s="200"/>
      <c r="AJ439" s="200"/>
      <c r="AK439" s="200"/>
      <c r="AL439" s="200"/>
      <c r="AM439" s="200"/>
      <c r="AN439" s="200"/>
      <c r="AO439" s="200"/>
      <c r="AP439" s="200"/>
      <c r="AQ439" s="200"/>
      <c r="AR439" s="200"/>
      <c r="AS439" s="200"/>
      <c r="AT439" s="200"/>
      <c r="AU439" s="200"/>
      <c r="AV439" s="200"/>
      <c r="AW439" s="200"/>
      <c r="AX439" s="200"/>
      <c r="AY439" s="200"/>
      <c r="AZ439" s="200"/>
      <c r="BA439" s="200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 ht="13.8">
      <c r="A440" s="1"/>
      <c r="B440" s="1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  <c r="AH440" s="200"/>
      <c r="AI440" s="200"/>
      <c r="AJ440" s="200"/>
      <c r="AK440" s="200"/>
      <c r="AL440" s="200"/>
      <c r="AM440" s="200"/>
      <c r="AN440" s="200"/>
      <c r="AO440" s="200"/>
      <c r="AP440" s="200"/>
      <c r="AQ440" s="200"/>
      <c r="AR440" s="200"/>
      <c r="AS440" s="200"/>
      <c r="AT440" s="200"/>
      <c r="AU440" s="200"/>
      <c r="AV440" s="200"/>
      <c r="AW440" s="200"/>
      <c r="AX440" s="200"/>
      <c r="AY440" s="200"/>
      <c r="AZ440" s="200"/>
      <c r="BA440" s="200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 ht="13.8">
      <c r="A441" s="1"/>
      <c r="B441" s="1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  <c r="AK441" s="200"/>
      <c r="AL441" s="200"/>
      <c r="AM441" s="200"/>
      <c r="AN441" s="200"/>
      <c r="AO441" s="200"/>
      <c r="AP441" s="200"/>
      <c r="AQ441" s="200"/>
      <c r="AR441" s="200"/>
      <c r="AS441" s="200"/>
      <c r="AT441" s="200"/>
      <c r="AU441" s="200"/>
      <c r="AV441" s="200"/>
      <c r="AW441" s="200"/>
      <c r="AX441" s="200"/>
      <c r="AY441" s="200"/>
      <c r="AZ441" s="200"/>
      <c r="BA441" s="200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 ht="13.8">
      <c r="A442" s="1"/>
      <c r="B442" s="1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0"/>
      <c r="AK442" s="200"/>
      <c r="AL442" s="200"/>
      <c r="AM442" s="200"/>
      <c r="AN442" s="200"/>
      <c r="AO442" s="200"/>
      <c r="AP442" s="200"/>
      <c r="AQ442" s="200"/>
      <c r="AR442" s="200"/>
      <c r="AS442" s="200"/>
      <c r="AT442" s="200"/>
      <c r="AU442" s="200"/>
      <c r="AV442" s="200"/>
      <c r="AW442" s="200"/>
      <c r="AX442" s="200"/>
      <c r="AY442" s="200"/>
      <c r="AZ442" s="200"/>
      <c r="BA442" s="200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 ht="13.8">
      <c r="A443" s="1"/>
      <c r="B443" s="1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  <c r="AH443" s="200"/>
      <c r="AI443" s="200"/>
      <c r="AJ443" s="200"/>
      <c r="AK443" s="200"/>
      <c r="AL443" s="200"/>
      <c r="AM443" s="200"/>
      <c r="AN443" s="200"/>
      <c r="AO443" s="200"/>
      <c r="AP443" s="200"/>
      <c r="AQ443" s="200"/>
      <c r="AR443" s="200"/>
      <c r="AS443" s="200"/>
      <c r="AT443" s="200"/>
      <c r="AU443" s="200"/>
      <c r="AV443" s="200"/>
      <c r="AW443" s="200"/>
      <c r="AX443" s="200"/>
      <c r="AY443" s="200"/>
      <c r="AZ443" s="200"/>
      <c r="BA443" s="200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 ht="13.8">
      <c r="A444" s="1"/>
      <c r="B444" s="1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0"/>
      <c r="AK444" s="200"/>
      <c r="AL444" s="200"/>
      <c r="AM444" s="200"/>
      <c r="AN444" s="200"/>
      <c r="AO444" s="200"/>
      <c r="AP444" s="200"/>
      <c r="AQ444" s="200"/>
      <c r="AR444" s="200"/>
      <c r="AS444" s="200"/>
      <c r="AT444" s="200"/>
      <c r="AU444" s="200"/>
      <c r="AV444" s="200"/>
      <c r="AW444" s="200"/>
      <c r="AX444" s="200"/>
      <c r="AY444" s="200"/>
      <c r="AZ444" s="200"/>
      <c r="BA444" s="200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 ht="13.8">
      <c r="A445" s="1"/>
      <c r="B445" s="1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  <c r="AH445" s="200"/>
      <c r="AI445" s="200"/>
      <c r="AJ445" s="200"/>
      <c r="AK445" s="200"/>
      <c r="AL445" s="200"/>
      <c r="AM445" s="200"/>
      <c r="AN445" s="200"/>
      <c r="AO445" s="200"/>
      <c r="AP445" s="200"/>
      <c r="AQ445" s="200"/>
      <c r="AR445" s="200"/>
      <c r="AS445" s="200"/>
      <c r="AT445" s="200"/>
      <c r="AU445" s="200"/>
      <c r="AV445" s="200"/>
      <c r="AW445" s="200"/>
      <c r="AX445" s="200"/>
      <c r="AY445" s="200"/>
      <c r="AZ445" s="200"/>
      <c r="BA445" s="200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 ht="13.8">
      <c r="A446" s="1"/>
      <c r="B446" s="1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0"/>
      <c r="AK446" s="200"/>
      <c r="AL446" s="200"/>
      <c r="AM446" s="200"/>
      <c r="AN446" s="200"/>
      <c r="AO446" s="200"/>
      <c r="AP446" s="200"/>
      <c r="AQ446" s="200"/>
      <c r="AR446" s="200"/>
      <c r="AS446" s="200"/>
      <c r="AT446" s="200"/>
      <c r="AU446" s="200"/>
      <c r="AV446" s="200"/>
      <c r="AW446" s="200"/>
      <c r="AX446" s="200"/>
      <c r="AY446" s="200"/>
      <c r="AZ446" s="200"/>
      <c r="BA446" s="200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 ht="13.8">
      <c r="A447" s="1"/>
      <c r="B447" s="1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0"/>
      <c r="AK447" s="200"/>
      <c r="AL447" s="200"/>
      <c r="AM447" s="200"/>
      <c r="AN447" s="200"/>
      <c r="AO447" s="200"/>
      <c r="AP447" s="200"/>
      <c r="AQ447" s="200"/>
      <c r="AR447" s="200"/>
      <c r="AS447" s="200"/>
      <c r="AT447" s="200"/>
      <c r="AU447" s="200"/>
      <c r="AV447" s="200"/>
      <c r="AW447" s="200"/>
      <c r="AX447" s="200"/>
      <c r="AY447" s="200"/>
      <c r="AZ447" s="200"/>
      <c r="BA447" s="200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 ht="13.8">
      <c r="A448" s="1"/>
      <c r="B448" s="1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  <c r="AH448" s="200"/>
      <c r="AI448" s="200"/>
      <c r="AJ448" s="200"/>
      <c r="AK448" s="200"/>
      <c r="AL448" s="200"/>
      <c r="AM448" s="200"/>
      <c r="AN448" s="200"/>
      <c r="AO448" s="200"/>
      <c r="AP448" s="200"/>
      <c r="AQ448" s="200"/>
      <c r="AR448" s="200"/>
      <c r="AS448" s="200"/>
      <c r="AT448" s="200"/>
      <c r="AU448" s="200"/>
      <c r="AV448" s="200"/>
      <c r="AW448" s="200"/>
      <c r="AX448" s="200"/>
      <c r="AY448" s="200"/>
      <c r="AZ448" s="200"/>
      <c r="BA448" s="200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 ht="13.8">
      <c r="A449" s="1"/>
      <c r="B449" s="1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  <c r="AH449" s="200"/>
      <c r="AI449" s="200"/>
      <c r="AJ449" s="200"/>
      <c r="AK449" s="200"/>
      <c r="AL449" s="200"/>
      <c r="AM449" s="200"/>
      <c r="AN449" s="200"/>
      <c r="AO449" s="200"/>
      <c r="AP449" s="200"/>
      <c r="AQ449" s="200"/>
      <c r="AR449" s="200"/>
      <c r="AS449" s="200"/>
      <c r="AT449" s="200"/>
      <c r="AU449" s="200"/>
      <c r="AV449" s="200"/>
      <c r="AW449" s="200"/>
      <c r="AX449" s="200"/>
      <c r="AY449" s="200"/>
      <c r="AZ449" s="200"/>
      <c r="BA449" s="200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 ht="13.8">
      <c r="A450" s="1"/>
      <c r="B450" s="1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0"/>
      <c r="AK450" s="200"/>
      <c r="AL450" s="200"/>
      <c r="AM450" s="200"/>
      <c r="AN450" s="200"/>
      <c r="AO450" s="200"/>
      <c r="AP450" s="200"/>
      <c r="AQ450" s="200"/>
      <c r="AR450" s="200"/>
      <c r="AS450" s="200"/>
      <c r="AT450" s="200"/>
      <c r="AU450" s="200"/>
      <c r="AV450" s="200"/>
      <c r="AW450" s="200"/>
      <c r="AX450" s="200"/>
      <c r="AY450" s="200"/>
      <c r="AZ450" s="200"/>
      <c r="BA450" s="200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 ht="13.8">
      <c r="A451" s="1"/>
      <c r="B451" s="1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  <c r="AH451" s="200"/>
      <c r="AI451" s="200"/>
      <c r="AJ451" s="200"/>
      <c r="AK451" s="200"/>
      <c r="AL451" s="200"/>
      <c r="AM451" s="200"/>
      <c r="AN451" s="200"/>
      <c r="AO451" s="200"/>
      <c r="AP451" s="200"/>
      <c r="AQ451" s="200"/>
      <c r="AR451" s="200"/>
      <c r="AS451" s="200"/>
      <c r="AT451" s="200"/>
      <c r="AU451" s="200"/>
      <c r="AV451" s="200"/>
      <c r="AW451" s="200"/>
      <c r="AX451" s="200"/>
      <c r="AY451" s="200"/>
      <c r="AZ451" s="200"/>
      <c r="BA451" s="200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 ht="13.8">
      <c r="A452" s="1"/>
      <c r="B452" s="1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  <c r="AH452" s="200"/>
      <c r="AI452" s="200"/>
      <c r="AJ452" s="200"/>
      <c r="AK452" s="200"/>
      <c r="AL452" s="200"/>
      <c r="AM452" s="200"/>
      <c r="AN452" s="200"/>
      <c r="AO452" s="200"/>
      <c r="AP452" s="200"/>
      <c r="AQ452" s="200"/>
      <c r="AR452" s="200"/>
      <c r="AS452" s="200"/>
      <c r="AT452" s="200"/>
      <c r="AU452" s="200"/>
      <c r="AV452" s="200"/>
      <c r="AW452" s="200"/>
      <c r="AX452" s="200"/>
      <c r="AY452" s="200"/>
      <c r="AZ452" s="200"/>
      <c r="BA452" s="200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 ht="13.8">
      <c r="A453" s="1"/>
      <c r="B453" s="1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0"/>
      <c r="AK453" s="200"/>
      <c r="AL453" s="200"/>
      <c r="AM453" s="200"/>
      <c r="AN453" s="200"/>
      <c r="AO453" s="200"/>
      <c r="AP453" s="200"/>
      <c r="AQ453" s="200"/>
      <c r="AR453" s="200"/>
      <c r="AS453" s="200"/>
      <c r="AT453" s="200"/>
      <c r="AU453" s="200"/>
      <c r="AV453" s="200"/>
      <c r="AW453" s="200"/>
      <c r="AX453" s="200"/>
      <c r="AY453" s="200"/>
      <c r="AZ453" s="200"/>
      <c r="BA453" s="200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 ht="13.8">
      <c r="A454" s="1"/>
      <c r="B454" s="1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  <c r="AH454" s="200"/>
      <c r="AI454" s="200"/>
      <c r="AJ454" s="200"/>
      <c r="AK454" s="200"/>
      <c r="AL454" s="200"/>
      <c r="AM454" s="200"/>
      <c r="AN454" s="200"/>
      <c r="AO454" s="200"/>
      <c r="AP454" s="200"/>
      <c r="AQ454" s="200"/>
      <c r="AR454" s="200"/>
      <c r="AS454" s="200"/>
      <c r="AT454" s="200"/>
      <c r="AU454" s="200"/>
      <c r="AV454" s="200"/>
      <c r="AW454" s="200"/>
      <c r="AX454" s="200"/>
      <c r="AY454" s="200"/>
      <c r="AZ454" s="200"/>
      <c r="BA454" s="200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 ht="13.8">
      <c r="A455" s="1"/>
      <c r="B455" s="1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  <c r="AH455" s="200"/>
      <c r="AI455" s="200"/>
      <c r="AJ455" s="200"/>
      <c r="AK455" s="200"/>
      <c r="AL455" s="200"/>
      <c r="AM455" s="200"/>
      <c r="AN455" s="200"/>
      <c r="AO455" s="200"/>
      <c r="AP455" s="200"/>
      <c r="AQ455" s="200"/>
      <c r="AR455" s="200"/>
      <c r="AS455" s="200"/>
      <c r="AT455" s="200"/>
      <c r="AU455" s="200"/>
      <c r="AV455" s="200"/>
      <c r="AW455" s="200"/>
      <c r="AX455" s="200"/>
      <c r="AY455" s="200"/>
      <c r="AZ455" s="200"/>
      <c r="BA455" s="200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 ht="13.8">
      <c r="A456" s="1"/>
      <c r="B456" s="1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  <c r="AH456" s="200"/>
      <c r="AI456" s="200"/>
      <c r="AJ456" s="200"/>
      <c r="AK456" s="200"/>
      <c r="AL456" s="200"/>
      <c r="AM456" s="200"/>
      <c r="AN456" s="200"/>
      <c r="AO456" s="200"/>
      <c r="AP456" s="200"/>
      <c r="AQ456" s="200"/>
      <c r="AR456" s="200"/>
      <c r="AS456" s="200"/>
      <c r="AT456" s="200"/>
      <c r="AU456" s="200"/>
      <c r="AV456" s="200"/>
      <c r="AW456" s="200"/>
      <c r="AX456" s="200"/>
      <c r="AY456" s="200"/>
      <c r="AZ456" s="200"/>
      <c r="BA456" s="200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 ht="13.8">
      <c r="A457" s="1"/>
      <c r="B457" s="1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  <c r="AH457" s="200"/>
      <c r="AI457" s="200"/>
      <c r="AJ457" s="200"/>
      <c r="AK457" s="200"/>
      <c r="AL457" s="200"/>
      <c r="AM457" s="200"/>
      <c r="AN457" s="200"/>
      <c r="AO457" s="200"/>
      <c r="AP457" s="200"/>
      <c r="AQ457" s="200"/>
      <c r="AR457" s="200"/>
      <c r="AS457" s="200"/>
      <c r="AT457" s="200"/>
      <c r="AU457" s="200"/>
      <c r="AV457" s="200"/>
      <c r="AW457" s="200"/>
      <c r="AX457" s="200"/>
      <c r="AY457" s="200"/>
      <c r="AZ457" s="200"/>
      <c r="BA457" s="200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 ht="13.8">
      <c r="A458" s="1"/>
      <c r="B458" s="1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0"/>
      <c r="AK458" s="200"/>
      <c r="AL458" s="200"/>
      <c r="AM458" s="200"/>
      <c r="AN458" s="200"/>
      <c r="AO458" s="200"/>
      <c r="AP458" s="200"/>
      <c r="AQ458" s="200"/>
      <c r="AR458" s="200"/>
      <c r="AS458" s="200"/>
      <c r="AT458" s="200"/>
      <c r="AU458" s="200"/>
      <c r="AV458" s="200"/>
      <c r="AW458" s="200"/>
      <c r="AX458" s="200"/>
      <c r="AY458" s="200"/>
      <c r="AZ458" s="200"/>
      <c r="BA458" s="200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 ht="13.8">
      <c r="A459" s="1"/>
      <c r="B459" s="1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  <c r="AH459" s="200"/>
      <c r="AI459" s="200"/>
      <c r="AJ459" s="200"/>
      <c r="AK459" s="200"/>
      <c r="AL459" s="200"/>
      <c r="AM459" s="200"/>
      <c r="AN459" s="200"/>
      <c r="AO459" s="200"/>
      <c r="AP459" s="200"/>
      <c r="AQ459" s="200"/>
      <c r="AR459" s="200"/>
      <c r="AS459" s="200"/>
      <c r="AT459" s="200"/>
      <c r="AU459" s="200"/>
      <c r="AV459" s="200"/>
      <c r="AW459" s="200"/>
      <c r="AX459" s="200"/>
      <c r="AY459" s="200"/>
      <c r="AZ459" s="200"/>
      <c r="BA459" s="200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 ht="13.8">
      <c r="A460" s="1"/>
      <c r="B460" s="1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0"/>
      <c r="AK460" s="200"/>
      <c r="AL460" s="200"/>
      <c r="AM460" s="200"/>
      <c r="AN460" s="200"/>
      <c r="AO460" s="200"/>
      <c r="AP460" s="200"/>
      <c r="AQ460" s="200"/>
      <c r="AR460" s="200"/>
      <c r="AS460" s="200"/>
      <c r="AT460" s="200"/>
      <c r="AU460" s="200"/>
      <c r="AV460" s="200"/>
      <c r="AW460" s="200"/>
      <c r="AX460" s="200"/>
      <c r="AY460" s="200"/>
      <c r="AZ460" s="200"/>
      <c r="BA460" s="200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 ht="13.8">
      <c r="A461" s="1"/>
      <c r="B461" s="1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  <c r="AH461" s="200"/>
      <c r="AI461" s="200"/>
      <c r="AJ461" s="200"/>
      <c r="AK461" s="200"/>
      <c r="AL461" s="200"/>
      <c r="AM461" s="200"/>
      <c r="AN461" s="200"/>
      <c r="AO461" s="200"/>
      <c r="AP461" s="200"/>
      <c r="AQ461" s="200"/>
      <c r="AR461" s="200"/>
      <c r="AS461" s="200"/>
      <c r="AT461" s="200"/>
      <c r="AU461" s="200"/>
      <c r="AV461" s="200"/>
      <c r="AW461" s="200"/>
      <c r="AX461" s="200"/>
      <c r="AY461" s="200"/>
      <c r="AZ461" s="200"/>
      <c r="BA461" s="200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 ht="13.8">
      <c r="A462" s="1"/>
      <c r="B462" s="1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0"/>
      <c r="AK462" s="200"/>
      <c r="AL462" s="200"/>
      <c r="AM462" s="200"/>
      <c r="AN462" s="200"/>
      <c r="AO462" s="200"/>
      <c r="AP462" s="200"/>
      <c r="AQ462" s="200"/>
      <c r="AR462" s="200"/>
      <c r="AS462" s="200"/>
      <c r="AT462" s="200"/>
      <c r="AU462" s="200"/>
      <c r="AV462" s="200"/>
      <c r="AW462" s="200"/>
      <c r="AX462" s="200"/>
      <c r="AY462" s="200"/>
      <c r="AZ462" s="200"/>
      <c r="BA462" s="200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 ht="13.8">
      <c r="A463" s="1"/>
      <c r="B463" s="1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  <c r="AH463" s="200"/>
      <c r="AI463" s="200"/>
      <c r="AJ463" s="200"/>
      <c r="AK463" s="200"/>
      <c r="AL463" s="200"/>
      <c r="AM463" s="200"/>
      <c r="AN463" s="200"/>
      <c r="AO463" s="200"/>
      <c r="AP463" s="200"/>
      <c r="AQ463" s="200"/>
      <c r="AR463" s="200"/>
      <c r="AS463" s="200"/>
      <c r="AT463" s="200"/>
      <c r="AU463" s="200"/>
      <c r="AV463" s="200"/>
      <c r="AW463" s="200"/>
      <c r="AX463" s="200"/>
      <c r="AY463" s="200"/>
      <c r="AZ463" s="200"/>
      <c r="BA463" s="200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 ht="13.8">
      <c r="A464" s="1"/>
      <c r="B464" s="1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  <c r="AH464" s="200"/>
      <c r="AI464" s="200"/>
      <c r="AJ464" s="200"/>
      <c r="AK464" s="200"/>
      <c r="AL464" s="200"/>
      <c r="AM464" s="200"/>
      <c r="AN464" s="200"/>
      <c r="AO464" s="200"/>
      <c r="AP464" s="200"/>
      <c r="AQ464" s="200"/>
      <c r="AR464" s="200"/>
      <c r="AS464" s="200"/>
      <c r="AT464" s="200"/>
      <c r="AU464" s="200"/>
      <c r="AV464" s="200"/>
      <c r="AW464" s="200"/>
      <c r="AX464" s="200"/>
      <c r="AY464" s="200"/>
      <c r="AZ464" s="200"/>
      <c r="BA464" s="200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 ht="13.8">
      <c r="A465" s="1"/>
      <c r="B465" s="1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  <c r="AH465" s="200"/>
      <c r="AI465" s="200"/>
      <c r="AJ465" s="200"/>
      <c r="AK465" s="200"/>
      <c r="AL465" s="200"/>
      <c r="AM465" s="200"/>
      <c r="AN465" s="200"/>
      <c r="AO465" s="200"/>
      <c r="AP465" s="200"/>
      <c r="AQ465" s="200"/>
      <c r="AR465" s="200"/>
      <c r="AS465" s="200"/>
      <c r="AT465" s="200"/>
      <c r="AU465" s="200"/>
      <c r="AV465" s="200"/>
      <c r="AW465" s="200"/>
      <c r="AX465" s="200"/>
      <c r="AY465" s="200"/>
      <c r="AZ465" s="200"/>
      <c r="BA465" s="200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 ht="13.8">
      <c r="A466" s="1"/>
      <c r="B466" s="1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  <c r="AK466" s="200"/>
      <c r="AL466" s="200"/>
      <c r="AM466" s="200"/>
      <c r="AN466" s="200"/>
      <c r="AO466" s="200"/>
      <c r="AP466" s="200"/>
      <c r="AQ466" s="200"/>
      <c r="AR466" s="200"/>
      <c r="AS466" s="200"/>
      <c r="AT466" s="200"/>
      <c r="AU466" s="200"/>
      <c r="AV466" s="200"/>
      <c r="AW466" s="200"/>
      <c r="AX466" s="200"/>
      <c r="AY466" s="200"/>
      <c r="AZ466" s="200"/>
      <c r="BA466" s="200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 ht="13.8">
      <c r="A467" s="1"/>
      <c r="B467" s="1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  <c r="AH467" s="200"/>
      <c r="AI467" s="200"/>
      <c r="AJ467" s="200"/>
      <c r="AK467" s="200"/>
      <c r="AL467" s="200"/>
      <c r="AM467" s="200"/>
      <c r="AN467" s="200"/>
      <c r="AO467" s="200"/>
      <c r="AP467" s="200"/>
      <c r="AQ467" s="200"/>
      <c r="AR467" s="200"/>
      <c r="AS467" s="200"/>
      <c r="AT467" s="200"/>
      <c r="AU467" s="200"/>
      <c r="AV467" s="200"/>
      <c r="AW467" s="200"/>
      <c r="AX467" s="200"/>
      <c r="AY467" s="200"/>
      <c r="AZ467" s="200"/>
      <c r="BA467" s="200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 ht="13.8">
      <c r="A468" s="1"/>
      <c r="B468" s="1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  <c r="AH468" s="200"/>
      <c r="AI468" s="200"/>
      <c r="AJ468" s="200"/>
      <c r="AK468" s="200"/>
      <c r="AL468" s="200"/>
      <c r="AM468" s="200"/>
      <c r="AN468" s="200"/>
      <c r="AO468" s="200"/>
      <c r="AP468" s="200"/>
      <c r="AQ468" s="200"/>
      <c r="AR468" s="200"/>
      <c r="AS468" s="200"/>
      <c r="AT468" s="200"/>
      <c r="AU468" s="200"/>
      <c r="AV468" s="200"/>
      <c r="AW468" s="200"/>
      <c r="AX468" s="200"/>
      <c r="AY468" s="200"/>
      <c r="AZ468" s="200"/>
      <c r="BA468" s="200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 ht="13.8">
      <c r="A469" s="1"/>
      <c r="B469" s="1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0"/>
      <c r="AK469" s="200"/>
      <c r="AL469" s="200"/>
      <c r="AM469" s="200"/>
      <c r="AN469" s="200"/>
      <c r="AO469" s="200"/>
      <c r="AP469" s="200"/>
      <c r="AQ469" s="200"/>
      <c r="AR469" s="200"/>
      <c r="AS469" s="200"/>
      <c r="AT469" s="200"/>
      <c r="AU469" s="200"/>
      <c r="AV469" s="200"/>
      <c r="AW469" s="200"/>
      <c r="AX469" s="200"/>
      <c r="AY469" s="200"/>
      <c r="AZ469" s="200"/>
      <c r="BA469" s="200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 ht="13.8">
      <c r="A470" s="1"/>
      <c r="B470" s="1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  <c r="AH470" s="200"/>
      <c r="AI470" s="200"/>
      <c r="AJ470" s="200"/>
      <c r="AK470" s="200"/>
      <c r="AL470" s="200"/>
      <c r="AM470" s="200"/>
      <c r="AN470" s="200"/>
      <c r="AO470" s="200"/>
      <c r="AP470" s="200"/>
      <c r="AQ470" s="200"/>
      <c r="AR470" s="200"/>
      <c r="AS470" s="200"/>
      <c r="AT470" s="200"/>
      <c r="AU470" s="200"/>
      <c r="AV470" s="200"/>
      <c r="AW470" s="200"/>
      <c r="AX470" s="200"/>
      <c r="AY470" s="200"/>
      <c r="AZ470" s="200"/>
      <c r="BA470" s="200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 ht="13.8">
      <c r="A471" s="1"/>
      <c r="B471" s="1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  <c r="AH471" s="200"/>
      <c r="AI471" s="200"/>
      <c r="AJ471" s="200"/>
      <c r="AK471" s="200"/>
      <c r="AL471" s="200"/>
      <c r="AM471" s="200"/>
      <c r="AN471" s="200"/>
      <c r="AO471" s="200"/>
      <c r="AP471" s="200"/>
      <c r="AQ471" s="200"/>
      <c r="AR471" s="200"/>
      <c r="AS471" s="200"/>
      <c r="AT471" s="200"/>
      <c r="AU471" s="200"/>
      <c r="AV471" s="200"/>
      <c r="AW471" s="200"/>
      <c r="AX471" s="200"/>
      <c r="AY471" s="200"/>
      <c r="AZ471" s="200"/>
      <c r="BA471" s="200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 ht="13.8">
      <c r="A472" s="1"/>
      <c r="B472" s="1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0"/>
      <c r="AK472" s="200"/>
      <c r="AL472" s="200"/>
      <c r="AM472" s="200"/>
      <c r="AN472" s="200"/>
      <c r="AO472" s="200"/>
      <c r="AP472" s="200"/>
      <c r="AQ472" s="200"/>
      <c r="AR472" s="200"/>
      <c r="AS472" s="200"/>
      <c r="AT472" s="200"/>
      <c r="AU472" s="200"/>
      <c r="AV472" s="200"/>
      <c r="AW472" s="200"/>
      <c r="AX472" s="200"/>
      <c r="AY472" s="200"/>
      <c r="AZ472" s="200"/>
      <c r="BA472" s="200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 ht="13.8">
      <c r="A473" s="1"/>
      <c r="B473" s="1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  <c r="AK473" s="200"/>
      <c r="AL473" s="200"/>
      <c r="AM473" s="200"/>
      <c r="AN473" s="200"/>
      <c r="AO473" s="200"/>
      <c r="AP473" s="200"/>
      <c r="AQ473" s="200"/>
      <c r="AR473" s="200"/>
      <c r="AS473" s="200"/>
      <c r="AT473" s="200"/>
      <c r="AU473" s="200"/>
      <c r="AV473" s="200"/>
      <c r="AW473" s="200"/>
      <c r="AX473" s="200"/>
      <c r="AY473" s="200"/>
      <c r="AZ473" s="200"/>
      <c r="BA473" s="200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 ht="13.8">
      <c r="A474" s="1"/>
      <c r="B474" s="1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  <c r="AK474" s="200"/>
      <c r="AL474" s="200"/>
      <c r="AM474" s="200"/>
      <c r="AN474" s="200"/>
      <c r="AO474" s="200"/>
      <c r="AP474" s="200"/>
      <c r="AQ474" s="200"/>
      <c r="AR474" s="200"/>
      <c r="AS474" s="200"/>
      <c r="AT474" s="200"/>
      <c r="AU474" s="200"/>
      <c r="AV474" s="200"/>
      <c r="AW474" s="200"/>
      <c r="AX474" s="200"/>
      <c r="AY474" s="200"/>
      <c r="AZ474" s="200"/>
      <c r="BA474" s="200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 ht="13.8">
      <c r="A475" s="1"/>
      <c r="B475" s="1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0"/>
      <c r="AK475" s="200"/>
      <c r="AL475" s="200"/>
      <c r="AM475" s="200"/>
      <c r="AN475" s="200"/>
      <c r="AO475" s="200"/>
      <c r="AP475" s="200"/>
      <c r="AQ475" s="200"/>
      <c r="AR475" s="200"/>
      <c r="AS475" s="200"/>
      <c r="AT475" s="200"/>
      <c r="AU475" s="200"/>
      <c r="AV475" s="200"/>
      <c r="AW475" s="200"/>
      <c r="AX475" s="200"/>
      <c r="AY475" s="200"/>
      <c r="AZ475" s="200"/>
      <c r="BA475" s="200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 ht="13.8">
      <c r="A476" s="1"/>
      <c r="B476" s="1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  <c r="AH476" s="200"/>
      <c r="AI476" s="200"/>
      <c r="AJ476" s="200"/>
      <c r="AK476" s="200"/>
      <c r="AL476" s="200"/>
      <c r="AM476" s="200"/>
      <c r="AN476" s="200"/>
      <c r="AO476" s="200"/>
      <c r="AP476" s="200"/>
      <c r="AQ476" s="200"/>
      <c r="AR476" s="200"/>
      <c r="AS476" s="200"/>
      <c r="AT476" s="200"/>
      <c r="AU476" s="200"/>
      <c r="AV476" s="200"/>
      <c r="AW476" s="200"/>
      <c r="AX476" s="200"/>
      <c r="AY476" s="200"/>
      <c r="AZ476" s="200"/>
      <c r="BA476" s="200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 ht="13.8">
      <c r="A477" s="1"/>
      <c r="B477" s="1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0"/>
      <c r="AK477" s="200"/>
      <c r="AL477" s="200"/>
      <c r="AM477" s="200"/>
      <c r="AN477" s="200"/>
      <c r="AO477" s="200"/>
      <c r="AP477" s="200"/>
      <c r="AQ477" s="200"/>
      <c r="AR477" s="200"/>
      <c r="AS477" s="200"/>
      <c r="AT477" s="200"/>
      <c r="AU477" s="200"/>
      <c r="AV477" s="200"/>
      <c r="AW477" s="200"/>
      <c r="AX477" s="200"/>
      <c r="AY477" s="200"/>
      <c r="AZ477" s="200"/>
      <c r="BA477" s="200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 ht="13.8">
      <c r="A478" s="1"/>
      <c r="B478" s="1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0"/>
      <c r="AK478" s="200"/>
      <c r="AL478" s="200"/>
      <c r="AM478" s="200"/>
      <c r="AN478" s="200"/>
      <c r="AO478" s="200"/>
      <c r="AP478" s="200"/>
      <c r="AQ478" s="200"/>
      <c r="AR478" s="200"/>
      <c r="AS478" s="200"/>
      <c r="AT478" s="200"/>
      <c r="AU478" s="200"/>
      <c r="AV478" s="200"/>
      <c r="AW478" s="200"/>
      <c r="AX478" s="200"/>
      <c r="AY478" s="200"/>
      <c r="AZ478" s="200"/>
      <c r="BA478" s="200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 ht="13.8">
      <c r="A479" s="1"/>
      <c r="B479" s="1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  <c r="AH479" s="200"/>
      <c r="AI479" s="200"/>
      <c r="AJ479" s="200"/>
      <c r="AK479" s="200"/>
      <c r="AL479" s="200"/>
      <c r="AM479" s="200"/>
      <c r="AN479" s="200"/>
      <c r="AO479" s="200"/>
      <c r="AP479" s="200"/>
      <c r="AQ479" s="200"/>
      <c r="AR479" s="200"/>
      <c r="AS479" s="200"/>
      <c r="AT479" s="200"/>
      <c r="AU479" s="200"/>
      <c r="AV479" s="200"/>
      <c r="AW479" s="200"/>
      <c r="AX479" s="200"/>
      <c r="AY479" s="200"/>
      <c r="AZ479" s="200"/>
      <c r="BA479" s="200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 ht="13.8">
      <c r="A480" s="1"/>
      <c r="B480" s="1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  <c r="AH480" s="200"/>
      <c r="AI480" s="200"/>
      <c r="AJ480" s="200"/>
      <c r="AK480" s="200"/>
      <c r="AL480" s="200"/>
      <c r="AM480" s="200"/>
      <c r="AN480" s="200"/>
      <c r="AO480" s="200"/>
      <c r="AP480" s="200"/>
      <c r="AQ480" s="200"/>
      <c r="AR480" s="200"/>
      <c r="AS480" s="200"/>
      <c r="AT480" s="200"/>
      <c r="AU480" s="200"/>
      <c r="AV480" s="200"/>
      <c r="AW480" s="200"/>
      <c r="AX480" s="200"/>
      <c r="AY480" s="200"/>
      <c r="AZ480" s="200"/>
      <c r="BA480" s="200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 ht="13.8">
      <c r="A481" s="1"/>
      <c r="B481" s="1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  <c r="AH481" s="200"/>
      <c r="AI481" s="200"/>
      <c r="AJ481" s="200"/>
      <c r="AK481" s="200"/>
      <c r="AL481" s="200"/>
      <c r="AM481" s="200"/>
      <c r="AN481" s="200"/>
      <c r="AO481" s="200"/>
      <c r="AP481" s="200"/>
      <c r="AQ481" s="200"/>
      <c r="AR481" s="200"/>
      <c r="AS481" s="200"/>
      <c r="AT481" s="200"/>
      <c r="AU481" s="200"/>
      <c r="AV481" s="200"/>
      <c r="AW481" s="200"/>
      <c r="AX481" s="200"/>
      <c r="AY481" s="200"/>
      <c r="AZ481" s="200"/>
      <c r="BA481" s="200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 ht="13.8">
      <c r="A482" s="1"/>
      <c r="B482" s="1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0"/>
      <c r="AK482" s="200"/>
      <c r="AL482" s="200"/>
      <c r="AM482" s="200"/>
      <c r="AN482" s="200"/>
      <c r="AO482" s="200"/>
      <c r="AP482" s="200"/>
      <c r="AQ482" s="200"/>
      <c r="AR482" s="200"/>
      <c r="AS482" s="200"/>
      <c r="AT482" s="200"/>
      <c r="AU482" s="200"/>
      <c r="AV482" s="200"/>
      <c r="AW482" s="200"/>
      <c r="AX482" s="200"/>
      <c r="AY482" s="200"/>
      <c r="AZ482" s="200"/>
      <c r="BA482" s="200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 ht="13.8">
      <c r="A483" s="1"/>
      <c r="B483" s="1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  <c r="AH483" s="200"/>
      <c r="AI483" s="200"/>
      <c r="AJ483" s="200"/>
      <c r="AK483" s="200"/>
      <c r="AL483" s="200"/>
      <c r="AM483" s="200"/>
      <c r="AN483" s="200"/>
      <c r="AO483" s="200"/>
      <c r="AP483" s="200"/>
      <c r="AQ483" s="200"/>
      <c r="AR483" s="200"/>
      <c r="AS483" s="200"/>
      <c r="AT483" s="200"/>
      <c r="AU483" s="200"/>
      <c r="AV483" s="200"/>
      <c r="AW483" s="200"/>
      <c r="AX483" s="200"/>
      <c r="AY483" s="200"/>
      <c r="AZ483" s="200"/>
      <c r="BA483" s="200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 ht="13.8">
      <c r="A484" s="1"/>
      <c r="B484" s="1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0"/>
      <c r="AK484" s="200"/>
      <c r="AL484" s="200"/>
      <c r="AM484" s="200"/>
      <c r="AN484" s="200"/>
      <c r="AO484" s="200"/>
      <c r="AP484" s="200"/>
      <c r="AQ484" s="200"/>
      <c r="AR484" s="200"/>
      <c r="AS484" s="200"/>
      <c r="AT484" s="200"/>
      <c r="AU484" s="200"/>
      <c r="AV484" s="200"/>
      <c r="AW484" s="200"/>
      <c r="AX484" s="200"/>
      <c r="AY484" s="200"/>
      <c r="AZ484" s="200"/>
      <c r="BA484" s="200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 ht="13.8">
      <c r="A485" s="1"/>
      <c r="B485" s="1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  <c r="AH485" s="200"/>
      <c r="AI485" s="200"/>
      <c r="AJ485" s="200"/>
      <c r="AK485" s="200"/>
      <c r="AL485" s="200"/>
      <c r="AM485" s="200"/>
      <c r="AN485" s="200"/>
      <c r="AO485" s="200"/>
      <c r="AP485" s="200"/>
      <c r="AQ485" s="200"/>
      <c r="AR485" s="200"/>
      <c r="AS485" s="200"/>
      <c r="AT485" s="200"/>
      <c r="AU485" s="200"/>
      <c r="AV485" s="200"/>
      <c r="AW485" s="200"/>
      <c r="AX485" s="200"/>
      <c r="AY485" s="200"/>
      <c r="AZ485" s="200"/>
      <c r="BA485" s="200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 ht="13.8">
      <c r="A486" s="1"/>
      <c r="B486" s="1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  <c r="AH486" s="200"/>
      <c r="AI486" s="200"/>
      <c r="AJ486" s="200"/>
      <c r="AK486" s="200"/>
      <c r="AL486" s="200"/>
      <c r="AM486" s="200"/>
      <c r="AN486" s="200"/>
      <c r="AO486" s="200"/>
      <c r="AP486" s="200"/>
      <c r="AQ486" s="200"/>
      <c r="AR486" s="200"/>
      <c r="AS486" s="200"/>
      <c r="AT486" s="200"/>
      <c r="AU486" s="200"/>
      <c r="AV486" s="200"/>
      <c r="AW486" s="200"/>
      <c r="AX486" s="200"/>
      <c r="AY486" s="200"/>
      <c r="AZ486" s="200"/>
      <c r="BA486" s="200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 ht="13.8">
      <c r="A487" s="1"/>
      <c r="B487" s="1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  <c r="AH487" s="200"/>
      <c r="AI487" s="200"/>
      <c r="AJ487" s="200"/>
      <c r="AK487" s="200"/>
      <c r="AL487" s="200"/>
      <c r="AM487" s="200"/>
      <c r="AN487" s="200"/>
      <c r="AO487" s="200"/>
      <c r="AP487" s="200"/>
      <c r="AQ487" s="200"/>
      <c r="AR487" s="200"/>
      <c r="AS487" s="200"/>
      <c r="AT487" s="200"/>
      <c r="AU487" s="200"/>
      <c r="AV487" s="200"/>
      <c r="AW487" s="200"/>
      <c r="AX487" s="200"/>
      <c r="AY487" s="200"/>
      <c r="AZ487" s="200"/>
      <c r="BA487" s="200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 ht="13.8">
      <c r="A488" s="1"/>
      <c r="B488" s="1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  <c r="AH488" s="200"/>
      <c r="AI488" s="200"/>
      <c r="AJ488" s="200"/>
      <c r="AK488" s="200"/>
      <c r="AL488" s="200"/>
      <c r="AM488" s="200"/>
      <c r="AN488" s="200"/>
      <c r="AO488" s="200"/>
      <c r="AP488" s="200"/>
      <c r="AQ488" s="200"/>
      <c r="AR488" s="200"/>
      <c r="AS488" s="200"/>
      <c r="AT488" s="200"/>
      <c r="AU488" s="200"/>
      <c r="AV488" s="200"/>
      <c r="AW488" s="200"/>
      <c r="AX488" s="200"/>
      <c r="AY488" s="200"/>
      <c r="AZ488" s="200"/>
      <c r="BA488" s="200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 ht="13.8">
      <c r="A489" s="1"/>
      <c r="B489" s="1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  <c r="AH489" s="200"/>
      <c r="AI489" s="200"/>
      <c r="AJ489" s="200"/>
      <c r="AK489" s="200"/>
      <c r="AL489" s="200"/>
      <c r="AM489" s="200"/>
      <c r="AN489" s="200"/>
      <c r="AO489" s="200"/>
      <c r="AP489" s="200"/>
      <c r="AQ489" s="200"/>
      <c r="AR489" s="200"/>
      <c r="AS489" s="200"/>
      <c r="AT489" s="200"/>
      <c r="AU489" s="200"/>
      <c r="AV489" s="200"/>
      <c r="AW489" s="200"/>
      <c r="AX489" s="200"/>
      <c r="AY489" s="200"/>
      <c r="AZ489" s="200"/>
      <c r="BA489" s="200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 ht="13.8">
      <c r="A490" s="1"/>
      <c r="B490" s="1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  <c r="AK490" s="200"/>
      <c r="AL490" s="200"/>
      <c r="AM490" s="200"/>
      <c r="AN490" s="200"/>
      <c r="AO490" s="200"/>
      <c r="AP490" s="200"/>
      <c r="AQ490" s="200"/>
      <c r="AR490" s="200"/>
      <c r="AS490" s="200"/>
      <c r="AT490" s="200"/>
      <c r="AU490" s="200"/>
      <c r="AV490" s="200"/>
      <c r="AW490" s="200"/>
      <c r="AX490" s="200"/>
      <c r="AY490" s="200"/>
      <c r="AZ490" s="200"/>
      <c r="BA490" s="200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 ht="13.8">
      <c r="A491" s="1"/>
      <c r="B491" s="1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  <c r="AH491" s="200"/>
      <c r="AI491" s="200"/>
      <c r="AJ491" s="200"/>
      <c r="AK491" s="200"/>
      <c r="AL491" s="200"/>
      <c r="AM491" s="200"/>
      <c r="AN491" s="200"/>
      <c r="AO491" s="200"/>
      <c r="AP491" s="200"/>
      <c r="AQ491" s="200"/>
      <c r="AR491" s="200"/>
      <c r="AS491" s="200"/>
      <c r="AT491" s="200"/>
      <c r="AU491" s="200"/>
      <c r="AV491" s="200"/>
      <c r="AW491" s="200"/>
      <c r="AX491" s="200"/>
      <c r="AY491" s="200"/>
      <c r="AZ491" s="200"/>
      <c r="BA491" s="200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 ht="13.8">
      <c r="A492" s="1"/>
      <c r="B492" s="1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  <c r="AH492" s="200"/>
      <c r="AI492" s="200"/>
      <c r="AJ492" s="200"/>
      <c r="AK492" s="200"/>
      <c r="AL492" s="200"/>
      <c r="AM492" s="200"/>
      <c r="AN492" s="200"/>
      <c r="AO492" s="200"/>
      <c r="AP492" s="200"/>
      <c r="AQ492" s="200"/>
      <c r="AR492" s="200"/>
      <c r="AS492" s="200"/>
      <c r="AT492" s="200"/>
      <c r="AU492" s="200"/>
      <c r="AV492" s="200"/>
      <c r="AW492" s="200"/>
      <c r="AX492" s="200"/>
      <c r="AY492" s="200"/>
      <c r="AZ492" s="200"/>
      <c r="BA492" s="200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 ht="13.8">
      <c r="A493" s="1"/>
      <c r="B493" s="1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  <c r="AH493" s="200"/>
      <c r="AI493" s="200"/>
      <c r="AJ493" s="200"/>
      <c r="AK493" s="200"/>
      <c r="AL493" s="200"/>
      <c r="AM493" s="200"/>
      <c r="AN493" s="200"/>
      <c r="AO493" s="200"/>
      <c r="AP493" s="200"/>
      <c r="AQ493" s="200"/>
      <c r="AR493" s="200"/>
      <c r="AS493" s="200"/>
      <c r="AT493" s="200"/>
      <c r="AU493" s="200"/>
      <c r="AV493" s="200"/>
      <c r="AW493" s="200"/>
      <c r="AX493" s="200"/>
      <c r="AY493" s="200"/>
      <c r="AZ493" s="200"/>
      <c r="BA493" s="200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 ht="13.8">
      <c r="A494" s="1"/>
      <c r="B494" s="1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  <c r="AK494" s="200"/>
      <c r="AL494" s="200"/>
      <c r="AM494" s="200"/>
      <c r="AN494" s="200"/>
      <c r="AO494" s="200"/>
      <c r="AP494" s="200"/>
      <c r="AQ494" s="200"/>
      <c r="AR494" s="200"/>
      <c r="AS494" s="200"/>
      <c r="AT494" s="200"/>
      <c r="AU494" s="200"/>
      <c r="AV494" s="200"/>
      <c r="AW494" s="200"/>
      <c r="AX494" s="200"/>
      <c r="AY494" s="200"/>
      <c r="AZ494" s="200"/>
      <c r="BA494" s="200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 ht="13.8">
      <c r="A495" s="1"/>
      <c r="B495" s="1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  <c r="AH495" s="200"/>
      <c r="AI495" s="200"/>
      <c r="AJ495" s="200"/>
      <c r="AK495" s="200"/>
      <c r="AL495" s="200"/>
      <c r="AM495" s="200"/>
      <c r="AN495" s="200"/>
      <c r="AO495" s="200"/>
      <c r="AP495" s="200"/>
      <c r="AQ495" s="200"/>
      <c r="AR495" s="200"/>
      <c r="AS495" s="200"/>
      <c r="AT495" s="200"/>
      <c r="AU495" s="200"/>
      <c r="AV495" s="200"/>
      <c r="AW495" s="200"/>
      <c r="AX495" s="200"/>
      <c r="AY495" s="200"/>
      <c r="AZ495" s="200"/>
      <c r="BA495" s="200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 ht="13.8">
      <c r="A496" s="1"/>
      <c r="B496" s="1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  <c r="AH496" s="200"/>
      <c r="AI496" s="200"/>
      <c r="AJ496" s="200"/>
      <c r="AK496" s="200"/>
      <c r="AL496" s="200"/>
      <c r="AM496" s="200"/>
      <c r="AN496" s="200"/>
      <c r="AO496" s="200"/>
      <c r="AP496" s="200"/>
      <c r="AQ496" s="200"/>
      <c r="AR496" s="200"/>
      <c r="AS496" s="200"/>
      <c r="AT496" s="200"/>
      <c r="AU496" s="200"/>
      <c r="AV496" s="200"/>
      <c r="AW496" s="200"/>
      <c r="AX496" s="200"/>
      <c r="AY496" s="200"/>
      <c r="AZ496" s="200"/>
      <c r="BA496" s="200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 ht="13.8">
      <c r="A497" s="1"/>
      <c r="B497" s="1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  <c r="AK497" s="200"/>
      <c r="AL497" s="200"/>
      <c r="AM497" s="200"/>
      <c r="AN497" s="200"/>
      <c r="AO497" s="200"/>
      <c r="AP497" s="200"/>
      <c r="AQ497" s="200"/>
      <c r="AR497" s="200"/>
      <c r="AS497" s="200"/>
      <c r="AT497" s="200"/>
      <c r="AU497" s="200"/>
      <c r="AV497" s="200"/>
      <c r="AW497" s="200"/>
      <c r="AX497" s="200"/>
      <c r="AY497" s="200"/>
      <c r="AZ497" s="200"/>
      <c r="BA497" s="200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 ht="13.8">
      <c r="A498" s="1"/>
      <c r="B498" s="1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0"/>
      <c r="AK498" s="200"/>
      <c r="AL498" s="200"/>
      <c r="AM498" s="200"/>
      <c r="AN498" s="200"/>
      <c r="AO498" s="200"/>
      <c r="AP498" s="200"/>
      <c r="AQ498" s="200"/>
      <c r="AR498" s="200"/>
      <c r="AS498" s="200"/>
      <c r="AT498" s="200"/>
      <c r="AU498" s="200"/>
      <c r="AV498" s="200"/>
      <c r="AW498" s="200"/>
      <c r="AX498" s="200"/>
      <c r="AY498" s="200"/>
      <c r="AZ498" s="200"/>
      <c r="BA498" s="200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 ht="13.8">
      <c r="A499" s="1"/>
      <c r="B499" s="1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  <c r="AH499" s="200"/>
      <c r="AI499" s="200"/>
      <c r="AJ499" s="200"/>
      <c r="AK499" s="200"/>
      <c r="AL499" s="200"/>
      <c r="AM499" s="200"/>
      <c r="AN499" s="200"/>
      <c r="AO499" s="200"/>
      <c r="AP499" s="200"/>
      <c r="AQ499" s="200"/>
      <c r="AR499" s="200"/>
      <c r="AS499" s="200"/>
      <c r="AT499" s="200"/>
      <c r="AU499" s="200"/>
      <c r="AV499" s="200"/>
      <c r="AW499" s="200"/>
      <c r="AX499" s="200"/>
      <c r="AY499" s="200"/>
      <c r="AZ499" s="200"/>
      <c r="BA499" s="200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 ht="13.8">
      <c r="A500" s="1"/>
      <c r="B500" s="1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0"/>
      <c r="AK500" s="200"/>
      <c r="AL500" s="200"/>
      <c r="AM500" s="200"/>
      <c r="AN500" s="200"/>
      <c r="AO500" s="200"/>
      <c r="AP500" s="200"/>
      <c r="AQ500" s="200"/>
      <c r="AR500" s="200"/>
      <c r="AS500" s="200"/>
      <c r="AT500" s="200"/>
      <c r="AU500" s="200"/>
      <c r="AV500" s="200"/>
      <c r="AW500" s="200"/>
      <c r="AX500" s="200"/>
      <c r="AY500" s="200"/>
      <c r="AZ500" s="200"/>
      <c r="BA500" s="200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spans="1:70" ht="13.8">
      <c r="A501" s="1"/>
      <c r="B501" s="1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  <c r="AH501" s="200"/>
      <c r="AI501" s="200"/>
      <c r="AJ501" s="200"/>
      <c r="AK501" s="200"/>
      <c r="AL501" s="200"/>
      <c r="AM501" s="200"/>
      <c r="AN501" s="200"/>
      <c r="AO501" s="200"/>
      <c r="AP501" s="200"/>
      <c r="AQ501" s="200"/>
      <c r="AR501" s="200"/>
      <c r="AS501" s="200"/>
      <c r="AT501" s="200"/>
      <c r="AU501" s="200"/>
      <c r="AV501" s="200"/>
      <c r="AW501" s="200"/>
      <c r="AX501" s="200"/>
      <c r="AY501" s="200"/>
      <c r="AZ501" s="200"/>
      <c r="BA501" s="200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spans="1:70" ht="13.8">
      <c r="A502" s="1"/>
      <c r="B502" s="1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  <c r="AH502" s="200"/>
      <c r="AI502" s="200"/>
      <c r="AJ502" s="200"/>
      <c r="AK502" s="200"/>
      <c r="AL502" s="200"/>
      <c r="AM502" s="200"/>
      <c r="AN502" s="200"/>
      <c r="AO502" s="200"/>
      <c r="AP502" s="200"/>
      <c r="AQ502" s="200"/>
      <c r="AR502" s="200"/>
      <c r="AS502" s="200"/>
      <c r="AT502" s="200"/>
      <c r="AU502" s="200"/>
      <c r="AV502" s="200"/>
      <c r="AW502" s="200"/>
      <c r="AX502" s="200"/>
      <c r="AY502" s="200"/>
      <c r="AZ502" s="200"/>
      <c r="BA502" s="200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spans="1:70" ht="13.8">
      <c r="A503" s="1"/>
      <c r="B503" s="1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/>
      <c r="AK503" s="200"/>
      <c r="AL503" s="200"/>
      <c r="AM503" s="200"/>
      <c r="AN503" s="200"/>
      <c r="AO503" s="200"/>
      <c r="AP503" s="200"/>
      <c r="AQ503" s="200"/>
      <c r="AR503" s="200"/>
      <c r="AS503" s="200"/>
      <c r="AT503" s="200"/>
      <c r="AU503" s="200"/>
      <c r="AV503" s="200"/>
      <c r="AW503" s="200"/>
      <c r="AX503" s="200"/>
      <c r="AY503" s="200"/>
      <c r="AZ503" s="200"/>
      <c r="BA503" s="200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spans="1:70" ht="13.8">
      <c r="A504" s="1"/>
      <c r="B504" s="1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  <c r="AH504" s="200"/>
      <c r="AI504" s="200"/>
      <c r="AJ504" s="200"/>
      <c r="AK504" s="200"/>
      <c r="AL504" s="200"/>
      <c r="AM504" s="200"/>
      <c r="AN504" s="200"/>
      <c r="AO504" s="200"/>
      <c r="AP504" s="200"/>
      <c r="AQ504" s="200"/>
      <c r="AR504" s="200"/>
      <c r="AS504" s="200"/>
      <c r="AT504" s="200"/>
      <c r="AU504" s="200"/>
      <c r="AV504" s="200"/>
      <c r="AW504" s="200"/>
      <c r="AX504" s="200"/>
      <c r="AY504" s="200"/>
      <c r="AZ504" s="200"/>
      <c r="BA504" s="200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spans="1:70" ht="13.8">
      <c r="A505" s="1"/>
      <c r="B505" s="1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  <c r="AH505" s="200"/>
      <c r="AI505" s="200"/>
      <c r="AJ505" s="200"/>
      <c r="AK505" s="200"/>
      <c r="AL505" s="200"/>
      <c r="AM505" s="200"/>
      <c r="AN505" s="200"/>
      <c r="AO505" s="200"/>
      <c r="AP505" s="200"/>
      <c r="AQ505" s="200"/>
      <c r="AR505" s="200"/>
      <c r="AS505" s="200"/>
      <c r="AT505" s="200"/>
      <c r="AU505" s="200"/>
      <c r="AV505" s="200"/>
      <c r="AW505" s="200"/>
      <c r="AX505" s="200"/>
      <c r="AY505" s="200"/>
      <c r="AZ505" s="200"/>
      <c r="BA505" s="200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spans="1:70" ht="13.8">
      <c r="A506" s="1"/>
      <c r="B506" s="1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0"/>
      <c r="AK506" s="200"/>
      <c r="AL506" s="200"/>
      <c r="AM506" s="200"/>
      <c r="AN506" s="200"/>
      <c r="AO506" s="200"/>
      <c r="AP506" s="200"/>
      <c r="AQ506" s="200"/>
      <c r="AR506" s="200"/>
      <c r="AS506" s="200"/>
      <c r="AT506" s="200"/>
      <c r="AU506" s="200"/>
      <c r="AV506" s="200"/>
      <c r="AW506" s="200"/>
      <c r="AX506" s="200"/>
      <c r="AY506" s="200"/>
      <c r="AZ506" s="200"/>
      <c r="BA506" s="200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spans="1:70" ht="13.8">
      <c r="A507" s="1"/>
      <c r="B507" s="1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  <c r="AH507" s="200"/>
      <c r="AI507" s="200"/>
      <c r="AJ507" s="200"/>
      <c r="AK507" s="200"/>
      <c r="AL507" s="200"/>
      <c r="AM507" s="200"/>
      <c r="AN507" s="200"/>
      <c r="AO507" s="200"/>
      <c r="AP507" s="200"/>
      <c r="AQ507" s="200"/>
      <c r="AR507" s="200"/>
      <c r="AS507" s="200"/>
      <c r="AT507" s="200"/>
      <c r="AU507" s="200"/>
      <c r="AV507" s="200"/>
      <c r="AW507" s="200"/>
      <c r="AX507" s="200"/>
      <c r="AY507" s="200"/>
      <c r="AZ507" s="200"/>
      <c r="BA507" s="200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spans="1:70" ht="13.8">
      <c r="A508" s="1"/>
      <c r="B508" s="1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  <c r="AH508" s="200"/>
      <c r="AI508" s="200"/>
      <c r="AJ508" s="200"/>
      <c r="AK508" s="200"/>
      <c r="AL508" s="200"/>
      <c r="AM508" s="200"/>
      <c r="AN508" s="200"/>
      <c r="AO508" s="200"/>
      <c r="AP508" s="200"/>
      <c r="AQ508" s="200"/>
      <c r="AR508" s="200"/>
      <c r="AS508" s="200"/>
      <c r="AT508" s="200"/>
      <c r="AU508" s="200"/>
      <c r="AV508" s="200"/>
      <c r="AW508" s="200"/>
      <c r="AX508" s="200"/>
      <c r="AY508" s="200"/>
      <c r="AZ508" s="200"/>
      <c r="BA508" s="200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spans="1:70" ht="13.8">
      <c r="A509" s="1"/>
      <c r="B509" s="1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  <c r="AH509" s="200"/>
      <c r="AI509" s="200"/>
      <c r="AJ509" s="200"/>
      <c r="AK509" s="200"/>
      <c r="AL509" s="200"/>
      <c r="AM509" s="200"/>
      <c r="AN509" s="200"/>
      <c r="AO509" s="200"/>
      <c r="AP509" s="200"/>
      <c r="AQ509" s="200"/>
      <c r="AR509" s="200"/>
      <c r="AS509" s="200"/>
      <c r="AT509" s="200"/>
      <c r="AU509" s="200"/>
      <c r="AV509" s="200"/>
      <c r="AW509" s="200"/>
      <c r="AX509" s="200"/>
      <c r="AY509" s="200"/>
      <c r="AZ509" s="200"/>
      <c r="BA509" s="200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spans="1:70" ht="13.8">
      <c r="A510" s="1"/>
      <c r="B510" s="1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  <c r="AH510" s="200"/>
      <c r="AI510" s="200"/>
      <c r="AJ510" s="200"/>
      <c r="AK510" s="200"/>
      <c r="AL510" s="200"/>
      <c r="AM510" s="200"/>
      <c r="AN510" s="200"/>
      <c r="AO510" s="200"/>
      <c r="AP510" s="200"/>
      <c r="AQ510" s="200"/>
      <c r="AR510" s="200"/>
      <c r="AS510" s="200"/>
      <c r="AT510" s="200"/>
      <c r="AU510" s="200"/>
      <c r="AV510" s="200"/>
      <c r="AW510" s="200"/>
      <c r="AX510" s="200"/>
      <c r="AY510" s="200"/>
      <c r="AZ510" s="200"/>
      <c r="BA510" s="200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spans="1:70" ht="13.8">
      <c r="A511" s="1"/>
      <c r="B511" s="1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  <c r="AI511" s="200"/>
      <c r="AJ511" s="200"/>
      <c r="AK511" s="200"/>
      <c r="AL511" s="200"/>
      <c r="AM511" s="200"/>
      <c r="AN511" s="200"/>
      <c r="AO511" s="200"/>
      <c r="AP511" s="200"/>
      <c r="AQ511" s="200"/>
      <c r="AR511" s="200"/>
      <c r="AS511" s="200"/>
      <c r="AT511" s="200"/>
      <c r="AU511" s="200"/>
      <c r="AV511" s="200"/>
      <c r="AW511" s="200"/>
      <c r="AX511" s="200"/>
      <c r="AY511" s="200"/>
      <c r="AZ511" s="200"/>
      <c r="BA511" s="200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spans="1:70" ht="13.8">
      <c r="A512" s="1"/>
      <c r="B512" s="1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  <c r="AH512" s="200"/>
      <c r="AI512" s="200"/>
      <c r="AJ512" s="200"/>
      <c r="AK512" s="200"/>
      <c r="AL512" s="200"/>
      <c r="AM512" s="200"/>
      <c r="AN512" s="200"/>
      <c r="AO512" s="200"/>
      <c r="AP512" s="200"/>
      <c r="AQ512" s="200"/>
      <c r="AR512" s="200"/>
      <c r="AS512" s="200"/>
      <c r="AT512" s="200"/>
      <c r="AU512" s="200"/>
      <c r="AV512" s="200"/>
      <c r="AW512" s="200"/>
      <c r="AX512" s="200"/>
      <c r="AY512" s="200"/>
      <c r="AZ512" s="200"/>
      <c r="BA512" s="200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spans="1:70" ht="13.8">
      <c r="A513" s="1"/>
      <c r="B513" s="1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  <c r="AH513" s="200"/>
      <c r="AI513" s="200"/>
      <c r="AJ513" s="200"/>
      <c r="AK513" s="200"/>
      <c r="AL513" s="200"/>
      <c r="AM513" s="200"/>
      <c r="AN513" s="200"/>
      <c r="AO513" s="200"/>
      <c r="AP513" s="200"/>
      <c r="AQ513" s="200"/>
      <c r="AR513" s="200"/>
      <c r="AS513" s="200"/>
      <c r="AT513" s="200"/>
      <c r="AU513" s="200"/>
      <c r="AV513" s="200"/>
      <c r="AW513" s="200"/>
      <c r="AX513" s="200"/>
      <c r="AY513" s="200"/>
      <c r="AZ513" s="200"/>
      <c r="BA513" s="200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spans="1:70" ht="13.8">
      <c r="A514" s="1"/>
      <c r="B514" s="1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  <c r="AK514" s="200"/>
      <c r="AL514" s="200"/>
      <c r="AM514" s="200"/>
      <c r="AN514" s="200"/>
      <c r="AO514" s="200"/>
      <c r="AP514" s="200"/>
      <c r="AQ514" s="200"/>
      <c r="AR514" s="200"/>
      <c r="AS514" s="200"/>
      <c r="AT514" s="200"/>
      <c r="AU514" s="200"/>
      <c r="AV514" s="200"/>
      <c r="AW514" s="200"/>
      <c r="AX514" s="200"/>
      <c r="AY514" s="200"/>
      <c r="AZ514" s="200"/>
      <c r="BA514" s="200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spans="1:70" ht="13.8">
      <c r="A515" s="1"/>
      <c r="B515" s="1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200"/>
      <c r="AI515" s="200"/>
      <c r="AJ515" s="200"/>
      <c r="AK515" s="200"/>
      <c r="AL515" s="200"/>
      <c r="AM515" s="200"/>
      <c r="AN515" s="200"/>
      <c r="AO515" s="200"/>
      <c r="AP515" s="200"/>
      <c r="AQ515" s="200"/>
      <c r="AR515" s="200"/>
      <c r="AS515" s="200"/>
      <c r="AT515" s="200"/>
      <c r="AU515" s="200"/>
      <c r="AV515" s="200"/>
      <c r="AW515" s="200"/>
      <c r="AX515" s="200"/>
      <c r="AY515" s="200"/>
      <c r="AZ515" s="200"/>
      <c r="BA515" s="200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spans="1:70" ht="13.8">
      <c r="A516" s="1"/>
      <c r="B516" s="1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  <c r="AH516" s="200"/>
      <c r="AI516" s="200"/>
      <c r="AJ516" s="200"/>
      <c r="AK516" s="200"/>
      <c r="AL516" s="200"/>
      <c r="AM516" s="200"/>
      <c r="AN516" s="200"/>
      <c r="AO516" s="200"/>
      <c r="AP516" s="200"/>
      <c r="AQ516" s="200"/>
      <c r="AR516" s="200"/>
      <c r="AS516" s="200"/>
      <c r="AT516" s="200"/>
      <c r="AU516" s="200"/>
      <c r="AV516" s="200"/>
      <c r="AW516" s="200"/>
      <c r="AX516" s="200"/>
      <c r="AY516" s="200"/>
      <c r="AZ516" s="200"/>
      <c r="BA516" s="200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spans="1:70" ht="13.8">
      <c r="A517" s="1"/>
      <c r="B517" s="1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  <c r="AH517" s="200"/>
      <c r="AI517" s="200"/>
      <c r="AJ517" s="200"/>
      <c r="AK517" s="200"/>
      <c r="AL517" s="200"/>
      <c r="AM517" s="200"/>
      <c r="AN517" s="200"/>
      <c r="AO517" s="200"/>
      <c r="AP517" s="200"/>
      <c r="AQ517" s="200"/>
      <c r="AR517" s="200"/>
      <c r="AS517" s="200"/>
      <c r="AT517" s="200"/>
      <c r="AU517" s="200"/>
      <c r="AV517" s="200"/>
      <c r="AW517" s="200"/>
      <c r="AX517" s="200"/>
      <c r="AY517" s="200"/>
      <c r="AZ517" s="200"/>
      <c r="BA517" s="200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spans="1:70" ht="13.8">
      <c r="A518" s="1"/>
      <c r="B518" s="1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0"/>
      <c r="AK518" s="200"/>
      <c r="AL518" s="200"/>
      <c r="AM518" s="200"/>
      <c r="AN518" s="200"/>
      <c r="AO518" s="200"/>
      <c r="AP518" s="200"/>
      <c r="AQ518" s="200"/>
      <c r="AR518" s="200"/>
      <c r="AS518" s="200"/>
      <c r="AT518" s="200"/>
      <c r="AU518" s="200"/>
      <c r="AV518" s="200"/>
      <c r="AW518" s="200"/>
      <c r="AX518" s="200"/>
      <c r="AY518" s="200"/>
      <c r="AZ518" s="200"/>
      <c r="BA518" s="200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spans="1:70" ht="13.8">
      <c r="A519" s="1"/>
      <c r="B519" s="1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0"/>
      <c r="AK519" s="200"/>
      <c r="AL519" s="200"/>
      <c r="AM519" s="200"/>
      <c r="AN519" s="200"/>
      <c r="AO519" s="200"/>
      <c r="AP519" s="200"/>
      <c r="AQ519" s="200"/>
      <c r="AR519" s="200"/>
      <c r="AS519" s="200"/>
      <c r="AT519" s="200"/>
      <c r="AU519" s="200"/>
      <c r="AV519" s="200"/>
      <c r="AW519" s="200"/>
      <c r="AX519" s="200"/>
      <c r="AY519" s="200"/>
      <c r="AZ519" s="200"/>
      <c r="BA519" s="200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spans="1:70" ht="13.8">
      <c r="A520" s="1"/>
      <c r="B520" s="1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  <c r="AH520" s="200"/>
      <c r="AI520" s="200"/>
      <c r="AJ520" s="200"/>
      <c r="AK520" s="200"/>
      <c r="AL520" s="200"/>
      <c r="AM520" s="200"/>
      <c r="AN520" s="200"/>
      <c r="AO520" s="200"/>
      <c r="AP520" s="200"/>
      <c r="AQ520" s="200"/>
      <c r="AR520" s="200"/>
      <c r="AS520" s="200"/>
      <c r="AT520" s="200"/>
      <c r="AU520" s="200"/>
      <c r="AV520" s="200"/>
      <c r="AW520" s="200"/>
      <c r="AX520" s="200"/>
      <c r="AY520" s="200"/>
      <c r="AZ520" s="200"/>
      <c r="BA520" s="200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spans="1:70" ht="13.8">
      <c r="A521" s="1"/>
      <c r="B521" s="1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  <c r="AH521" s="200"/>
      <c r="AI521" s="200"/>
      <c r="AJ521" s="200"/>
      <c r="AK521" s="200"/>
      <c r="AL521" s="200"/>
      <c r="AM521" s="200"/>
      <c r="AN521" s="200"/>
      <c r="AO521" s="200"/>
      <c r="AP521" s="200"/>
      <c r="AQ521" s="200"/>
      <c r="AR521" s="200"/>
      <c r="AS521" s="200"/>
      <c r="AT521" s="200"/>
      <c r="AU521" s="200"/>
      <c r="AV521" s="200"/>
      <c r="AW521" s="200"/>
      <c r="AX521" s="200"/>
      <c r="AY521" s="200"/>
      <c r="AZ521" s="200"/>
      <c r="BA521" s="200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spans="1:70" ht="13.8">
      <c r="A522" s="1"/>
      <c r="B522" s="1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  <c r="AK522" s="200"/>
      <c r="AL522" s="200"/>
      <c r="AM522" s="200"/>
      <c r="AN522" s="200"/>
      <c r="AO522" s="200"/>
      <c r="AP522" s="200"/>
      <c r="AQ522" s="200"/>
      <c r="AR522" s="200"/>
      <c r="AS522" s="200"/>
      <c r="AT522" s="200"/>
      <c r="AU522" s="200"/>
      <c r="AV522" s="200"/>
      <c r="AW522" s="200"/>
      <c r="AX522" s="200"/>
      <c r="AY522" s="200"/>
      <c r="AZ522" s="200"/>
      <c r="BA522" s="200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spans="1:70" ht="13.8">
      <c r="A523" s="1"/>
      <c r="B523" s="1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  <c r="AH523" s="200"/>
      <c r="AI523" s="200"/>
      <c r="AJ523" s="200"/>
      <c r="AK523" s="200"/>
      <c r="AL523" s="200"/>
      <c r="AM523" s="200"/>
      <c r="AN523" s="200"/>
      <c r="AO523" s="200"/>
      <c r="AP523" s="200"/>
      <c r="AQ523" s="200"/>
      <c r="AR523" s="200"/>
      <c r="AS523" s="200"/>
      <c r="AT523" s="200"/>
      <c r="AU523" s="200"/>
      <c r="AV523" s="200"/>
      <c r="AW523" s="200"/>
      <c r="AX523" s="200"/>
      <c r="AY523" s="200"/>
      <c r="AZ523" s="200"/>
      <c r="BA523" s="200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spans="1:70" ht="13.8">
      <c r="A524" s="1"/>
      <c r="B524" s="1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  <c r="AH524" s="200"/>
      <c r="AI524" s="200"/>
      <c r="AJ524" s="200"/>
      <c r="AK524" s="200"/>
      <c r="AL524" s="200"/>
      <c r="AM524" s="200"/>
      <c r="AN524" s="200"/>
      <c r="AO524" s="200"/>
      <c r="AP524" s="200"/>
      <c r="AQ524" s="200"/>
      <c r="AR524" s="200"/>
      <c r="AS524" s="200"/>
      <c r="AT524" s="200"/>
      <c r="AU524" s="200"/>
      <c r="AV524" s="200"/>
      <c r="AW524" s="200"/>
      <c r="AX524" s="200"/>
      <c r="AY524" s="200"/>
      <c r="AZ524" s="200"/>
      <c r="BA524" s="200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spans="1:70" ht="13.8">
      <c r="A525" s="1"/>
      <c r="B525" s="1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0"/>
      <c r="AK525" s="200"/>
      <c r="AL525" s="200"/>
      <c r="AM525" s="200"/>
      <c r="AN525" s="200"/>
      <c r="AO525" s="200"/>
      <c r="AP525" s="200"/>
      <c r="AQ525" s="200"/>
      <c r="AR525" s="200"/>
      <c r="AS525" s="200"/>
      <c r="AT525" s="200"/>
      <c r="AU525" s="200"/>
      <c r="AV525" s="200"/>
      <c r="AW525" s="200"/>
      <c r="AX525" s="200"/>
      <c r="AY525" s="200"/>
      <c r="AZ525" s="200"/>
      <c r="BA525" s="200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spans="1:70" ht="13.8">
      <c r="A526" s="1"/>
      <c r="B526" s="1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  <c r="AH526" s="200"/>
      <c r="AI526" s="200"/>
      <c r="AJ526" s="200"/>
      <c r="AK526" s="200"/>
      <c r="AL526" s="200"/>
      <c r="AM526" s="200"/>
      <c r="AN526" s="200"/>
      <c r="AO526" s="200"/>
      <c r="AP526" s="200"/>
      <c r="AQ526" s="200"/>
      <c r="AR526" s="200"/>
      <c r="AS526" s="200"/>
      <c r="AT526" s="200"/>
      <c r="AU526" s="200"/>
      <c r="AV526" s="200"/>
      <c r="AW526" s="200"/>
      <c r="AX526" s="200"/>
      <c r="AY526" s="200"/>
      <c r="AZ526" s="200"/>
      <c r="BA526" s="200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spans="1:70" ht="13.8">
      <c r="A527" s="1"/>
      <c r="B527" s="1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  <c r="AH527" s="200"/>
      <c r="AI527" s="200"/>
      <c r="AJ527" s="200"/>
      <c r="AK527" s="200"/>
      <c r="AL527" s="200"/>
      <c r="AM527" s="200"/>
      <c r="AN527" s="200"/>
      <c r="AO527" s="200"/>
      <c r="AP527" s="200"/>
      <c r="AQ527" s="200"/>
      <c r="AR527" s="200"/>
      <c r="AS527" s="200"/>
      <c r="AT527" s="200"/>
      <c r="AU527" s="200"/>
      <c r="AV527" s="200"/>
      <c r="AW527" s="200"/>
      <c r="AX527" s="200"/>
      <c r="AY527" s="200"/>
      <c r="AZ527" s="200"/>
      <c r="BA527" s="200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spans="1:70" ht="13.8">
      <c r="A528" s="1"/>
      <c r="B528" s="1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  <c r="AH528" s="200"/>
      <c r="AI528" s="200"/>
      <c r="AJ528" s="200"/>
      <c r="AK528" s="200"/>
      <c r="AL528" s="200"/>
      <c r="AM528" s="200"/>
      <c r="AN528" s="200"/>
      <c r="AO528" s="200"/>
      <c r="AP528" s="200"/>
      <c r="AQ528" s="200"/>
      <c r="AR528" s="200"/>
      <c r="AS528" s="200"/>
      <c r="AT528" s="200"/>
      <c r="AU528" s="200"/>
      <c r="AV528" s="200"/>
      <c r="AW528" s="200"/>
      <c r="AX528" s="200"/>
      <c r="AY528" s="200"/>
      <c r="AZ528" s="200"/>
      <c r="BA528" s="200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spans="1:70" ht="13.8">
      <c r="A529" s="1"/>
      <c r="B529" s="1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  <c r="AH529" s="200"/>
      <c r="AI529" s="200"/>
      <c r="AJ529" s="200"/>
      <c r="AK529" s="200"/>
      <c r="AL529" s="200"/>
      <c r="AM529" s="200"/>
      <c r="AN529" s="200"/>
      <c r="AO529" s="200"/>
      <c r="AP529" s="200"/>
      <c r="AQ529" s="200"/>
      <c r="AR529" s="200"/>
      <c r="AS529" s="200"/>
      <c r="AT529" s="200"/>
      <c r="AU529" s="200"/>
      <c r="AV529" s="200"/>
      <c r="AW529" s="200"/>
      <c r="AX529" s="200"/>
      <c r="AY529" s="200"/>
      <c r="AZ529" s="200"/>
      <c r="BA529" s="200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spans="1:70" ht="13.8">
      <c r="A530" s="1"/>
      <c r="B530" s="1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0"/>
      <c r="AK530" s="200"/>
      <c r="AL530" s="200"/>
      <c r="AM530" s="200"/>
      <c r="AN530" s="200"/>
      <c r="AO530" s="200"/>
      <c r="AP530" s="200"/>
      <c r="AQ530" s="200"/>
      <c r="AR530" s="200"/>
      <c r="AS530" s="200"/>
      <c r="AT530" s="200"/>
      <c r="AU530" s="200"/>
      <c r="AV530" s="200"/>
      <c r="AW530" s="200"/>
      <c r="AX530" s="200"/>
      <c r="AY530" s="200"/>
      <c r="AZ530" s="200"/>
      <c r="BA530" s="200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spans="1:70" ht="13.8">
      <c r="A531" s="1"/>
      <c r="B531" s="1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  <c r="AH531" s="200"/>
      <c r="AI531" s="200"/>
      <c r="AJ531" s="200"/>
      <c r="AK531" s="200"/>
      <c r="AL531" s="200"/>
      <c r="AM531" s="200"/>
      <c r="AN531" s="200"/>
      <c r="AO531" s="200"/>
      <c r="AP531" s="200"/>
      <c r="AQ531" s="200"/>
      <c r="AR531" s="200"/>
      <c r="AS531" s="200"/>
      <c r="AT531" s="200"/>
      <c r="AU531" s="200"/>
      <c r="AV531" s="200"/>
      <c r="AW531" s="200"/>
      <c r="AX531" s="200"/>
      <c r="AY531" s="200"/>
      <c r="AZ531" s="200"/>
      <c r="BA531" s="200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spans="1:70" ht="13.8">
      <c r="A532" s="1"/>
      <c r="B532" s="1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  <c r="AH532" s="200"/>
      <c r="AI532" s="200"/>
      <c r="AJ532" s="200"/>
      <c r="AK532" s="200"/>
      <c r="AL532" s="200"/>
      <c r="AM532" s="200"/>
      <c r="AN532" s="200"/>
      <c r="AO532" s="200"/>
      <c r="AP532" s="200"/>
      <c r="AQ532" s="200"/>
      <c r="AR532" s="200"/>
      <c r="AS532" s="200"/>
      <c r="AT532" s="200"/>
      <c r="AU532" s="200"/>
      <c r="AV532" s="200"/>
      <c r="AW532" s="200"/>
      <c r="AX532" s="200"/>
      <c r="AY532" s="200"/>
      <c r="AZ532" s="200"/>
      <c r="BA532" s="200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spans="1:70" ht="13.8">
      <c r="A533" s="1"/>
      <c r="B533" s="1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  <c r="AH533" s="200"/>
      <c r="AI533" s="200"/>
      <c r="AJ533" s="200"/>
      <c r="AK533" s="200"/>
      <c r="AL533" s="200"/>
      <c r="AM533" s="200"/>
      <c r="AN533" s="200"/>
      <c r="AO533" s="200"/>
      <c r="AP533" s="200"/>
      <c r="AQ533" s="200"/>
      <c r="AR533" s="200"/>
      <c r="AS533" s="200"/>
      <c r="AT533" s="200"/>
      <c r="AU533" s="200"/>
      <c r="AV533" s="200"/>
      <c r="AW533" s="200"/>
      <c r="AX533" s="200"/>
      <c r="AY533" s="200"/>
      <c r="AZ533" s="200"/>
      <c r="BA533" s="200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spans="1:70" ht="13.8">
      <c r="A534" s="1"/>
      <c r="B534" s="1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  <c r="AH534" s="200"/>
      <c r="AI534" s="200"/>
      <c r="AJ534" s="200"/>
      <c r="AK534" s="200"/>
      <c r="AL534" s="200"/>
      <c r="AM534" s="200"/>
      <c r="AN534" s="200"/>
      <c r="AO534" s="200"/>
      <c r="AP534" s="200"/>
      <c r="AQ534" s="200"/>
      <c r="AR534" s="200"/>
      <c r="AS534" s="200"/>
      <c r="AT534" s="200"/>
      <c r="AU534" s="200"/>
      <c r="AV534" s="200"/>
      <c r="AW534" s="200"/>
      <c r="AX534" s="200"/>
      <c r="AY534" s="200"/>
      <c r="AZ534" s="200"/>
      <c r="BA534" s="200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spans="1:70" ht="13.8">
      <c r="A535" s="1"/>
      <c r="B535" s="1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  <c r="AH535" s="200"/>
      <c r="AI535" s="200"/>
      <c r="AJ535" s="200"/>
      <c r="AK535" s="200"/>
      <c r="AL535" s="200"/>
      <c r="AM535" s="200"/>
      <c r="AN535" s="200"/>
      <c r="AO535" s="200"/>
      <c r="AP535" s="200"/>
      <c r="AQ535" s="200"/>
      <c r="AR535" s="200"/>
      <c r="AS535" s="200"/>
      <c r="AT535" s="200"/>
      <c r="AU535" s="200"/>
      <c r="AV535" s="200"/>
      <c r="AW535" s="200"/>
      <c r="AX535" s="200"/>
      <c r="AY535" s="200"/>
      <c r="AZ535" s="200"/>
      <c r="BA535" s="200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spans="1:70" ht="13.8">
      <c r="A536" s="1"/>
      <c r="B536" s="1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  <c r="AH536" s="200"/>
      <c r="AI536" s="200"/>
      <c r="AJ536" s="200"/>
      <c r="AK536" s="200"/>
      <c r="AL536" s="200"/>
      <c r="AM536" s="200"/>
      <c r="AN536" s="200"/>
      <c r="AO536" s="200"/>
      <c r="AP536" s="200"/>
      <c r="AQ536" s="200"/>
      <c r="AR536" s="200"/>
      <c r="AS536" s="200"/>
      <c r="AT536" s="200"/>
      <c r="AU536" s="200"/>
      <c r="AV536" s="200"/>
      <c r="AW536" s="200"/>
      <c r="AX536" s="200"/>
      <c r="AY536" s="200"/>
      <c r="AZ536" s="200"/>
      <c r="BA536" s="200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spans="1:70" ht="13.8">
      <c r="A537" s="1"/>
      <c r="B537" s="1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  <c r="AH537" s="200"/>
      <c r="AI537" s="200"/>
      <c r="AJ537" s="200"/>
      <c r="AK537" s="200"/>
      <c r="AL537" s="200"/>
      <c r="AM537" s="200"/>
      <c r="AN537" s="200"/>
      <c r="AO537" s="200"/>
      <c r="AP537" s="200"/>
      <c r="AQ537" s="200"/>
      <c r="AR537" s="200"/>
      <c r="AS537" s="200"/>
      <c r="AT537" s="200"/>
      <c r="AU537" s="200"/>
      <c r="AV537" s="200"/>
      <c r="AW537" s="200"/>
      <c r="AX537" s="200"/>
      <c r="AY537" s="200"/>
      <c r="AZ537" s="200"/>
      <c r="BA537" s="200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spans="1:70" ht="13.8">
      <c r="A538" s="1"/>
      <c r="B538" s="1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0"/>
      <c r="AK538" s="200"/>
      <c r="AL538" s="200"/>
      <c r="AM538" s="200"/>
      <c r="AN538" s="200"/>
      <c r="AO538" s="200"/>
      <c r="AP538" s="200"/>
      <c r="AQ538" s="200"/>
      <c r="AR538" s="200"/>
      <c r="AS538" s="200"/>
      <c r="AT538" s="200"/>
      <c r="AU538" s="200"/>
      <c r="AV538" s="200"/>
      <c r="AW538" s="200"/>
      <c r="AX538" s="200"/>
      <c r="AY538" s="200"/>
      <c r="AZ538" s="200"/>
      <c r="BA538" s="200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spans="1:70" ht="13.8">
      <c r="A539" s="1"/>
      <c r="B539" s="1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0"/>
      <c r="AK539" s="200"/>
      <c r="AL539" s="200"/>
      <c r="AM539" s="200"/>
      <c r="AN539" s="200"/>
      <c r="AO539" s="200"/>
      <c r="AP539" s="200"/>
      <c r="AQ539" s="200"/>
      <c r="AR539" s="200"/>
      <c r="AS539" s="200"/>
      <c r="AT539" s="200"/>
      <c r="AU539" s="200"/>
      <c r="AV539" s="200"/>
      <c r="AW539" s="200"/>
      <c r="AX539" s="200"/>
      <c r="AY539" s="200"/>
      <c r="AZ539" s="200"/>
      <c r="BA539" s="200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spans="1:70" ht="13.8">
      <c r="A540" s="1"/>
      <c r="B540" s="1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  <c r="AH540" s="200"/>
      <c r="AI540" s="200"/>
      <c r="AJ540" s="200"/>
      <c r="AK540" s="200"/>
      <c r="AL540" s="200"/>
      <c r="AM540" s="200"/>
      <c r="AN540" s="200"/>
      <c r="AO540" s="200"/>
      <c r="AP540" s="200"/>
      <c r="AQ540" s="200"/>
      <c r="AR540" s="200"/>
      <c r="AS540" s="200"/>
      <c r="AT540" s="200"/>
      <c r="AU540" s="200"/>
      <c r="AV540" s="200"/>
      <c r="AW540" s="200"/>
      <c r="AX540" s="200"/>
      <c r="AY540" s="200"/>
      <c r="AZ540" s="200"/>
      <c r="BA540" s="200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spans="1:70" ht="13.8">
      <c r="A541" s="1"/>
      <c r="B541" s="1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  <c r="AH541" s="200"/>
      <c r="AI541" s="200"/>
      <c r="AJ541" s="200"/>
      <c r="AK541" s="200"/>
      <c r="AL541" s="200"/>
      <c r="AM541" s="200"/>
      <c r="AN541" s="200"/>
      <c r="AO541" s="200"/>
      <c r="AP541" s="200"/>
      <c r="AQ541" s="200"/>
      <c r="AR541" s="200"/>
      <c r="AS541" s="200"/>
      <c r="AT541" s="200"/>
      <c r="AU541" s="200"/>
      <c r="AV541" s="200"/>
      <c r="AW541" s="200"/>
      <c r="AX541" s="200"/>
      <c r="AY541" s="200"/>
      <c r="AZ541" s="200"/>
      <c r="BA541" s="200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spans="1:70" ht="13.8">
      <c r="A542" s="1"/>
      <c r="B542" s="1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  <c r="AH542" s="200"/>
      <c r="AI542" s="200"/>
      <c r="AJ542" s="200"/>
      <c r="AK542" s="200"/>
      <c r="AL542" s="200"/>
      <c r="AM542" s="200"/>
      <c r="AN542" s="200"/>
      <c r="AO542" s="200"/>
      <c r="AP542" s="200"/>
      <c r="AQ542" s="200"/>
      <c r="AR542" s="200"/>
      <c r="AS542" s="200"/>
      <c r="AT542" s="200"/>
      <c r="AU542" s="200"/>
      <c r="AV542" s="200"/>
      <c r="AW542" s="200"/>
      <c r="AX542" s="200"/>
      <c r="AY542" s="200"/>
      <c r="AZ542" s="200"/>
      <c r="BA542" s="200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spans="1:70" ht="13.8">
      <c r="A543" s="1"/>
      <c r="B543" s="1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  <c r="AH543" s="200"/>
      <c r="AI543" s="200"/>
      <c r="AJ543" s="200"/>
      <c r="AK543" s="200"/>
      <c r="AL543" s="200"/>
      <c r="AM543" s="200"/>
      <c r="AN543" s="200"/>
      <c r="AO543" s="200"/>
      <c r="AP543" s="200"/>
      <c r="AQ543" s="200"/>
      <c r="AR543" s="200"/>
      <c r="AS543" s="200"/>
      <c r="AT543" s="200"/>
      <c r="AU543" s="200"/>
      <c r="AV543" s="200"/>
      <c r="AW543" s="200"/>
      <c r="AX543" s="200"/>
      <c r="AY543" s="200"/>
      <c r="AZ543" s="200"/>
      <c r="BA543" s="200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spans="1:70" ht="13.8">
      <c r="A544" s="1"/>
      <c r="B544" s="1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  <c r="AH544" s="200"/>
      <c r="AI544" s="200"/>
      <c r="AJ544" s="200"/>
      <c r="AK544" s="200"/>
      <c r="AL544" s="200"/>
      <c r="AM544" s="200"/>
      <c r="AN544" s="200"/>
      <c r="AO544" s="200"/>
      <c r="AP544" s="200"/>
      <c r="AQ544" s="200"/>
      <c r="AR544" s="200"/>
      <c r="AS544" s="200"/>
      <c r="AT544" s="200"/>
      <c r="AU544" s="200"/>
      <c r="AV544" s="200"/>
      <c r="AW544" s="200"/>
      <c r="AX544" s="200"/>
      <c r="AY544" s="200"/>
      <c r="AZ544" s="200"/>
      <c r="BA544" s="200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spans="1:70" ht="13.8">
      <c r="A545" s="1"/>
      <c r="B545" s="1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  <c r="AH545" s="200"/>
      <c r="AI545" s="200"/>
      <c r="AJ545" s="200"/>
      <c r="AK545" s="200"/>
      <c r="AL545" s="200"/>
      <c r="AM545" s="200"/>
      <c r="AN545" s="200"/>
      <c r="AO545" s="200"/>
      <c r="AP545" s="200"/>
      <c r="AQ545" s="200"/>
      <c r="AR545" s="200"/>
      <c r="AS545" s="200"/>
      <c r="AT545" s="200"/>
      <c r="AU545" s="200"/>
      <c r="AV545" s="200"/>
      <c r="AW545" s="200"/>
      <c r="AX545" s="200"/>
      <c r="AY545" s="200"/>
      <c r="AZ545" s="200"/>
      <c r="BA545" s="200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spans="1:70" ht="13.8">
      <c r="A546" s="1"/>
      <c r="B546" s="1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  <c r="AK546" s="200"/>
      <c r="AL546" s="200"/>
      <c r="AM546" s="200"/>
      <c r="AN546" s="200"/>
      <c r="AO546" s="200"/>
      <c r="AP546" s="200"/>
      <c r="AQ546" s="200"/>
      <c r="AR546" s="200"/>
      <c r="AS546" s="200"/>
      <c r="AT546" s="200"/>
      <c r="AU546" s="200"/>
      <c r="AV546" s="200"/>
      <c r="AW546" s="200"/>
      <c r="AX546" s="200"/>
      <c r="AY546" s="200"/>
      <c r="AZ546" s="200"/>
      <c r="BA546" s="200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spans="1:70" ht="13.8">
      <c r="A547" s="1"/>
      <c r="B547" s="1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  <c r="AH547" s="200"/>
      <c r="AI547" s="200"/>
      <c r="AJ547" s="200"/>
      <c r="AK547" s="200"/>
      <c r="AL547" s="200"/>
      <c r="AM547" s="200"/>
      <c r="AN547" s="200"/>
      <c r="AO547" s="200"/>
      <c r="AP547" s="200"/>
      <c r="AQ547" s="200"/>
      <c r="AR547" s="200"/>
      <c r="AS547" s="200"/>
      <c r="AT547" s="200"/>
      <c r="AU547" s="200"/>
      <c r="AV547" s="200"/>
      <c r="AW547" s="200"/>
      <c r="AX547" s="200"/>
      <c r="AY547" s="200"/>
      <c r="AZ547" s="200"/>
      <c r="BA547" s="200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spans="1:70" ht="13.8">
      <c r="A548" s="1"/>
      <c r="B548" s="1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  <c r="AH548" s="200"/>
      <c r="AI548" s="200"/>
      <c r="AJ548" s="200"/>
      <c r="AK548" s="200"/>
      <c r="AL548" s="200"/>
      <c r="AM548" s="200"/>
      <c r="AN548" s="200"/>
      <c r="AO548" s="200"/>
      <c r="AP548" s="200"/>
      <c r="AQ548" s="200"/>
      <c r="AR548" s="200"/>
      <c r="AS548" s="200"/>
      <c r="AT548" s="200"/>
      <c r="AU548" s="200"/>
      <c r="AV548" s="200"/>
      <c r="AW548" s="200"/>
      <c r="AX548" s="200"/>
      <c r="AY548" s="200"/>
      <c r="AZ548" s="200"/>
      <c r="BA548" s="200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spans="1:70" ht="13.8">
      <c r="A549" s="1"/>
      <c r="B549" s="1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  <c r="AH549" s="200"/>
      <c r="AI549" s="200"/>
      <c r="AJ549" s="200"/>
      <c r="AK549" s="200"/>
      <c r="AL549" s="200"/>
      <c r="AM549" s="200"/>
      <c r="AN549" s="200"/>
      <c r="AO549" s="200"/>
      <c r="AP549" s="200"/>
      <c r="AQ549" s="200"/>
      <c r="AR549" s="200"/>
      <c r="AS549" s="200"/>
      <c r="AT549" s="200"/>
      <c r="AU549" s="200"/>
      <c r="AV549" s="200"/>
      <c r="AW549" s="200"/>
      <c r="AX549" s="200"/>
      <c r="AY549" s="200"/>
      <c r="AZ549" s="200"/>
      <c r="BA549" s="200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spans="1:70" ht="13.8">
      <c r="A550" s="1"/>
      <c r="B550" s="1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0"/>
      <c r="AK550" s="200"/>
      <c r="AL550" s="200"/>
      <c r="AM550" s="200"/>
      <c r="AN550" s="200"/>
      <c r="AO550" s="200"/>
      <c r="AP550" s="200"/>
      <c r="AQ550" s="200"/>
      <c r="AR550" s="200"/>
      <c r="AS550" s="200"/>
      <c r="AT550" s="200"/>
      <c r="AU550" s="200"/>
      <c r="AV550" s="200"/>
      <c r="AW550" s="200"/>
      <c r="AX550" s="200"/>
      <c r="AY550" s="200"/>
      <c r="AZ550" s="200"/>
      <c r="BA550" s="200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spans="1:70" ht="13.8">
      <c r="A551" s="1"/>
      <c r="B551" s="1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  <c r="AH551" s="200"/>
      <c r="AI551" s="200"/>
      <c r="AJ551" s="200"/>
      <c r="AK551" s="200"/>
      <c r="AL551" s="200"/>
      <c r="AM551" s="200"/>
      <c r="AN551" s="200"/>
      <c r="AO551" s="200"/>
      <c r="AP551" s="200"/>
      <c r="AQ551" s="200"/>
      <c r="AR551" s="200"/>
      <c r="AS551" s="200"/>
      <c r="AT551" s="200"/>
      <c r="AU551" s="200"/>
      <c r="AV551" s="200"/>
      <c r="AW551" s="200"/>
      <c r="AX551" s="200"/>
      <c r="AY551" s="200"/>
      <c r="AZ551" s="200"/>
      <c r="BA551" s="200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spans="1:70" ht="13.8">
      <c r="A552" s="1"/>
      <c r="B552" s="1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  <c r="AH552" s="200"/>
      <c r="AI552" s="200"/>
      <c r="AJ552" s="200"/>
      <c r="AK552" s="200"/>
      <c r="AL552" s="200"/>
      <c r="AM552" s="200"/>
      <c r="AN552" s="200"/>
      <c r="AO552" s="200"/>
      <c r="AP552" s="200"/>
      <c r="AQ552" s="200"/>
      <c r="AR552" s="200"/>
      <c r="AS552" s="200"/>
      <c r="AT552" s="200"/>
      <c r="AU552" s="200"/>
      <c r="AV552" s="200"/>
      <c r="AW552" s="200"/>
      <c r="AX552" s="200"/>
      <c r="AY552" s="200"/>
      <c r="AZ552" s="200"/>
      <c r="BA552" s="200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spans="1:70" ht="13.8">
      <c r="A553" s="1"/>
      <c r="B553" s="1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0"/>
      <c r="AK553" s="200"/>
      <c r="AL553" s="200"/>
      <c r="AM553" s="200"/>
      <c r="AN553" s="200"/>
      <c r="AO553" s="200"/>
      <c r="AP553" s="200"/>
      <c r="AQ553" s="200"/>
      <c r="AR553" s="200"/>
      <c r="AS553" s="200"/>
      <c r="AT553" s="200"/>
      <c r="AU553" s="200"/>
      <c r="AV553" s="200"/>
      <c r="AW553" s="200"/>
      <c r="AX553" s="200"/>
      <c r="AY553" s="200"/>
      <c r="AZ553" s="200"/>
      <c r="BA553" s="200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spans="1:70" ht="13.8">
      <c r="A554" s="1"/>
      <c r="B554" s="1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  <c r="AK554" s="200"/>
      <c r="AL554" s="200"/>
      <c r="AM554" s="200"/>
      <c r="AN554" s="200"/>
      <c r="AO554" s="200"/>
      <c r="AP554" s="200"/>
      <c r="AQ554" s="200"/>
      <c r="AR554" s="200"/>
      <c r="AS554" s="200"/>
      <c r="AT554" s="200"/>
      <c r="AU554" s="200"/>
      <c r="AV554" s="200"/>
      <c r="AW554" s="200"/>
      <c r="AX554" s="200"/>
      <c r="AY554" s="200"/>
      <c r="AZ554" s="200"/>
      <c r="BA554" s="200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spans="1:70" ht="13.8">
      <c r="A555" s="1"/>
      <c r="B555" s="1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  <c r="AH555" s="200"/>
      <c r="AI555" s="200"/>
      <c r="AJ555" s="200"/>
      <c r="AK555" s="200"/>
      <c r="AL555" s="200"/>
      <c r="AM555" s="200"/>
      <c r="AN555" s="200"/>
      <c r="AO555" s="200"/>
      <c r="AP555" s="200"/>
      <c r="AQ555" s="200"/>
      <c r="AR555" s="200"/>
      <c r="AS555" s="200"/>
      <c r="AT555" s="200"/>
      <c r="AU555" s="200"/>
      <c r="AV555" s="200"/>
      <c r="AW555" s="200"/>
      <c r="AX555" s="200"/>
      <c r="AY555" s="200"/>
      <c r="AZ555" s="200"/>
      <c r="BA555" s="200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spans="1:70" ht="13.8">
      <c r="A556" s="1"/>
      <c r="B556" s="1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  <c r="AH556" s="200"/>
      <c r="AI556" s="200"/>
      <c r="AJ556" s="200"/>
      <c r="AK556" s="200"/>
      <c r="AL556" s="200"/>
      <c r="AM556" s="200"/>
      <c r="AN556" s="200"/>
      <c r="AO556" s="200"/>
      <c r="AP556" s="200"/>
      <c r="AQ556" s="200"/>
      <c r="AR556" s="200"/>
      <c r="AS556" s="200"/>
      <c r="AT556" s="200"/>
      <c r="AU556" s="200"/>
      <c r="AV556" s="200"/>
      <c r="AW556" s="200"/>
      <c r="AX556" s="200"/>
      <c r="AY556" s="200"/>
      <c r="AZ556" s="200"/>
      <c r="BA556" s="200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spans="1:70" ht="13.8">
      <c r="A557" s="1"/>
      <c r="B557" s="1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0"/>
      <c r="AK557" s="200"/>
      <c r="AL557" s="200"/>
      <c r="AM557" s="200"/>
      <c r="AN557" s="200"/>
      <c r="AO557" s="200"/>
      <c r="AP557" s="200"/>
      <c r="AQ557" s="200"/>
      <c r="AR557" s="200"/>
      <c r="AS557" s="200"/>
      <c r="AT557" s="200"/>
      <c r="AU557" s="200"/>
      <c r="AV557" s="200"/>
      <c r="AW557" s="200"/>
      <c r="AX557" s="200"/>
      <c r="AY557" s="200"/>
      <c r="AZ557" s="200"/>
      <c r="BA557" s="200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spans="1:70" ht="13.8">
      <c r="A558" s="1"/>
      <c r="B558" s="1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  <c r="AH558" s="200"/>
      <c r="AI558" s="200"/>
      <c r="AJ558" s="200"/>
      <c r="AK558" s="200"/>
      <c r="AL558" s="200"/>
      <c r="AM558" s="200"/>
      <c r="AN558" s="200"/>
      <c r="AO558" s="200"/>
      <c r="AP558" s="200"/>
      <c r="AQ558" s="200"/>
      <c r="AR558" s="200"/>
      <c r="AS558" s="200"/>
      <c r="AT558" s="200"/>
      <c r="AU558" s="200"/>
      <c r="AV558" s="200"/>
      <c r="AW558" s="200"/>
      <c r="AX558" s="200"/>
      <c r="AY558" s="200"/>
      <c r="AZ558" s="200"/>
      <c r="BA558" s="200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spans="1:70" ht="13.8">
      <c r="A559" s="1"/>
      <c r="B559" s="1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  <c r="AH559" s="200"/>
      <c r="AI559" s="200"/>
      <c r="AJ559" s="200"/>
      <c r="AK559" s="200"/>
      <c r="AL559" s="200"/>
      <c r="AM559" s="200"/>
      <c r="AN559" s="200"/>
      <c r="AO559" s="200"/>
      <c r="AP559" s="200"/>
      <c r="AQ559" s="200"/>
      <c r="AR559" s="200"/>
      <c r="AS559" s="200"/>
      <c r="AT559" s="200"/>
      <c r="AU559" s="200"/>
      <c r="AV559" s="200"/>
      <c r="AW559" s="200"/>
      <c r="AX559" s="200"/>
      <c r="AY559" s="200"/>
      <c r="AZ559" s="200"/>
      <c r="BA559" s="200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spans="1:70" ht="13.8">
      <c r="A560" s="1"/>
      <c r="B560" s="1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0"/>
      <c r="AK560" s="200"/>
      <c r="AL560" s="200"/>
      <c r="AM560" s="200"/>
      <c r="AN560" s="200"/>
      <c r="AO560" s="200"/>
      <c r="AP560" s="200"/>
      <c r="AQ560" s="200"/>
      <c r="AR560" s="200"/>
      <c r="AS560" s="200"/>
      <c r="AT560" s="200"/>
      <c r="AU560" s="200"/>
      <c r="AV560" s="200"/>
      <c r="AW560" s="200"/>
      <c r="AX560" s="200"/>
      <c r="AY560" s="200"/>
      <c r="AZ560" s="200"/>
      <c r="BA560" s="200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spans="1:70" ht="13.8">
      <c r="A561" s="1"/>
      <c r="B561" s="1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  <c r="AH561" s="200"/>
      <c r="AI561" s="200"/>
      <c r="AJ561" s="200"/>
      <c r="AK561" s="200"/>
      <c r="AL561" s="200"/>
      <c r="AM561" s="200"/>
      <c r="AN561" s="200"/>
      <c r="AO561" s="200"/>
      <c r="AP561" s="200"/>
      <c r="AQ561" s="200"/>
      <c r="AR561" s="200"/>
      <c r="AS561" s="200"/>
      <c r="AT561" s="200"/>
      <c r="AU561" s="200"/>
      <c r="AV561" s="200"/>
      <c r="AW561" s="200"/>
      <c r="AX561" s="200"/>
      <c r="AY561" s="200"/>
      <c r="AZ561" s="200"/>
      <c r="BA561" s="200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spans="1:70" ht="13.8">
      <c r="A562" s="1"/>
      <c r="B562" s="1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0"/>
      <c r="AK562" s="200"/>
      <c r="AL562" s="200"/>
      <c r="AM562" s="200"/>
      <c r="AN562" s="200"/>
      <c r="AO562" s="200"/>
      <c r="AP562" s="200"/>
      <c r="AQ562" s="200"/>
      <c r="AR562" s="200"/>
      <c r="AS562" s="200"/>
      <c r="AT562" s="200"/>
      <c r="AU562" s="200"/>
      <c r="AV562" s="200"/>
      <c r="AW562" s="200"/>
      <c r="AX562" s="200"/>
      <c r="AY562" s="200"/>
      <c r="AZ562" s="200"/>
      <c r="BA562" s="200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spans="1:70" ht="13.8">
      <c r="A563" s="1"/>
      <c r="B563" s="1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  <c r="AH563" s="200"/>
      <c r="AI563" s="200"/>
      <c r="AJ563" s="200"/>
      <c r="AK563" s="200"/>
      <c r="AL563" s="200"/>
      <c r="AM563" s="200"/>
      <c r="AN563" s="200"/>
      <c r="AO563" s="200"/>
      <c r="AP563" s="200"/>
      <c r="AQ563" s="200"/>
      <c r="AR563" s="200"/>
      <c r="AS563" s="200"/>
      <c r="AT563" s="200"/>
      <c r="AU563" s="200"/>
      <c r="AV563" s="200"/>
      <c r="AW563" s="200"/>
      <c r="AX563" s="200"/>
      <c r="AY563" s="200"/>
      <c r="AZ563" s="200"/>
      <c r="BA563" s="200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spans="1:70" ht="13.8">
      <c r="A564" s="1"/>
      <c r="B564" s="1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  <c r="AH564" s="200"/>
      <c r="AI564" s="200"/>
      <c r="AJ564" s="200"/>
      <c r="AK564" s="200"/>
      <c r="AL564" s="200"/>
      <c r="AM564" s="200"/>
      <c r="AN564" s="200"/>
      <c r="AO564" s="200"/>
      <c r="AP564" s="200"/>
      <c r="AQ564" s="200"/>
      <c r="AR564" s="200"/>
      <c r="AS564" s="200"/>
      <c r="AT564" s="200"/>
      <c r="AU564" s="200"/>
      <c r="AV564" s="200"/>
      <c r="AW564" s="200"/>
      <c r="AX564" s="200"/>
      <c r="AY564" s="200"/>
      <c r="AZ564" s="200"/>
      <c r="BA564" s="200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spans="1:70" ht="13.8">
      <c r="A565" s="1"/>
      <c r="B565" s="1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  <c r="AH565" s="200"/>
      <c r="AI565" s="200"/>
      <c r="AJ565" s="200"/>
      <c r="AK565" s="200"/>
      <c r="AL565" s="200"/>
      <c r="AM565" s="200"/>
      <c r="AN565" s="200"/>
      <c r="AO565" s="200"/>
      <c r="AP565" s="200"/>
      <c r="AQ565" s="200"/>
      <c r="AR565" s="200"/>
      <c r="AS565" s="200"/>
      <c r="AT565" s="200"/>
      <c r="AU565" s="200"/>
      <c r="AV565" s="200"/>
      <c r="AW565" s="200"/>
      <c r="AX565" s="200"/>
      <c r="AY565" s="200"/>
      <c r="AZ565" s="200"/>
      <c r="BA565" s="200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spans="1:70" ht="13.8">
      <c r="A566" s="1"/>
      <c r="B566" s="1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0"/>
      <c r="AK566" s="200"/>
      <c r="AL566" s="200"/>
      <c r="AM566" s="200"/>
      <c r="AN566" s="200"/>
      <c r="AO566" s="200"/>
      <c r="AP566" s="200"/>
      <c r="AQ566" s="200"/>
      <c r="AR566" s="200"/>
      <c r="AS566" s="200"/>
      <c r="AT566" s="200"/>
      <c r="AU566" s="200"/>
      <c r="AV566" s="200"/>
      <c r="AW566" s="200"/>
      <c r="AX566" s="200"/>
      <c r="AY566" s="200"/>
      <c r="AZ566" s="200"/>
      <c r="BA566" s="200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spans="1:70" ht="13.8">
      <c r="A567" s="1"/>
      <c r="B567" s="1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  <c r="AH567" s="200"/>
      <c r="AI567" s="200"/>
      <c r="AJ567" s="200"/>
      <c r="AK567" s="200"/>
      <c r="AL567" s="200"/>
      <c r="AM567" s="200"/>
      <c r="AN567" s="200"/>
      <c r="AO567" s="200"/>
      <c r="AP567" s="200"/>
      <c r="AQ567" s="200"/>
      <c r="AR567" s="200"/>
      <c r="AS567" s="200"/>
      <c r="AT567" s="200"/>
      <c r="AU567" s="200"/>
      <c r="AV567" s="200"/>
      <c r="AW567" s="200"/>
      <c r="AX567" s="200"/>
      <c r="AY567" s="200"/>
      <c r="AZ567" s="200"/>
      <c r="BA567" s="200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spans="1:70" ht="13.8">
      <c r="A568" s="1"/>
      <c r="B568" s="1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  <c r="AH568" s="200"/>
      <c r="AI568" s="200"/>
      <c r="AJ568" s="200"/>
      <c r="AK568" s="200"/>
      <c r="AL568" s="200"/>
      <c r="AM568" s="200"/>
      <c r="AN568" s="200"/>
      <c r="AO568" s="200"/>
      <c r="AP568" s="200"/>
      <c r="AQ568" s="200"/>
      <c r="AR568" s="200"/>
      <c r="AS568" s="200"/>
      <c r="AT568" s="200"/>
      <c r="AU568" s="200"/>
      <c r="AV568" s="200"/>
      <c r="AW568" s="200"/>
      <c r="AX568" s="200"/>
      <c r="AY568" s="200"/>
      <c r="AZ568" s="200"/>
      <c r="BA568" s="200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spans="1:70" ht="13.8">
      <c r="A569" s="1"/>
      <c r="B569" s="1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  <c r="AH569" s="200"/>
      <c r="AI569" s="200"/>
      <c r="AJ569" s="200"/>
      <c r="AK569" s="200"/>
      <c r="AL569" s="200"/>
      <c r="AM569" s="200"/>
      <c r="AN569" s="200"/>
      <c r="AO569" s="200"/>
      <c r="AP569" s="200"/>
      <c r="AQ569" s="200"/>
      <c r="AR569" s="200"/>
      <c r="AS569" s="200"/>
      <c r="AT569" s="200"/>
      <c r="AU569" s="200"/>
      <c r="AV569" s="200"/>
      <c r="AW569" s="200"/>
      <c r="AX569" s="200"/>
      <c r="AY569" s="200"/>
      <c r="AZ569" s="200"/>
      <c r="BA569" s="200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spans="1:70" ht="13.8">
      <c r="A570" s="1"/>
      <c r="B570" s="1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0"/>
      <c r="AK570" s="200"/>
      <c r="AL570" s="200"/>
      <c r="AM570" s="200"/>
      <c r="AN570" s="200"/>
      <c r="AO570" s="200"/>
      <c r="AP570" s="200"/>
      <c r="AQ570" s="200"/>
      <c r="AR570" s="200"/>
      <c r="AS570" s="200"/>
      <c r="AT570" s="200"/>
      <c r="AU570" s="200"/>
      <c r="AV570" s="200"/>
      <c r="AW570" s="200"/>
      <c r="AX570" s="200"/>
      <c r="AY570" s="200"/>
      <c r="AZ570" s="200"/>
      <c r="BA570" s="200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spans="1:70" ht="13.8">
      <c r="A571" s="1"/>
      <c r="B571" s="1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  <c r="AH571" s="200"/>
      <c r="AI571" s="200"/>
      <c r="AJ571" s="200"/>
      <c r="AK571" s="200"/>
      <c r="AL571" s="200"/>
      <c r="AM571" s="200"/>
      <c r="AN571" s="200"/>
      <c r="AO571" s="200"/>
      <c r="AP571" s="200"/>
      <c r="AQ571" s="200"/>
      <c r="AR571" s="200"/>
      <c r="AS571" s="200"/>
      <c r="AT571" s="200"/>
      <c r="AU571" s="200"/>
      <c r="AV571" s="200"/>
      <c r="AW571" s="200"/>
      <c r="AX571" s="200"/>
      <c r="AY571" s="200"/>
      <c r="AZ571" s="200"/>
      <c r="BA571" s="200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spans="1:70" ht="13.8">
      <c r="A572" s="1"/>
      <c r="B572" s="1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  <c r="AH572" s="200"/>
      <c r="AI572" s="200"/>
      <c r="AJ572" s="200"/>
      <c r="AK572" s="200"/>
      <c r="AL572" s="200"/>
      <c r="AM572" s="200"/>
      <c r="AN572" s="200"/>
      <c r="AO572" s="200"/>
      <c r="AP572" s="200"/>
      <c r="AQ572" s="200"/>
      <c r="AR572" s="200"/>
      <c r="AS572" s="200"/>
      <c r="AT572" s="200"/>
      <c r="AU572" s="200"/>
      <c r="AV572" s="200"/>
      <c r="AW572" s="200"/>
      <c r="AX572" s="200"/>
      <c r="AY572" s="200"/>
      <c r="AZ572" s="200"/>
      <c r="BA572" s="200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spans="1:70" ht="13.8">
      <c r="A573" s="1"/>
      <c r="B573" s="1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0"/>
      <c r="AK573" s="200"/>
      <c r="AL573" s="200"/>
      <c r="AM573" s="200"/>
      <c r="AN573" s="200"/>
      <c r="AO573" s="200"/>
      <c r="AP573" s="200"/>
      <c r="AQ573" s="200"/>
      <c r="AR573" s="200"/>
      <c r="AS573" s="200"/>
      <c r="AT573" s="200"/>
      <c r="AU573" s="200"/>
      <c r="AV573" s="200"/>
      <c r="AW573" s="200"/>
      <c r="AX573" s="200"/>
      <c r="AY573" s="200"/>
      <c r="AZ573" s="200"/>
      <c r="BA573" s="200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spans="1:70" ht="13.8">
      <c r="A574" s="1"/>
      <c r="B574" s="1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  <c r="AH574" s="200"/>
      <c r="AI574" s="200"/>
      <c r="AJ574" s="200"/>
      <c r="AK574" s="200"/>
      <c r="AL574" s="200"/>
      <c r="AM574" s="200"/>
      <c r="AN574" s="200"/>
      <c r="AO574" s="200"/>
      <c r="AP574" s="200"/>
      <c r="AQ574" s="200"/>
      <c r="AR574" s="200"/>
      <c r="AS574" s="200"/>
      <c r="AT574" s="200"/>
      <c r="AU574" s="200"/>
      <c r="AV574" s="200"/>
      <c r="AW574" s="200"/>
      <c r="AX574" s="200"/>
      <c r="AY574" s="200"/>
      <c r="AZ574" s="200"/>
      <c r="BA574" s="200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spans="1:70" ht="13.8">
      <c r="A575" s="1"/>
      <c r="B575" s="1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  <c r="AH575" s="200"/>
      <c r="AI575" s="200"/>
      <c r="AJ575" s="200"/>
      <c r="AK575" s="200"/>
      <c r="AL575" s="200"/>
      <c r="AM575" s="200"/>
      <c r="AN575" s="200"/>
      <c r="AO575" s="200"/>
      <c r="AP575" s="200"/>
      <c r="AQ575" s="200"/>
      <c r="AR575" s="200"/>
      <c r="AS575" s="200"/>
      <c r="AT575" s="200"/>
      <c r="AU575" s="200"/>
      <c r="AV575" s="200"/>
      <c r="AW575" s="200"/>
      <c r="AX575" s="200"/>
      <c r="AY575" s="200"/>
      <c r="AZ575" s="200"/>
      <c r="BA575" s="200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spans="1:70" ht="13.8">
      <c r="A576" s="1"/>
      <c r="B576" s="1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  <c r="AH576" s="200"/>
      <c r="AI576" s="200"/>
      <c r="AJ576" s="200"/>
      <c r="AK576" s="200"/>
      <c r="AL576" s="200"/>
      <c r="AM576" s="200"/>
      <c r="AN576" s="200"/>
      <c r="AO576" s="200"/>
      <c r="AP576" s="200"/>
      <c r="AQ576" s="200"/>
      <c r="AR576" s="200"/>
      <c r="AS576" s="200"/>
      <c r="AT576" s="200"/>
      <c r="AU576" s="200"/>
      <c r="AV576" s="200"/>
      <c r="AW576" s="200"/>
      <c r="AX576" s="200"/>
      <c r="AY576" s="200"/>
      <c r="AZ576" s="200"/>
      <c r="BA576" s="200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spans="1:70" ht="13.8">
      <c r="A577" s="1"/>
      <c r="B577" s="1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  <c r="AH577" s="200"/>
      <c r="AI577" s="200"/>
      <c r="AJ577" s="200"/>
      <c r="AK577" s="200"/>
      <c r="AL577" s="200"/>
      <c r="AM577" s="200"/>
      <c r="AN577" s="200"/>
      <c r="AO577" s="200"/>
      <c r="AP577" s="200"/>
      <c r="AQ577" s="200"/>
      <c r="AR577" s="200"/>
      <c r="AS577" s="200"/>
      <c r="AT577" s="200"/>
      <c r="AU577" s="200"/>
      <c r="AV577" s="200"/>
      <c r="AW577" s="200"/>
      <c r="AX577" s="200"/>
      <c r="AY577" s="200"/>
      <c r="AZ577" s="200"/>
      <c r="BA577" s="200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spans="1:70" ht="13.8">
      <c r="A578" s="1"/>
      <c r="B578" s="1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  <c r="AB578" s="200"/>
      <c r="AC578" s="200"/>
      <c r="AD578" s="200"/>
      <c r="AE578" s="200"/>
      <c r="AF578" s="200"/>
      <c r="AG578" s="200"/>
      <c r="AH578" s="200"/>
      <c r="AI578" s="200"/>
      <c r="AJ578" s="200"/>
      <c r="AK578" s="200"/>
      <c r="AL578" s="200"/>
      <c r="AM578" s="200"/>
      <c r="AN578" s="200"/>
      <c r="AO578" s="200"/>
      <c r="AP578" s="200"/>
      <c r="AQ578" s="200"/>
      <c r="AR578" s="200"/>
      <c r="AS578" s="200"/>
      <c r="AT578" s="200"/>
      <c r="AU578" s="200"/>
      <c r="AV578" s="200"/>
      <c r="AW578" s="200"/>
      <c r="AX578" s="200"/>
      <c r="AY578" s="200"/>
      <c r="AZ578" s="200"/>
      <c r="BA578" s="200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spans="1:70" ht="13.8">
      <c r="A579" s="1"/>
      <c r="B579" s="1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  <c r="AB579" s="200"/>
      <c r="AC579" s="200"/>
      <c r="AD579" s="200"/>
      <c r="AE579" s="200"/>
      <c r="AF579" s="200"/>
      <c r="AG579" s="200"/>
      <c r="AH579" s="200"/>
      <c r="AI579" s="200"/>
      <c r="AJ579" s="200"/>
      <c r="AK579" s="200"/>
      <c r="AL579" s="200"/>
      <c r="AM579" s="200"/>
      <c r="AN579" s="200"/>
      <c r="AO579" s="200"/>
      <c r="AP579" s="200"/>
      <c r="AQ579" s="200"/>
      <c r="AR579" s="200"/>
      <c r="AS579" s="200"/>
      <c r="AT579" s="200"/>
      <c r="AU579" s="200"/>
      <c r="AV579" s="200"/>
      <c r="AW579" s="200"/>
      <c r="AX579" s="200"/>
      <c r="AY579" s="200"/>
      <c r="AZ579" s="200"/>
      <c r="BA579" s="200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spans="1:70" ht="13.8">
      <c r="A580" s="1"/>
      <c r="B580" s="1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0"/>
      <c r="AH580" s="200"/>
      <c r="AI580" s="200"/>
      <c r="AJ580" s="200"/>
      <c r="AK580" s="200"/>
      <c r="AL580" s="200"/>
      <c r="AM580" s="200"/>
      <c r="AN580" s="200"/>
      <c r="AO580" s="200"/>
      <c r="AP580" s="200"/>
      <c r="AQ580" s="200"/>
      <c r="AR580" s="200"/>
      <c r="AS580" s="200"/>
      <c r="AT580" s="200"/>
      <c r="AU580" s="200"/>
      <c r="AV580" s="200"/>
      <c r="AW580" s="200"/>
      <c r="AX580" s="200"/>
      <c r="AY580" s="200"/>
      <c r="AZ580" s="200"/>
      <c r="BA580" s="200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spans="1:70" ht="13.8">
      <c r="A581" s="1"/>
      <c r="B581" s="1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  <c r="AB581" s="200"/>
      <c r="AC581" s="200"/>
      <c r="AD581" s="200"/>
      <c r="AE581" s="200"/>
      <c r="AF581" s="200"/>
      <c r="AG581" s="200"/>
      <c r="AH581" s="200"/>
      <c r="AI581" s="200"/>
      <c r="AJ581" s="200"/>
      <c r="AK581" s="200"/>
      <c r="AL581" s="200"/>
      <c r="AM581" s="200"/>
      <c r="AN581" s="200"/>
      <c r="AO581" s="200"/>
      <c r="AP581" s="200"/>
      <c r="AQ581" s="200"/>
      <c r="AR581" s="200"/>
      <c r="AS581" s="200"/>
      <c r="AT581" s="200"/>
      <c r="AU581" s="200"/>
      <c r="AV581" s="200"/>
      <c r="AW581" s="200"/>
      <c r="AX581" s="200"/>
      <c r="AY581" s="200"/>
      <c r="AZ581" s="200"/>
      <c r="BA581" s="200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spans="1:70" ht="13.8">
      <c r="A582" s="1"/>
      <c r="B582" s="1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  <c r="AB582" s="200"/>
      <c r="AC582" s="200"/>
      <c r="AD582" s="200"/>
      <c r="AE582" s="200"/>
      <c r="AF582" s="200"/>
      <c r="AG582" s="200"/>
      <c r="AH582" s="200"/>
      <c r="AI582" s="200"/>
      <c r="AJ582" s="200"/>
      <c r="AK582" s="200"/>
      <c r="AL582" s="200"/>
      <c r="AM582" s="200"/>
      <c r="AN582" s="200"/>
      <c r="AO582" s="200"/>
      <c r="AP582" s="200"/>
      <c r="AQ582" s="200"/>
      <c r="AR582" s="200"/>
      <c r="AS582" s="200"/>
      <c r="AT582" s="200"/>
      <c r="AU582" s="200"/>
      <c r="AV582" s="200"/>
      <c r="AW582" s="200"/>
      <c r="AX582" s="200"/>
      <c r="AY582" s="200"/>
      <c r="AZ582" s="200"/>
      <c r="BA582" s="200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spans="1:70" ht="13.8">
      <c r="A583" s="1"/>
      <c r="B583" s="1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  <c r="AB583" s="200"/>
      <c r="AC583" s="200"/>
      <c r="AD583" s="200"/>
      <c r="AE583" s="200"/>
      <c r="AF583" s="200"/>
      <c r="AG583" s="200"/>
      <c r="AH583" s="200"/>
      <c r="AI583" s="200"/>
      <c r="AJ583" s="200"/>
      <c r="AK583" s="200"/>
      <c r="AL583" s="200"/>
      <c r="AM583" s="200"/>
      <c r="AN583" s="200"/>
      <c r="AO583" s="200"/>
      <c r="AP583" s="200"/>
      <c r="AQ583" s="200"/>
      <c r="AR583" s="200"/>
      <c r="AS583" s="200"/>
      <c r="AT583" s="200"/>
      <c r="AU583" s="200"/>
      <c r="AV583" s="200"/>
      <c r="AW583" s="200"/>
      <c r="AX583" s="200"/>
      <c r="AY583" s="200"/>
      <c r="AZ583" s="200"/>
      <c r="BA583" s="200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spans="1:70" ht="13.8">
      <c r="A584" s="1"/>
      <c r="B584" s="1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  <c r="AB584" s="200"/>
      <c r="AC584" s="200"/>
      <c r="AD584" s="200"/>
      <c r="AE584" s="200"/>
      <c r="AF584" s="200"/>
      <c r="AG584" s="200"/>
      <c r="AH584" s="200"/>
      <c r="AI584" s="200"/>
      <c r="AJ584" s="200"/>
      <c r="AK584" s="200"/>
      <c r="AL584" s="200"/>
      <c r="AM584" s="200"/>
      <c r="AN584" s="200"/>
      <c r="AO584" s="200"/>
      <c r="AP584" s="200"/>
      <c r="AQ584" s="200"/>
      <c r="AR584" s="200"/>
      <c r="AS584" s="200"/>
      <c r="AT584" s="200"/>
      <c r="AU584" s="200"/>
      <c r="AV584" s="200"/>
      <c r="AW584" s="200"/>
      <c r="AX584" s="200"/>
      <c r="AY584" s="200"/>
      <c r="AZ584" s="200"/>
      <c r="BA584" s="200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spans="1:70" ht="13.8">
      <c r="A585" s="1"/>
      <c r="B585" s="1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  <c r="AB585" s="200"/>
      <c r="AC585" s="200"/>
      <c r="AD585" s="200"/>
      <c r="AE585" s="200"/>
      <c r="AF585" s="200"/>
      <c r="AG585" s="200"/>
      <c r="AH585" s="200"/>
      <c r="AI585" s="200"/>
      <c r="AJ585" s="200"/>
      <c r="AK585" s="200"/>
      <c r="AL585" s="200"/>
      <c r="AM585" s="200"/>
      <c r="AN585" s="200"/>
      <c r="AO585" s="200"/>
      <c r="AP585" s="200"/>
      <c r="AQ585" s="200"/>
      <c r="AR585" s="200"/>
      <c r="AS585" s="200"/>
      <c r="AT585" s="200"/>
      <c r="AU585" s="200"/>
      <c r="AV585" s="200"/>
      <c r="AW585" s="200"/>
      <c r="AX585" s="200"/>
      <c r="AY585" s="200"/>
      <c r="AZ585" s="200"/>
      <c r="BA585" s="200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spans="1:70" ht="13.8">
      <c r="A586" s="1"/>
      <c r="B586" s="1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  <c r="AB586" s="200"/>
      <c r="AC586" s="200"/>
      <c r="AD586" s="200"/>
      <c r="AE586" s="200"/>
      <c r="AF586" s="200"/>
      <c r="AG586" s="200"/>
      <c r="AH586" s="200"/>
      <c r="AI586" s="200"/>
      <c r="AJ586" s="200"/>
      <c r="AK586" s="200"/>
      <c r="AL586" s="200"/>
      <c r="AM586" s="200"/>
      <c r="AN586" s="200"/>
      <c r="AO586" s="200"/>
      <c r="AP586" s="200"/>
      <c r="AQ586" s="200"/>
      <c r="AR586" s="200"/>
      <c r="AS586" s="200"/>
      <c r="AT586" s="200"/>
      <c r="AU586" s="200"/>
      <c r="AV586" s="200"/>
      <c r="AW586" s="200"/>
      <c r="AX586" s="200"/>
      <c r="AY586" s="200"/>
      <c r="AZ586" s="200"/>
      <c r="BA586" s="200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spans="1:70" ht="13.8">
      <c r="A587" s="1"/>
      <c r="B587" s="1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  <c r="AB587" s="200"/>
      <c r="AC587" s="200"/>
      <c r="AD587" s="200"/>
      <c r="AE587" s="200"/>
      <c r="AF587" s="200"/>
      <c r="AG587" s="200"/>
      <c r="AH587" s="200"/>
      <c r="AI587" s="200"/>
      <c r="AJ587" s="200"/>
      <c r="AK587" s="200"/>
      <c r="AL587" s="200"/>
      <c r="AM587" s="200"/>
      <c r="AN587" s="200"/>
      <c r="AO587" s="200"/>
      <c r="AP587" s="200"/>
      <c r="AQ587" s="200"/>
      <c r="AR587" s="200"/>
      <c r="AS587" s="200"/>
      <c r="AT587" s="200"/>
      <c r="AU587" s="200"/>
      <c r="AV587" s="200"/>
      <c r="AW587" s="200"/>
      <c r="AX587" s="200"/>
      <c r="AY587" s="200"/>
      <c r="AZ587" s="200"/>
      <c r="BA587" s="200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spans="1:70" ht="13.8">
      <c r="A588" s="1"/>
      <c r="B588" s="1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  <c r="AB588" s="200"/>
      <c r="AC588" s="200"/>
      <c r="AD588" s="200"/>
      <c r="AE588" s="200"/>
      <c r="AF588" s="200"/>
      <c r="AG588" s="200"/>
      <c r="AH588" s="200"/>
      <c r="AI588" s="200"/>
      <c r="AJ588" s="200"/>
      <c r="AK588" s="200"/>
      <c r="AL588" s="200"/>
      <c r="AM588" s="200"/>
      <c r="AN588" s="200"/>
      <c r="AO588" s="200"/>
      <c r="AP588" s="200"/>
      <c r="AQ588" s="200"/>
      <c r="AR588" s="200"/>
      <c r="AS588" s="200"/>
      <c r="AT588" s="200"/>
      <c r="AU588" s="200"/>
      <c r="AV588" s="200"/>
      <c r="AW588" s="200"/>
      <c r="AX588" s="200"/>
      <c r="AY588" s="200"/>
      <c r="AZ588" s="200"/>
      <c r="BA588" s="200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spans="1:70" ht="13.8">
      <c r="A589" s="1"/>
      <c r="B589" s="1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  <c r="AB589" s="200"/>
      <c r="AC589" s="200"/>
      <c r="AD589" s="200"/>
      <c r="AE589" s="200"/>
      <c r="AF589" s="200"/>
      <c r="AG589" s="200"/>
      <c r="AH589" s="200"/>
      <c r="AI589" s="200"/>
      <c r="AJ589" s="200"/>
      <c r="AK589" s="200"/>
      <c r="AL589" s="200"/>
      <c r="AM589" s="200"/>
      <c r="AN589" s="200"/>
      <c r="AO589" s="200"/>
      <c r="AP589" s="200"/>
      <c r="AQ589" s="200"/>
      <c r="AR589" s="200"/>
      <c r="AS589" s="200"/>
      <c r="AT589" s="200"/>
      <c r="AU589" s="200"/>
      <c r="AV589" s="200"/>
      <c r="AW589" s="200"/>
      <c r="AX589" s="200"/>
      <c r="AY589" s="200"/>
      <c r="AZ589" s="200"/>
      <c r="BA589" s="200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spans="1:70" ht="13.8">
      <c r="A590" s="1"/>
      <c r="B590" s="1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  <c r="AH590" s="200"/>
      <c r="AI590" s="200"/>
      <c r="AJ590" s="200"/>
      <c r="AK590" s="200"/>
      <c r="AL590" s="200"/>
      <c r="AM590" s="200"/>
      <c r="AN590" s="200"/>
      <c r="AO590" s="200"/>
      <c r="AP590" s="200"/>
      <c r="AQ590" s="200"/>
      <c r="AR590" s="200"/>
      <c r="AS590" s="200"/>
      <c r="AT590" s="200"/>
      <c r="AU590" s="200"/>
      <c r="AV590" s="200"/>
      <c r="AW590" s="200"/>
      <c r="AX590" s="200"/>
      <c r="AY590" s="200"/>
      <c r="AZ590" s="200"/>
      <c r="BA590" s="200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spans="1:70" ht="13.8">
      <c r="A591" s="1"/>
      <c r="B591" s="1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  <c r="AB591" s="200"/>
      <c r="AC591" s="200"/>
      <c r="AD591" s="200"/>
      <c r="AE591" s="200"/>
      <c r="AF591" s="200"/>
      <c r="AG591" s="200"/>
      <c r="AH591" s="200"/>
      <c r="AI591" s="200"/>
      <c r="AJ591" s="200"/>
      <c r="AK591" s="200"/>
      <c r="AL591" s="200"/>
      <c r="AM591" s="200"/>
      <c r="AN591" s="200"/>
      <c r="AO591" s="200"/>
      <c r="AP591" s="200"/>
      <c r="AQ591" s="200"/>
      <c r="AR591" s="200"/>
      <c r="AS591" s="200"/>
      <c r="AT591" s="200"/>
      <c r="AU591" s="200"/>
      <c r="AV591" s="200"/>
      <c r="AW591" s="200"/>
      <c r="AX591" s="200"/>
      <c r="AY591" s="200"/>
      <c r="AZ591" s="200"/>
      <c r="BA591" s="200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spans="1:70" ht="13.8">
      <c r="A592" s="1"/>
      <c r="B592" s="1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  <c r="AB592" s="200"/>
      <c r="AC592" s="200"/>
      <c r="AD592" s="200"/>
      <c r="AE592" s="200"/>
      <c r="AF592" s="200"/>
      <c r="AG592" s="200"/>
      <c r="AH592" s="200"/>
      <c r="AI592" s="200"/>
      <c r="AJ592" s="200"/>
      <c r="AK592" s="200"/>
      <c r="AL592" s="200"/>
      <c r="AM592" s="200"/>
      <c r="AN592" s="200"/>
      <c r="AO592" s="200"/>
      <c r="AP592" s="200"/>
      <c r="AQ592" s="200"/>
      <c r="AR592" s="200"/>
      <c r="AS592" s="200"/>
      <c r="AT592" s="200"/>
      <c r="AU592" s="200"/>
      <c r="AV592" s="200"/>
      <c r="AW592" s="200"/>
      <c r="AX592" s="200"/>
      <c r="AY592" s="200"/>
      <c r="AZ592" s="200"/>
      <c r="BA592" s="200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spans="1:70" ht="13.8">
      <c r="A593" s="1"/>
      <c r="B593" s="1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  <c r="AB593" s="200"/>
      <c r="AC593" s="200"/>
      <c r="AD593" s="200"/>
      <c r="AE593" s="200"/>
      <c r="AF593" s="200"/>
      <c r="AG593" s="200"/>
      <c r="AH593" s="200"/>
      <c r="AI593" s="200"/>
      <c r="AJ593" s="200"/>
      <c r="AK593" s="200"/>
      <c r="AL593" s="200"/>
      <c r="AM593" s="200"/>
      <c r="AN593" s="200"/>
      <c r="AO593" s="200"/>
      <c r="AP593" s="200"/>
      <c r="AQ593" s="200"/>
      <c r="AR593" s="200"/>
      <c r="AS593" s="200"/>
      <c r="AT593" s="200"/>
      <c r="AU593" s="200"/>
      <c r="AV593" s="200"/>
      <c r="AW593" s="200"/>
      <c r="AX593" s="200"/>
      <c r="AY593" s="200"/>
      <c r="AZ593" s="200"/>
      <c r="BA593" s="200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spans="1:70" ht="13.8">
      <c r="A594" s="1"/>
      <c r="B594" s="1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  <c r="AB594" s="200"/>
      <c r="AC594" s="200"/>
      <c r="AD594" s="200"/>
      <c r="AE594" s="200"/>
      <c r="AF594" s="200"/>
      <c r="AG594" s="200"/>
      <c r="AH594" s="200"/>
      <c r="AI594" s="200"/>
      <c r="AJ594" s="200"/>
      <c r="AK594" s="200"/>
      <c r="AL594" s="200"/>
      <c r="AM594" s="200"/>
      <c r="AN594" s="200"/>
      <c r="AO594" s="200"/>
      <c r="AP594" s="200"/>
      <c r="AQ594" s="200"/>
      <c r="AR594" s="200"/>
      <c r="AS594" s="200"/>
      <c r="AT594" s="200"/>
      <c r="AU594" s="200"/>
      <c r="AV594" s="200"/>
      <c r="AW594" s="200"/>
      <c r="AX594" s="200"/>
      <c r="AY594" s="200"/>
      <c r="AZ594" s="200"/>
      <c r="BA594" s="200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spans="1:70" ht="13.8">
      <c r="A595" s="1"/>
      <c r="B595" s="1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  <c r="AH595" s="200"/>
      <c r="AI595" s="200"/>
      <c r="AJ595" s="200"/>
      <c r="AK595" s="200"/>
      <c r="AL595" s="200"/>
      <c r="AM595" s="200"/>
      <c r="AN595" s="200"/>
      <c r="AO595" s="200"/>
      <c r="AP595" s="200"/>
      <c r="AQ595" s="200"/>
      <c r="AR595" s="200"/>
      <c r="AS595" s="200"/>
      <c r="AT595" s="200"/>
      <c r="AU595" s="200"/>
      <c r="AV595" s="200"/>
      <c r="AW595" s="200"/>
      <c r="AX595" s="200"/>
      <c r="AY595" s="200"/>
      <c r="AZ595" s="200"/>
      <c r="BA595" s="200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spans="1:70" ht="13.8">
      <c r="A596" s="1"/>
      <c r="B596" s="1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  <c r="AB596" s="200"/>
      <c r="AC596" s="200"/>
      <c r="AD596" s="200"/>
      <c r="AE596" s="200"/>
      <c r="AF596" s="200"/>
      <c r="AG596" s="200"/>
      <c r="AH596" s="200"/>
      <c r="AI596" s="200"/>
      <c r="AJ596" s="200"/>
      <c r="AK596" s="200"/>
      <c r="AL596" s="200"/>
      <c r="AM596" s="200"/>
      <c r="AN596" s="200"/>
      <c r="AO596" s="200"/>
      <c r="AP596" s="200"/>
      <c r="AQ596" s="200"/>
      <c r="AR596" s="200"/>
      <c r="AS596" s="200"/>
      <c r="AT596" s="200"/>
      <c r="AU596" s="200"/>
      <c r="AV596" s="200"/>
      <c r="AW596" s="200"/>
      <c r="AX596" s="200"/>
      <c r="AY596" s="200"/>
      <c r="AZ596" s="200"/>
      <c r="BA596" s="200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spans="1:70" ht="13.8">
      <c r="A597" s="1"/>
      <c r="B597" s="1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  <c r="AB597" s="200"/>
      <c r="AC597" s="200"/>
      <c r="AD597" s="200"/>
      <c r="AE597" s="200"/>
      <c r="AF597" s="200"/>
      <c r="AG597" s="200"/>
      <c r="AH597" s="200"/>
      <c r="AI597" s="200"/>
      <c r="AJ597" s="200"/>
      <c r="AK597" s="200"/>
      <c r="AL597" s="200"/>
      <c r="AM597" s="200"/>
      <c r="AN597" s="200"/>
      <c r="AO597" s="200"/>
      <c r="AP597" s="200"/>
      <c r="AQ597" s="200"/>
      <c r="AR597" s="200"/>
      <c r="AS597" s="200"/>
      <c r="AT597" s="200"/>
      <c r="AU597" s="200"/>
      <c r="AV597" s="200"/>
      <c r="AW597" s="200"/>
      <c r="AX597" s="200"/>
      <c r="AY597" s="200"/>
      <c r="AZ597" s="200"/>
      <c r="BA597" s="200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spans="1:70" ht="13.8">
      <c r="A598" s="1"/>
      <c r="B598" s="1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  <c r="AB598" s="200"/>
      <c r="AC598" s="200"/>
      <c r="AD598" s="200"/>
      <c r="AE598" s="200"/>
      <c r="AF598" s="200"/>
      <c r="AG598" s="200"/>
      <c r="AH598" s="200"/>
      <c r="AI598" s="200"/>
      <c r="AJ598" s="200"/>
      <c r="AK598" s="200"/>
      <c r="AL598" s="200"/>
      <c r="AM598" s="200"/>
      <c r="AN598" s="200"/>
      <c r="AO598" s="200"/>
      <c r="AP598" s="200"/>
      <c r="AQ598" s="200"/>
      <c r="AR598" s="200"/>
      <c r="AS598" s="200"/>
      <c r="AT598" s="200"/>
      <c r="AU598" s="200"/>
      <c r="AV598" s="200"/>
      <c r="AW598" s="200"/>
      <c r="AX598" s="200"/>
      <c r="AY598" s="200"/>
      <c r="AZ598" s="200"/>
      <c r="BA598" s="200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spans="1:70" ht="13.8">
      <c r="A599" s="1"/>
      <c r="B599" s="1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  <c r="AB599" s="200"/>
      <c r="AC599" s="200"/>
      <c r="AD599" s="200"/>
      <c r="AE599" s="200"/>
      <c r="AF599" s="200"/>
      <c r="AG599" s="200"/>
      <c r="AH599" s="200"/>
      <c r="AI599" s="200"/>
      <c r="AJ599" s="200"/>
      <c r="AK599" s="200"/>
      <c r="AL599" s="200"/>
      <c r="AM599" s="200"/>
      <c r="AN599" s="200"/>
      <c r="AO599" s="200"/>
      <c r="AP599" s="200"/>
      <c r="AQ599" s="200"/>
      <c r="AR599" s="200"/>
      <c r="AS599" s="200"/>
      <c r="AT599" s="200"/>
      <c r="AU599" s="200"/>
      <c r="AV599" s="200"/>
      <c r="AW599" s="200"/>
      <c r="AX599" s="200"/>
      <c r="AY599" s="200"/>
      <c r="AZ599" s="200"/>
      <c r="BA599" s="200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spans="1:70" ht="13.8">
      <c r="A600" s="1"/>
      <c r="B600" s="1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  <c r="AB600" s="200"/>
      <c r="AC600" s="200"/>
      <c r="AD600" s="200"/>
      <c r="AE600" s="200"/>
      <c r="AF600" s="200"/>
      <c r="AG600" s="200"/>
      <c r="AH600" s="200"/>
      <c r="AI600" s="200"/>
      <c r="AJ600" s="200"/>
      <c r="AK600" s="200"/>
      <c r="AL600" s="200"/>
      <c r="AM600" s="200"/>
      <c r="AN600" s="200"/>
      <c r="AO600" s="200"/>
      <c r="AP600" s="200"/>
      <c r="AQ600" s="200"/>
      <c r="AR600" s="200"/>
      <c r="AS600" s="200"/>
      <c r="AT600" s="200"/>
      <c r="AU600" s="200"/>
      <c r="AV600" s="200"/>
      <c r="AW600" s="200"/>
      <c r="AX600" s="200"/>
      <c r="AY600" s="200"/>
      <c r="AZ600" s="200"/>
      <c r="BA600" s="200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spans="1:70" ht="13.8">
      <c r="A601" s="1"/>
      <c r="B601" s="1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  <c r="AB601" s="200"/>
      <c r="AC601" s="200"/>
      <c r="AD601" s="200"/>
      <c r="AE601" s="200"/>
      <c r="AF601" s="200"/>
      <c r="AG601" s="200"/>
      <c r="AH601" s="200"/>
      <c r="AI601" s="200"/>
      <c r="AJ601" s="200"/>
      <c r="AK601" s="200"/>
      <c r="AL601" s="200"/>
      <c r="AM601" s="200"/>
      <c r="AN601" s="200"/>
      <c r="AO601" s="200"/>
      <c r="AP601" s="200"/>
      <c r="AQ601" s="200"/>
      <c r="AR601" s="200"/>
      <c r="AS601" s="200"/>
      <c r="AT601" s="200"/>
      <c r="AU601" s="200"/>
      <c r="AV601" s="200"/>
      <c r="AW601" s="200"/>
      <c r="AX601" s="200"/>
      <c r="AY601" s="200"/>
      <c r="AZ601" s="200"/>
      <c r="BA601" s="200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spans="1:70" ht="13.8">
      <c r="A602" s="1"/>
      <c r="B602" s="1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  <c r="AB602" s="200"/>
      <c r="AC602" s="200"/>
      <c r="AD602" s="200"/>
      <c r="AE602" s="200"/>
      <c r="AF602" s="200"/>
      <c r="AG602" s="200"/>
      <c r="AH602" s="200"/>
      <c r="AI602" s="200"/>
      <c r="AJ602" s="200"/>
      <c r="AK602" s="200"/>
      <c r="AL602" s="200"/>
      <c r="AM602" s="200"/>
      <c r="AN602" s="200"/>
      <c r="AO602" s="200"/>
      <c r="AP602" s="200"/>
      <c r="AQ602" s="200"/>
      <c r="AR602" s="200"/>
      <c r="AS602" s="200"/>
      <c r="AT602" s="200"/>
      <c r="AU602" s="200"/>
      <c r="AV602" s="200"/>
      <c r="AW602" s="200"/>
      <c r="AX602" s="200"/>
      <c r="AY602" s="200"/>
      <c r="AZ602" s="200"/>
      <c r="BA602" s="200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spans="1:70" ht="13.8">
      <c r="A603" s="1"/>
      <c r="B603" s="1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  <c r="AB603" s="200"/>
      <c r="AC603" s="200"/>
      <c r="AD603" s="200"/>
      <c r="AE603" s="200"/>
      <c r="AF603" s="200"/>
      <c r="AG603" s="200"/>
      <c r="AH603" s="200"/>
      <c r="AI603" s="200"/>
      <c r="AJ603" s="200"/>
      <c r="AK603" s="200"/>
      <c r="AL603" s="200"/>
      <c r="AM603" s="200"/>
      <c r="AN603" s="200"/>
      <c r="AO603" s="200"/>
      <c r="AP603" s="200"/>
      <c r="AQ603" s="200"/>
      <c r="AR603" s="200"/>
      <c r="AS603" s="200"/>
      <c r="AT603" s="200"/>
      <c r="AU603" s="200"/>
      <c r="AV603" s="200"/>
      <c r="AW603" s="200"/>
      <c r="AX603" s="200"/>
      <c r="AY603" s="200"/>
      <c r="AZ603" s="200"/>
      <c r="BA603" s="200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spans="1:70" ht="13.8">
      <c r="A604" s="1"/>
      <c r="B604" s="1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  <c r="AB604" s="200"/>
      <c r="AC604" s="200"/>
      <c r="AD604" s="200"/>
      <c r="AE604" s="200"/>
      <c r="AF604" s="200"/>
      <c r="AG604" s="200"/>
      <c r="AH604" s="200"/>
      <c r="AI604" s="200"/>
      <c r="AJ604" s="200"/>
      <c r="AK604" s="200"/>
      <c r="AL604" s="200"/>
      <c r="AM604" s="200"/>
      <c r="AN604" s="200"/>
      <c r="AO604" s="200"/>
      <c r="AP604" s="200"/>
      <c r="AQ604" s="200"/>
      <c r="AR604" s="200"/>
      <c r="AS604" s="200"/>
      <c r="AT604" s="200"/>
      <c r="AU604" s="200"/>
      <c r="AV604" s="200"/>
      <c r="AW604" s="200"/>
      <c r="AX604" s="200"/>
      <c r="AY604" s="200"/>
      <c r="AZ604" s="200"/>
      <c r="BA604" s="200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spans="1:70" ht="13.8">
      <c r="A605" s="1"/>
      <c r="B605" s="1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  <c r="AB605" s="200"/>
      <c r="AC605" s="200"/>
      <c r="AD605" s="200"/>
      <c r="AE605" s="200"/>
      <c r="AF605" s="200"/>
      <c r="AG605" s="200"/>
      <c r="AH605" s="200"/>
      <c r="AI605" s="200"/>
      <c r="AJ605" s="200"/>
      <c r="AK605" s="200"/>
      <c r="AL605" s="200"/>
      <c r="AM605" s="200"/>
      <c r="AN605" s="200"/>
      <c r="AO605" s="200"/>
      <c r="AP605" s="200"/>
      <c r="AQ605" s="200"/>
      <c r="AR605" s="200"/>
      <c r="AS605" s="200"/>
      <c r="AT605" s="200"/>
      <c r="AU605" s="200"/>
      <c r="AV605" s="200"/>
      <c r="AW605" s="200"/>
      <c r="AX605" s="200"/>
      <c r="AY605" s="200"/>
      <c r="AZ605" s="200"/>
      <c r="BA605" s="200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spans="1:70" ht="13.8">
      <c r="A606" s="1"/>
      <c r="B606" s="1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  <c r="AB606" s="200"/>
      <c r="AC606" s="200"/>
      <c r="AD606" s="200"/>
      <c r="AE606" s="200"/>
      <c r="AF606" s="200"/>
      <c r="AG606" s="200"/>
      <c r="AH606" s="200"/>
      <c r="AI606" s="200"/>
      <c r="AJ606" s="200"/>
      <c r="AK606" s="200"/>
      <c r="AL606" s="200"/>
      <c r="AM606" s="200"/>
      <c r="AN606" s="200"/>
      <c r="AO606" s="200"/>
      <c r="AP606" s="200"/>
      <c r="AQ606" s="200"/>
      <c r="AR606" s="200"/>
      <c r="AS606" s="200"/>
      <c r="AT606" s="200"/>
      <c r="AU606" s="200"/>
      <c r="AV606" s="200"/>
      <c r="AW606" s="200"/>
      <c r="AX606" s="200"/>
      <c r="AY606" s="200"/>
      <c r="AZ606" s="200"/>
      <c r="BA606" s="200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spans="1:70" ht="13.8">
      <c r="A607" s="1"/>
      <c r="B607" s="1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  <c r="AB607" s="200"/>
      <c r="AC607" s="200"/>
      <c r="AD607" s="200"/>
      <c r="AE607" s="200"/>
      <c r="AF607" s="200"/>
      <c r="AG607" s="200"/>
      <c r="AH607" s="200"/>
      <c r="AI607" s="200"/>
      <c r="AJ607" s="200"/>
      <c r="AK607" s="200"/>
      <c r="AL607" s="200"/>
      <c r="AM607" s="200"/>
      <c r="AN607" s="200"/>
      <c r="AO607" s="200"/>
      <c r="AP607" s="200"/>
      <c r="AQ607" s="200"/>
      <c r="AR607" s="200"/>
      <c r="AS607" s="200"/>
      <c r="AT607" s="200"/>
      <c r="AU607" s="200"/>
      <c r="AV607" s="200"/>
      <c r="AW607" s="200"/>
      <c r="AX607" s="200"/>
      <c r="AY607" s="200"/>
      <c r="AZ607" s="200"/>
      <c r="BA607" s="200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spans="1:70" ht="13.8">
      <c r="A608" s="1"/>
      <c r="B608" s="1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  <c r="AB608" s="200"/>
      <c r="AC608" s="200"/>
      <c r="AD608" s="200"/>
      <c r="AE608" s="200"/>
      <c r="AF608" s="200"/>
      <c r="AG608" s="200"/>
      <c r="AH608" s="200"/>
      <c r="AI608" s="200"/>
      <c r="AJ608" s="200"/>
      <c r="AK608" s="200"/>
      <c r="AL608" s="200"/>
      <c r="AM608" s="200"/>
      <c r="AN608" s="200"/>
      <c r="AO608" s="200"/>
      <c r="AP608" s="200"/>
      <c r="AQ608" s="200"/>
      <c r="AR608" s="200"/>
      <c r="AS608" s="200"/>
      <c r="AT608" s="200"/>
      <c r="AU608" s="200"/>
      <c r="AV608" s="200"/>
      <c r="AW608" s="200"/>
      <c r="AX608" s="200"/>
      <c r="AY608" s="200"/>
      <c r="AZ608" s="200"/>
      <c r="BA608" s="200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spans="1:70" ht="13.8">
      <c r="A609" s="1"/>
      <c r="B609" s="1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  <c r="AB609" s="200"/>
      <c r="AC609" s="200"/>
      <c r="AD609" s="200"/>
      <c r="AE609" s="200"/>
      <c r="AF609" s="200"/>
      <c r="AG609" s="200"/>
      <c r="AH609" s="200"/>
      <c r="AI609" s="200"/>
      <c r="AJ609" s="200"/>
      <c r="AK609" s="200"/>
      <c r="AL609" s="200"/>
      <c r="AM609" s="200"/>
      <c r="AN609" s="200"/>
      <c r="AO609" s="200"/>
      <c r="AP609" s="200"/>
      <c r="AQ609" s="200"/>
      <c r="AR609" s="200"/>
      <c r="AS609" s="200"/>
      <c r="AT609" s="200"/>
      <c r="AU609" s="200"/>
      <c r="AV609" s="200"/>
      <c r="AW609" s="200"/>
      <c r="AX609" s="200"/>
      <c r="AY609" s="200"/>
      <c r="AZ609" s="200"/>
      <c r="BA609" s="200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spans="1:70" ht="13.8">
      <c r="A610" s="1"/>
      <c r="B610" s="1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  <c r="AB610" s="200"/>
      <c r="AC610" s="200"/>
      <c r="AD610" s="200"/>
      <c r="AE610" s="200"/>
      <c r="AF610" s="200"/>
      <c r="AG610" s="200"/>
      <c r="AH610" s="200"/>
      <c r="AI610" s="200"/>
      <c r="AJ610" s="200"/>
      <c r="AK610" s="200"/>
      <c r="AL610" s="200"/>
      <c r="AM610" s="200"/>
      <c r="AN610" s="200"/>
      <c r="AO610" s="200"/>
      <c r="AP610" s="200"/>
      <c r="AQ610" s="200"/>
      <c r="AR610" s="200"/>
      <c r="AS610" s="200"/>
      <c r="AT610" s="200"/>
      <c r="AU610" s="200"/>
      <c r="AV610" s="200"/>
      <c r="AW610" s="200"/>
      <c r="AX610" s="200"/>
      <c r="AY610" s="200"/>
      <c r="AZ610" s="200"/>
      <c r="BA610" s="200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spans="1:70" ht="13.8">
      <c r="A611" s="1"/>
      <c r="B611" s="1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  <c r="AB611" s="200"/>
      <c r="AC611" s="200"/>
      <c r="AD611" s="200"/>
      <c r="AE611" s="200"/>
      <c r="AF611" s="200"/>
      <c r="AG611" s="200"/>
      <c r="AH611" s="200"/>
      <c r="AI611" s="200"/>
      <c r="AJ611" s="200"/>
      <c r="AK611" s="200"/>
      <c r="AL611" s="200"/>
      <c r="AM611" s="200"/>
      <c r="AN611" s="200"/>
      <c r="AO611" s="200"/>
      <c r="AP611" s="200"/>
      <c r="AQ611" s="200"/>
      <c r="AR611" s="200"/>
      <c r="AS611" s="200"/>
      <c r="AT611" s="200"/>
      <c r="AU611" s="200"/>
      <c r="AV611" s="200"/>
      <c r="AW611" s="200"/>
      <c r="AX611" s="200"/>
      <c r="AY611" s="200"/>
      <c r="AZ611" s="200"/>
      <c r="BA611" s="200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spans="1:70" ht="13.8">
      <c r="A612" s="1"/>
      <c r="B612" s="1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  <c r="AB612" s="200"/>
      <c r="AC612" s="200"/>
      <c r="AD612" s="200"/>
      <c r="AE612" s="200"/>
      <c r="AF612" s="200"/>
      <c r="AG612" s="200"/>
      <c r="AH612" s="200"/>
      <c r="AI612" s="200"/>
      <c r="AJ612" s="200"/>
      <c r="AK612" s="200"/>
      <c r="AL612" s="200"/>
      <c r="AM612" s="200"/>
      <c r="AN612" s="200"/>
      <c r="AO612" s="200"/>
      <c r="AP612" s="200"/>
      <c r="AQ612" s="200"/>
      <c r="AR612" s="200"/>
      <c r="AS612" s="200"/>
      <c r="AT612" s="200"/>
      <c r="AU612" s="200"/>
      <c r="AV612" s="200"/>
      <c r="AW612" s="200"/>
      <c r="AX612" s="200"/>
      <c r="AY612" s="200"/>
      <c r="AZ612" s="200"/>
      <c r="BA612" s="200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spans="1:70" ht="13.8">
      <c r="A613" s="1"/>
      <c r="B613" s="1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  <c r="AB613" s="200"/>
      <c r="AC613" s="200"/>
      <c r="AD613" s="200"/>
      <c r="AE613" s="200"/>
      <c r="AF613" s="200"/>
      <c r="AG613" s="200"/>
      <c r="AH613" s="200"/>
      <c r="AI613" s="200"/>
      <c r="AJ613" s="200"/>
      <c r="AK613" s="200"/>
      <c r="AL613" s="200"/>
      <c r="AM613" s="200"/>
      <c r="AN613" s="200"/>
      <c r="AO613" s="200"/>
      <c r="AP613" s="200"/>
      <c r="AQ613" s="200"/>
      <c r="AR613" s="200"/>
      <c r="AS613" s="200"/>
      <c r="AT613" s="200"/>
      <c r="AU613" s="200"/>
      <c r="AV613" s="200"/>
      <c r="AW613" s="200"/>
      <c r="AX613" s="200"/>
      <c r="AY613" s="200"/>
      <c r="AZ613" s="200"/>
      <c r="BA613" s="200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spans="1:70" ht="13.8">
      <c r="A614" s="1"/>
      <c r="B614" s="1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  <c r="AB614" s="200"/>
      <c r="AC614" s="200"/>
      <c r="AD614" s="200"/>
      <c r="AE614" s="200"/>
      <c r="AF614" s="200"/>
      <c r="AG614" s="200"/>
      <c r="AH614" s="200"/>
      <c r="AI614" s="200"/>
      <c r="AJ614" s="200"/>
      <c r="AK614" s="200"/>
      <c r="AL614" s="200"/>
      <c r="AM614" s="200"/>
      <c r="AN614" s="200"/>
      <c r="AO614" s="200"/>
      <c r="AP614" s="200"/>
      <c r="AQ614" s="200"/>
      <c r="AR614" s="200"/>
      <c r="AS614" s="200"/>
      <c r="AT614" s="200"/>
      <c r="AU614" s="200"/>
      <c r="AV614" s="200"/>
      <c r="AW614" s="200"/>
      <c r="AX614" s="200"/>
      <c r="AY614" s="200"/>
      <c r="AZ614" s="200"/>
      <c r="BA614" s="200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spans="1:70" ht="13.8">
      <c r="A615" s="1"/>
      <c r="B615" s="1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  <c r="AB615" s="200"/>
      <c r="AC615" s="200"/>
      <c r="AD615" s="200"/>
      <c r="AE615" s="200"/>
      <c r="AF615" s="200"/>
      <c r="AG615" s="200"/>
      <c r="AH615" s="200"/>
      <c r="AI615" s="200"/>
      <c r="AJ615" s="200"/>
      <c r="AK615" s="200"/>
      <c r="AL615" s="200"/>
      <c r="AM615" s="200"/>
      <c r="AN615" s="200"/>
      <c r="AO615" s="200"/>
      <c r="AP615" s="200"/>
      <c r="AQ615" s="200"/>
      <c r="AR615" s="200"/>
      <c r="AS615" s="200"/>
      <c r="AT615" s="200"/>
      <c r="AU615" s="200"/>
      <c r="AV615" s="200"/>
      <c r="AW615" s="200"/>
      <c r="AX615" s="200"/>
      <c r="AY615" s="200"/>
      <c r="AZ615" s="200"/>
      <c r="BA615" s="200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spans="1:70" ht="13.8">
      <c r="A616" s="1"/>
      <c r="B616" s="1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  <c r="AB616" s="200"/>
      <c r="AC616" s="200"/>
      <c r="AD616" s="200"/>
      <c r="AE616" s="200"/>
      <c r="AF616" s="200"/>
      <c r="AG616" s="200"/>
      <c r="AH616" s="200"/>
      <c r="AI616" s="200"/>
      <c r="AJ616" s="200"/>
      <c r="AK616" s="200"/>
      <c r="AL616" s="200"/>
      <c r="AM616" s="200"/>
      <c r="AN616" s="200"/>
      <c r="AO616" s="200"/>
      <c r="AP616" s="200"/>
      <c r="AQ616" s="200"/>
      <c r="AR616" s="200"/>
      <c r="AS616" s="200"/>
      <c r="AT616" s="200"/>
      <c r="AU616" s="200"/>
      <c r="AV616" s="200"/>
      <c r="AW616" s="200"/>
      <c r="AX616" s="200"/>
      <c r="AY616" s="200"/>
      <c r="AZ616" s="200"/>
      <c r="BA616" s="200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spans="1:70" ht="13.8">
      <c r="A617" s="1"/>
      <c r="B617" s="1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  <c r="AB617" s="200"/>
      <c r="AC617" s="200"/>
      <c r="AD617" s="200"/>
      <c r="AE617" s="200"/>
      <c r="AF617" s="200"/>
      <c r="AG617" s="200"/>
      <c r="AH617" s="200"/>
      <c r="AI617" s="200"/>
      <c r="AJ617" s="200"/>
      <c r="AK617" s="200"/>
      <c r="AL617" s="200"/>
      <c r="AM617" s="200"/>
      <c r="AN617" s="200"/>
      <c r="AO617" s="200"/>
      <c r="AP617" s="200"/>
      <c r="AQ617" s="200"/>
      <c r="AR617" s="200"/>
      <c r="AS617" s="200"/>
      <c r="AT617" s="200"/>
      <c r="AU617" s="200"/>
      <c r="AV617" s="200"/>
      <c r="AW617" s="200"/>
      <c r="AX617" s="200"/>
      <c r="AY617" s="200"/>
      <c r="AZ617" s="200"/>
      <c r="BA617" s="200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spans="1:70" ht="13.8">
      <c r="A618" s="1"/>
      <c r="B618" s="1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  <c r="AB618" s="200"/>
      <c r="AC618" s="200"/>
      <c r="AD618" s="200"/>
      <c r="AE618" s="200"/>
      <c r="AF618" s="200"/>
      <c r="AG618" s="200"/>
      <c r="AH618" s="200"/>
      <c r="AI618" s="200"/>
      <c r="AJ618" s="200"/>
      <c r="AK618" s="200"/>
      <c r="AL618" s="200"/>
      <c r="AM618" s="200"/>
      <c r="AN618" s="200"/>
      <c r="AO618" s="200"/>
      <c r="AP618" s="200"/>
      <c r="AQ618" s="200"/>
      <c r="AR618" s="200"/>
      <c r="AS618" s="200"/>
      <c r="AT618" s="200"/>
      <c r="AU618" s="200"/>
      <c r="AV618" s="200"/>
      <c r="AW618" s="200"/>
      <c r="AX618" s="200"/>
      <c r="AY618" s="200"/>
      <c r="AZ618" s="200"/>
      <c r="BA618" s="200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spans="1:70" ht="13.8">
      <c r="A619" s="1"/>
      <c r="B619" s="1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  <c r="AB619" s="200"/>
      <c r="AC619" s="200"/>
      <c r="AD619" s="200"/>
      <c r="AE619" s="200"/>
      <c r="AF619" s="200"/>
      <c r="AG619" s="200"/>
      <c r="AH619" s="200"/>
      <c r="AI619" s="200"/>
      <c r="AJ619" s="200"/>
      <c r="AK619" s="200"/>
      <c r="AL619" s="200"/>
      <c r="AM619" s="200"/>
      <c r="AN619" s="200"/>
      <c r="AO619" s="200"/>
      <c r="AP619" s="200"/>
      <c r="AQ619" s="200"/>
      <c r="AR619" s="200"/>
      <c r="AS619" s="200"/>
      <c r="AT619" s="200"/>
      <c r="AU619" s="200"/>
      <c r="AV619" s="200"/>
      <c r="AW619" s="200"/>
      <c r="AX619" s="200"/>
      <c r="AY619" s="200"/>
      <c r="AZ619" s="200"/>
      <c r="BA619" s="200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spans="1:70" ht="13.8">
      <c r="A620" s="1"/>
      <c r="B620" s="1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  <c r="AB620" s="200"/>
      <c r="AC620" s="200"/>
      <c r="AD620" s="200"/>
      <c r="AE620" s="200"/>
      <c r="AF620" s="200"/>
      <c r="AG620" s="200"/>
      <c r="AH620" s="200"/>
      <c r="AI620" s="200"/>
      <c r="AJ620" s="200"/>
      <c r="AK620" s="200"/>
      <c r="AL620" s="200"/>
      <c r="AM620" s="200"/>
      <c r="AN620" s="200"/>
      <c r="AO620" s="200"/>
      <c r="AP620" s="200"/>
      <c r="AQ620" s="200"/>
      <c r="AR620" s="200"/>
      <c r="AS620" s="200"/>
      <c r="AT620" s="200"/>
      <c r="AU620" s="200"/>
      <c r="AV620" s="200"/>
      <c r="AW620" s="200"/>
      <c r="AX620" s="200"/>
      <c r="AY620" s="200"/>
      <c r="AZ620" s="200"/>
      <c r="BA620" s="200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spans="1:70" ht="13.8">
      <c r="A621" s="1"/>
      <c r="B621" s="1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  <c r="AB621" s="200"/>
      <c r="AC621" s="200"/>
      <c r="AD621" s="200"/>
      <c r="AE621" s="200"/>
      <c r="AF621" s="200"/>
      <c r="AG621" s="200"/>
      <c r="AH621" s="200"/>
      <c r="AI621" s="200"/>
      <c r="AJ621" s="200"/>
      <c r="AK621" s="200"/>
      <c r="AL621" s="200"/>
      <c r="AM621" s="200"/>
      <c r="AN621" s="200"/>
      <c r="AO621" s="200"/>
      <c r="AP621" s="200"/>
      <c r="AQ621" s="200"/>
      <c r="AR621" s="200"/>
      <c r="AS621" s="200"/>
      <c r="AT621" s="200"/>
      <c r="AU621" s="200"/>
      <c r="AV621" s="200"/>
      <c r="AW621" s="200"/>
      <c r="AX621" s="200"/>
      <c r="AY621" s="200"/>
      <c r="AZ621" s="200"/>
      <c r="BA621" s="200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spans="1:70" ht="13.8">
      <c r="A622" s="1"/>
      <c r="B622" s="1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  <c r="AB622" s="200"/>
      <c r="AC622" s="200"/>
      <c r="AD622" s="200"/>
      <c r="AE622" s="200"/>
      <c r="AF622" s="200"/>
      <c r="AG622" s="200"/>
      <c r="AH622" s="200"/>
      <c r="AI622" s="200"/>
      <c r="AJ622" s="200"/>
      <c r="AK622" s="200"/>
      <c r="AL622" s="200"/>
      <c r="AM622" s="200"/>
      <c r="AN622" s="200"/>
      <c r="AO622" s="200"/>
      <c r="AP622" s="200"/>
      <c r="AQ622" s="200"/>
      <c r="AR622" s="200"/>
      <c r="AS622" s="200"/>
      <c r="AT622" s="200"/>
      <c r="AU622" s="200"/>
      <c r="AV622" s="200"/>
      <c r="AW622" s="200"/>
      <c r="AX622" s="200"/>
      <c r="AY622" s="200"/>
      <c r="AZ622" s="200"/>
      <c r="BA622" s="200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spans="1:70" ht="13.8">
      <c r="A623" s="1"/>
      <c r="B623" s="1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  <c r="AB623" s="200"/>
      <c r="AC623" s="200"/>
      <c r="AD623" s="200"/>
      <c r="AE623" s="200"/>
      <c r="AF623" s="200"/>
      <c r="AG623" s="200"/>
      <c r="AH623" s="200"/>
      <c r="AI623" s="200"/>
      <c r="AJ623" s="200"/>
      <c r="AK623" s="200"/>
      <c r="AL623" s="200"/>
      <c r="AM623" s="200"/>
      <c r="AN623" s="200"/>
      <c r="AO623" s="200"/>
      <c r="AP623" s="200"/>
      <c r="AQ623" s="200"/>
      <c r="AR623" s="200"/>
      <c r="AS623" s="200"/>
      <c r="AT623" s="200"/>
      <c r="AU623" s="200"/>
      <c r="AV623" s="200"/>
      <c r="AW623" s="200"/>
      <c r="AX623" s="200"/>
      <c r="AY623" s="200"/>
      <c r="AZ623" s="200"/>
      <c r="BA623" s="200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spans="1:70" ht="13.8">
      <c r="A624" s="1"/>
      <c r="B624" s="1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  <c r="AB624" s="200"/>
      <c r="AC624" s="200"/>
      <c r="AD624" s="200"/>
      <c r="AE624" s="200"/>
      <c r="AF624" s="200"/>
      <c r="AG624" s="200"/>
      <c r="AH624" s="200"/>
      <c r="AI624" s="200"/>
      <c r="AJ624" s="200"/>
      <c r="AK624" s="200"/>
      <c r="AL624" s="200"/>
      <c r="AM624" s="200"/>
      <c r="AN624" s="200"/>
      <c r="AO624" s="200"/>
      <c r="AP624" s="200"/>
      <c r="AQ624" s="200"/>
      <c r="AR624" s="200"/>
      <c r="AS624" s="200"/>
      <c r="AT624" s="200"/>
      <c r="AU624" s="200"/>
      <c r="AV624" s="200"/>
      <c r="AW624" s="200"/>
      <c r="AX624" s="200"/>
      <c r="AY624" s="200"/>
      <c r="AZ624" s="200"/>
      <c r="BA624" s="200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spans="1:70" ht="13.8">
      <c r="A625" s="1"/>
      <c r="B625" s="1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  <c r="AB625" s="200"/>
      <c r="AC625" s="200"/>
      <c r="AD625" s="200"/>
      <c r="AE625" s="200"/>
      <c r="AF625" s="200"/>
      <c r="AG625" s="200"/>
      <c r="AH625" s="200"/>
      <c r="AI625" s="200"/>
      <c r="AJ625" s="200"/>
      <c r="AK625" s="200"/>
      <c r="AL625" s="200"/>
      <c r="AM625" s="200"/>
      <c r="AN625" s="200"/>
      <c r="AO625" s="200"/>
      <c r="AP625" s="200"/>
      <c r="AQ625" s="200"/>
      <c r="AR625" s="200"/>
      <c r="AS625" s="200"/>
      <c r="AT625" s="200"/>
      <c r="AU625" s="200"/>
      <c r="AV625" s="200"/>
      <c r="AW625" s="200"/>
      <c r="AX625" s="200"/>
      <c r="AY625" s="200"/>
      <c r="AZ625" s="200"/>
      <c r="BA625" s="200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spans="1:70" ht="13.8">
      <c r="A626" s="1"/>
      <c r="B626" s="1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  <c r="AB626" s="200"/>
      <c r="AC626" s="200"/>
      <c r="AD626" s="200"/>
      <c r="AE626" s="200"/>
      <c r="AF626" s="200"/>
      <c r="AG626" s="200"/>
      <c r="AH626" s="200"/>
      <c r="AI626" s="200"/>
      <c r="AJ626" s="200"/>
      <c r="AK626" s="200"/>
      <c r="AL626" s="200"/>
      <c r="AM626" s="200"/>
      <c r="AN626" s="200"/>
      <c r="AO626" s="200"/>
      <c r="AP626" s="200"/>
      <c r="AQ626" s="200"/>
      <c r="AR626" s="200"/>
      <c r="AS626" s="200"/>
      <c r="AT626" s="200"/>
      <c r="AU626" s="200"/>
      <c r="AV626" s="200"/>
      <c r="AW626" s="200"/>
      <c r="AX626" s="200"/>
      <c r="AY626" s="200"/>
      <c r="AZ626" s="200"/>
      <c r="BA626" s="200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spans="1:70" ht="13.8">
      <c r="A627" s="1"/>
      <c r="B627" s="1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  <c r="AB627" s="200"/>
      <c r="AC627" s="200"/>
      <c r="AD627" s="200"/>
      <c r="AE627" s="200"/>
      <c r="AF627" s="200"/>
      <c r="AG627" s="200"/>
      <c r="AH627" s="200"/>
      <c r="AI627" s="200"/>
      <c r="AJ627" s="200"/>
      <c r="AK627" s="200"/>
      <c r="AL627" s="200"/>
      <c r="AM627" s="200"/>
      <c r="AN627" s="200"/>
      <c r="AO627" s="200"/>
      <c r="AP627" s="200"/>
      <c r="AQ627" s="200"/>
      <c r="AR627" s="200"/>
      <c r="AS627" s="200"/>
      <c r="AT627" s="200"/>
      <c r="AU627" s="200"/>
      <c r="AV627" s="200"/>
      <c r="AW627" s="200"/>
      <c r="AX627" s="200"/>
      <c r="AY627" s="200"/>
      <c r="AZ627" s="200"/>
      <c r="BA627" s="200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spans="1:70" ht="13.8">
      <c r="A628" s="1"/>
      <c r="B628" s="1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  <c r="AB628" s="200"/>
      <c r="AC628" s="200"/>
      <c r="AD628" s="200"/>
      <c r="AE628" s="200"/>
      <c r="AF628" s="200"/>
      <c r="AG628" s="200"/>
      <c r="AH628" s="200"/>
      <c r="AI628" s="200"/>
      <c r="AJ628" s="200"/>
      <c r="AK628" s="200"/>
      <c r="AL628" s="200"/>
      <c r="AM628" s="200"/>
      <c r="AN628" s="200"/>
      <c r="AO628" s="200"/>
      <c r="AP628" s="200"/>
      <c r="AQ628" s="200"/>
      <c r="AR628" s="200"/>
      <c r="AS628" s="200"/>
      <c r="AT628" s="200"/>
      <c r="AU628" s="200"/>
      <c r="AV628" s="200"/>
      <c r="AW628" s="200"/>
      <c r="AX628" s="200"/>
      <c r="AY628" s="200"/>
      <c r="AZ628" s="200"/>
      <c r="BA628" s="200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spans="1:70" ht="13.8">
      <c r="A629" s="1"/>
      <c r="B629" s="1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  <c r="AB629" s="200"/>
      <c r="AC629" s="200"/>
      <c r="AD629" s="200"/>
      <c r="AE629" s="200"/>
      <c r="AF629" s="200"/>
      <c r="AG629" s="200"/>
      <c r="AH629" s="200"/>
      <c r="AI629" s="200"/>
      <c r="AJ629" s="200"/>
      <c r="AK629" s="200"/>
      <c r="AL629" s="200"/>
      <c r="AM629" s="200"/>
      <c r="AN629" s="200"/>
      <c r="AO629" s="200"/>
      <c r="AP629" s="200"/>
      <c r="AQ629" s="200"/>
      <c r="AR629" s="200"/>
      <c r="AS629" s="200"/>
      <c r="AT629" s="200"/>
      <c r="AU629" s="200"/>
      <c r="AV629" s="200"/>
      <c r="AW629" s="200"/>
      <c r="AX629" s="200"/>
      <c r="AY629" s="200"/>
      <c r="AZ629" s="200"/>
      <c r="BA629" s="200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spans="1:70" ht="13.8">
      <c r="A630" s="1"/>
      <c r="B630" s="1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  <c r="AB630" s="200"/>
      <c r="AC630" s="200"/>
      <c r="AD630" s="200"/>
      <c r="AE630" s="200"/>
      <c r="AF630" s="200"/>
      <c r="AG630" s="200"/>
      <c r="AH630" s="200"/>
      <c r="AI630" s="200"/>
      <c r="AJ630" s="200"/>
      <c r="AK630" s="200"/>
      <c r="AL630" s="200"/>
      <c r="AM630" s="200"/>
      <c r="AN630" s="200"/>
      <c r="AO630" s="200"/>
      <c r="AP630" s="200"/>
      <c r="AQ630" s="200"/>
      <c r="AR630" s="200"/>
      <c r="AS630" s="200"/>
      <c r="AT630" s="200"/>
      <c r="AU630" s="200"/>
      <c r="AV630" s="200"/>
      <c r="AW630" s="200"/>
      <c r="AX630" s="200"/>
      <c r="AY630" s="200"/>
      <c r="AZ630" s="200"/>
      <c r="BA630" s="200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spans="1:70" ht="13.8">
      <c r="A631" s="1"/>
      <c r="B631" s="1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  <c r="AB631" s="200"/>
      <c r="AC631" s="200"/>
      <c r="AD631" s="200"/>
      <c r="AE631" s="200"/>
      <c r="AF631" s="200"/>
      <c r="AG631" s="200"/>
      <c r="AH631" s="200"/>
      <c r="AI631" s="200"/>
      <c r="AJ631" s="200"/>
      <c r="AK631" s="200"/>
      <c r="AL631" s="200"/>
      <c r="AM631" s="200"/>
      <c r="AN631" s="200"/>
      <c r="AO631" s="200"/>
      <c r="AP631" s="200"/>
      <c r="AQ631" s="200"/>
      <c r="AR631" s="200"/>
      <c r="AS631" s="200"/>
      <c r="AT631" s="200"/>
      <c r="AU631" s="200"/>
      <c r="AV631" s="200"/>
      <c r="AW631" s="200"/>
      <c r="AX631" s="200"/>
      <c r="AY631" s="200"/>
      <c r="AZ631" s="200"/>
      <c r="BA631" s="200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spans="1:70" ht="13.8">
      <c r="A632" s="1"/>
      <c r="B632" s="1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  <c r="AB632" s="200"/>
      <c r="AC632" s="200"/>
      <c r="AD632" s="200"/>
      <c r="AE632" s="200"/>
      <c r="AF632" s="200"/>
      <c r="AG632" s="200"/>
      <c r="AH632" s="200"/>
      <c r="AI632" s="200"/>
      <c r="AJ632" s="200"/>
      <c r="AK632" s="200"/>
      <c r="AL632" s="200"/>
      <c r="AM632" s="200"/>
      <c r="AN632" s="200"/>
      <c r="AO632" s="200"/>
      <c r="AP632" s="200"/>
      <c r="AQ632" s="200"/>
      <c r="AR632" s="200"/>
      <c r="AS632" s="200"/>
      <c r="AT632" s="200"/>
      <c r="AU632" s="200"/>
      <c r="AV632" s="200"/>
      <c r="AW632" s="200"/>
      <c r="AX632" s="200"/>
      <c r="AY632" s="200"/>
      <c r="AZ632" s="200"/>
      <c r="BA632" s="200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spans="1:70" ht="13.8">
      <c r="A633" s="1"/>
      <c r="B633" s="1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  <c r="AB633" s="200"/>
      <c r="AC633" s="200"/>
      <c r="AD633" s="200"/>
      <c r="AE633" s="200"/>
      <c r="AF633" s="200"/>
      <c r="AG633" s="200"/>
      <c r="AH633" s="200"/>
      <c r="AI633" s="200"/>
      <c r="AJ633" s="200"/>
      <c r="AK633" s="200"/>
      <c r="AL633" s="200"/>
      <c r="AM633" s="200"/>
      <c r="AN633" s="200"/>
      <c r="AO633" s="200"/>
      <c r="AP633" s="200"/>
      <c r="AQ633" s="200"/>
      <c r="AR633" s="200"/>
      <c r="AS633" s="200"/>
      <c r="AT633" s="200"/>
      <c r="AU633" s="200"/>
      <c r="AV633" s="200"/>
      <c r="AW633" s="200"/>
      <c r="AX633" s="200"/>
      <c r="AY633" s="200"/>
      <c r="AZ633" s="200"/>
      <c r="BA633" s="200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spans="1:70" ht="13.8">
      <c r="A634" s="1"/>
      <c r="B634" s="1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  <c r="AB634" s="200"/>
      <c r="AC634" s="200"/>
      <c r="AD634" s="200"/>
      <c r="AE634" s="200"/>
      <c r="AF634" s="200"/>
      <c r="AG634" s="200"/>
      <c r="AH634" s="200"/>
      <c r="AI634" s="200"/>
      <c r="AJ634" s="200"/>
      <c r="AK634" s="200"/>
      <c r="AL634" s="200"/>
      <c r="AM634" s="200"/>
      <c r="AN634" s="200"/>
      <c r="AO634" s="200"/>
      <c r="AP634" s="200"/>
      <c r="AQ634" s="200"/>
      <c r="AR634" s="200"/>
      <c r="AS634" s="200"/>
      <c r="AT634" s="200"/>
      <c r="AU634" s="200"/>
      <c r="AV634" s="200"/>
      <c r="AW634" s="200"/>
      <c r="AX634" s="200"/>
      <c r="AY634" s="200"/>
      <c r="AZ634" s="200"/>
      <c r="BA634" s="200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spans="1:70" ht="13.8">
      <c r="A635" s="1"/>
      <c r="B635" s="1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  <c r="AB635" s="200"/>
      <c r="AC635" s="200"/>
      <c r="AD635" s="200"/>
      <c r="AE635" s="200"/>
      <c r="AF635" s="200"/>
      <c r="AG635" s="200"/>
      <c r="AH635" s="200"/>
      <c r="AI635" s="200"/>
      <c r="AJ635" s="200"/>
      <c r="AK635" s="200"/>
      <c r="AL635" s="200"/>
      <c r="AM635" s="200"/>
      <c r="AN635" s="200"/>
      <c r="AO635" s="200"/>
      <c r="AP635" s="200"/>
      <c r="AQ635" s="200"/>
      <c r="AR635" s="200"/>
      <c r="AS635" s="200"/>
      <c r="AT635" s="200"/>
      <c r="AU635" s="200"/>
      <c r="AV635" s="200"/>
      <c r="AW635" s="200"/>
      <c r="AX635" s="200"/>
      <c r="AY635" s="200"/>
      <c r="AZ635" s="200"/>
      <c r="BA635" s="200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spans="1:70" ht="13.8">
      <c r="A636" s="1"/>
      <c r="B636" s="1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  <c r="AB636" s="200"/>
      <c r="AC636" s="200"/>
      <c r="AD636" s="200"/>
      <c r="AE636" s="200"/>
      <c r="AF636" s="200"/>
      <c r="AG636" s="200"/>
      <c r="AH636" s="200"/>
      <c r="AI636" s="200"/>
      <c r="AJ636" s="200"/>
      <c r="AK636" s="200"/>
      <c r="AL636" s="200"/>
      <c r="AM636" s="200"/>
      <c r="AN636" s="200"/>
      <c r="AO636" s="200"/>
      <c r="AP636" s="200"/>
      <c r="AQ636" s="200"/>
      <c r="AR636" s="200"/>
      <c r="AS636" s="200"/>
      <c r="AT636" s="200"/>
      <c r="AU636" s="200"/>
      <c r="AV636" s="200"/>
      <c r="AW636" s="200"/>
      <c r="AX636" s="200"/>
      <c r="AY636" s="200"/>
      <c r="AZ636" s="200"/>
      <c r="BA636" s="200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spans="1:70" ht="13.8">
      <c r="A637" s="1"/>
      <c r="B637" s="1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  <c r="AB637" s="200"/>
      <c r="AC637" s="200"/>
      <c r="AD637" s="200"/>
      <c r="AE637" s="200"/>
      <c r="AF637" s="200"/>
      <c r="AG637" s="200"/>
      <c r="AH637" s="200"/>
      <c r="AI637" s="200"/>
      <c r="AJ637" s="200"/>
      <c r="AK637" s="200"/>
      <c r="AL637" s="200"/>
      <c r="AM637" s="200"/>
      <c r="AN637" s="200"/>
      <c r="AO637" s="200"/>
      <c r="AP637" s="200"/>
      <c r="AQ637" s="200"/>
      <c r="AR637" s="200"/>
      <c r="AS637" s="200"/>
      <c r="AT637" s="200"/>
      <c r="AU637" s="200"/>
      <c r="AV637" s="200"/>
      <c r="AW637" s="200"/>
      <c r="AX637" s="200"/>
      <c r="AY637" s="200"/>
      <c r="AZ637" s="200"/>
      <c r="BA637" s="200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spans="1:70" ht="13.8">
      <c r="A638" s="1"/>
      <c r="B638" s="1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  <c r="AB638" s="200"/>
      <c r="AC638" s="200"/>
      <c r="AD638" s="200"/>
      <c r="AE638" s="200"/>
      <c r="AF638" s="200"/>
      <c r="AG638" s="200"/>
      <c r="AH638" s="200"/>
      <c r="AI638" s="200"/>
      <c r="AJ638" s="200"/>
      <c r="AK638" s="200"/>
      <c r="AL638" s="200"/>
      <c r="AM638" s="200"/>
      <c r="AN638" s="200"/>
      <c r="AO638" s="200"/>
      <c r="AP638" s="200"/>
      <c r="AQ638" s="200"/>
      <c r="AR638" s="200"/>
      <c r="AS638" s="200"/>
      <c r="AT638" s="200"/>
      <c r="AU638" s="200"/>
      <c r="AV638" s="200"/>
      <c r="AW638" s="200"/>
      <c r="AX638" s="200"/>
      <c r="AY638" s="200"/>
      <c r="AZ638" s="200"/>
      <c r="BA638" s="200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spans="1:70" ht="13.8">
      <c r="A639" s="1"/>
      <c r="B639" s="1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  <c r="AB639" s="200"/>
      <c r="AC639" s="200"/>
      <c r="AD639" s="200"/>
      <c r="AE639" s="200"/>
      <c r="AF639" s="200"/>
      <c r="AG639" s="200"/>
      <c r="AH639" s="200"/>
      <c r="AI639" s="200"/>
      <c r="AJ639" s="200"/>
      <c r="AK639" s="200"/>
      <c r="AL639" s="200"/>
      <c r="AM639" s="200"/>
      <c r="AN639" s="200"/>
      <c r="AO639" s="200"/>
      <c r="AP639" s="200"/>
      <c r="AQ639" s="200"/>
      <c r="AR639" s="200"/>
      <c r="AS639" s="200"/>
      <c r="AT639" s="200"/>
      <c r="AU639" s="200"/>
      <c r="AV639" s="200"/>
      <c r="AW639" s="200"/>
      <c r="AX639" s="200"/>
      <c r="AY639" s="200"/>
      <c r="AZ639" s="200"/>
      <c r="BA639" s="200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spans="1:70" ht="13.8">
      <c r="A640" s="1"/>
      <c r="B640" s="1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  <c r="AB640" s="200"/>
      <c r="AC640" s="200"/>
      <c r="AD640" s="200"/>
      <c r="AE640" s="200"/>
      <c r="AF640" s="200"/>
      <c r="AG640" s="200"/>
      <c r="AH640" s="200"/>
      <c r="AI640" s="200"/>
      <c r="AJ640" s="200"/>
      <c r="AK640" s="200"/>
      <c r="AL640" s="200"/>
      <c r="AM640" s="200"/>
      <c r="AN640" s="200"/>
      <c r="AO640" s="200"/>
      <c r="AP640" s="200"/>
      <c r="AQ640" s="200"/>
      <c r="AR640" s="200"/>
      <c r="AS640" s="200"/>
      <c r="AT640" s="200"/>
      <c r="AU640" s="200"/>
      <c r="AV640" s="200"/>
      <c r="AW640" s="200"/>
      <c r="AX640" s="200"/>
      <c r="AY640" s="200"/>
      <c r="AZ640" s="200"/>
      <c r="BA640" s="200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spans="1:70" ht="13.8">
      <c r="A641" s="1"/>
      <c r="B641" s="1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  <c r="AB641" s="200"/>
      <c r="AC641" s="200"/>
      <c r="AD641" s="200"/>
      <c r="AE641" s="200"/>
      <c r="AF641" s="200"/>
      <c r="AG641" s="200"/>
      <c r="AH641" s="200"/>
      <c r="AI641" s="200"/>
      <c r="AJ641" s="200"/>
      <c r="AK641" s="200"/>
      <c r="AL641" s="200"/>
      <c r="AM641" s="200"/>
      <c r="AN641" s="200"/>
      <c r="AO641" s="200"/>
      <c r="AP641" s="200"/>
      <c r="AQ641" s="200"/>
      <c r="AR641" s="200"/>
      <c r="AS641" s="200"/>
      <c r="AT641" s="200"/>
      <c r="AU641" s="200"/>
      <c r="AV641" s="200"/>
      <c r="AW641" s="200"/>
      <c r="AX641" s="200"/>
      <c r="AY641" s="200"/>
      <c r="AZ641" s="200"/>
      <c r="BA641" s="200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spans="1:70" ht="13.8">
      <c r="A642" s="1"/>
      <c r="B642" s="1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  <c r="AB642" s="200"/>
      <c r="AC642" s="200"/>
      <c r="AD642" s="200"/>
      <c r="AE642" s="200"/>
      <c r="AF642" s="200"/>
      <c r="AG642" s="200"/>
      <c r="AH642" s="200"/>
      <c r="AI642" s="200"/>
      <c r="AJ642" s="200"/>
      <c r="AK642" s="200"/>
      <c r="AL642" s="200"/>
      <c r="AM642" s="200"/>
      <c r="AN642" s="200"/>
      <c r="AO642" s="200"/>
      <c r="AP642" s="200"/>
      <c r="AQ642" s="200"/>
      <c r="AR642" s="200"/>
      <c r="AS642" s="200"/>
      <c r="AT642" s="200"/>
      <c r="AU642" s="200"/>
      <c r="AV642" s="200"/>
      <c r="AW642" s="200"/>
      <c r="AX642" s="200"/>
      <c r="AY642" s="200"/>
      <c r="AZ642" s="200"/>
      <c r="BA642" s="200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spans="1:70" ht="13.8">
      <c r="A643" s="1"/>
      <c r="B643" s="1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  <c r="AB643" s="200"/>
      <c r="AC643" s="200"/>
      <c r="AD643" s="200"/>
      <c r="AE643" s="200"/>
      <c r="AF643" s="200"/>
      <c r="AG643" s="200"/>
      <c r="AH643" s="200"/>
      <c r="AI643" s="200"/>
      <c r="AJ643" s="200"/>
      <c r="AK643" s="200"/>
      <c r="AL643" s="200"/>
      <c r="AM643" s="200"/>
      <c r="AN643" s="200"/>
      <c r="AO643" s="200"/>
      <c r="AP643" s="200"/>
      <c r="AQ643" s="200"/>
      <c r="AR643" s="200"/>
      <c r="AS643" s="200"/>
      <c r="AT643" s="200"/>
      <c r="AU643" s="200"/>
      <c r="AV643" s="200"/>
      <c r="AW643" s="200"/>
      <c r="AX643" s="200"/>
      <c r="AY643" s="200"/>
      <c r="AZ643" s="200"/>
      <c r="BA643" s="200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spans="1:70" ht="13.8">
      <c r="A644" s="1"/>
      <c r="B644" s="1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  <c r="AH644" s="200"/>
      <c r="AI644" s="200"/>
      <c r="AJ644" s="200"/>
      <c r="AK644" s="200"/>
      <c r="AL644" s="200"/>
      <c r="AM644" s="200"/>
      <c r="AN644" s="200"/>
      <c r="AO644" s="200"/>
      <c r="AP644" s="200"/>
      <c r="AQ644" s="200"/>
      <c r="AR644" s="200"/>
      <c r="AS644" s="200"/>
      <c r="AT644" s="200"/>
      <c r="AU644" s="200"/>
      <c r="AV644" s="200"/>
      <c r="AW644" s="200"/>
      <c r="AX644" s="200"/>
      <c r="AY644" s="200"/>
      <c r="AZ644" s="200"/>
      <c r="BA644" s="200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spans="1:70" ht="13.8">
      <c r="A645" s="1"/>
      <c r="B645" s="1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  <c r="AB645" s="200"/>
      <c r="AC645" s="200"/>
      <c r="AD645" s="200"/>
      <c r="AE645" s="200"/>
      <c r="AF645" s="200"/>
      <c r="AG645" s="200"/>
      <c r="AH645" s="200"/>
      <c r="AI645" s="200"/>
      <c r="AJ645" s="200"/>
      <c r="AK645" s="200"/>
      <c r="AL645" s="200"/>
      <c r="AM645" s="200"/>
      <c r="AN645" s="200"/>
      <c r="AO645" s="200"/>
      <c r="AP645" s="200"/>
      <c r="AQ645" s="200"/>
      <c r="AR645" s="200"/>
      <c r="AS645" s="200"/>
      <c r="AT645" s="200"/>
      <c r="AU645" s="200"/>
      <c r="AV645" s="200"/>
      <c r="AW645" s="200"/>
      <c r="AX645" s="200"/>
      <c r="AY645" s="200"/>
      <c r="AZ645" s="200"/>
      <c r="BA645" s="200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spans="1:70" ht="13.8">
      <c r="A646" s="1"/>
      <c r="B646" s="1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  <c r="AB646" s="200"/>
      <c r="AC646" s="200"/>
      <c r="AD646" s="200"/>
      <c r="AE646" s="200"/>
      <c r="AF646" s="200"/>
      <c r="AG646" s="200"/>
      <c r="AH646" s="200"/>
      <c r="AI646" s="200"/>
      <c r="AJ646" s="200"/>
      <c r="AK646" s="200"/>
      <c r="AL646" s="200"/>
      <c r="AM646" s="200"/>
      <c r="AN646" s="200"/>
      <c r="AO646" s="200"/>
      <c r="AP646" s="200"/>
      <c r="AQ646" s="200"/>
      <c r="AR646" s="200"/>
      <c r="AS646" s="200"/>
      <c r="AT646" s="200"/>
      <c r="AU646" s="200"/>
      <c r="AV646" s="200"/>
      <c r="AW646" s="200"/>
      <c r="AX646" s="200"/>
      <c r="AY646" s="200"/>
      <c r="AZ646" s="200"/>
      <c r="BA646" s="200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spans="1:70" ht="13.8">
      <c r="A647" s="1"/>
      <c r="B647" s="1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  <c r="AB647" s="200"/>
      <c r="AC647" s="200"/>
      <c r="AD647" s="200"/>
      <c r="AE647" s="200"/>
      <c r="AF647" s="200"/>
      <c r="AG647" s="200"/>
      <c r="AH647" s="200"/>
      <c r="AI647" s="200"/>
      <c r="AJ647" s="200"/>
      <c r="AK647" s="200"/>
      <c r="AL647" s="200"/>
      <c r="AM647" s="200"/>
      <c r="AN647" s="200"/>
      <c r="AO647" s="200"/>
      <c r="AP647" s="200"/>
      <c r="AQ647" s="200"/>
      <c r="AR647" s="200"/>
      <c r="AS647" s="200"/>
      <c r="AT647" s="200"/>
      <c r="AU647" s="200"/>
      <c r="AV647" s="200"/>
      <c r="AW647" s="200"/>
      <c r="AX647" s="200"/>
      <c r="AY647" s="200"/>
      <c r="AZ647" s="200"/>
      <c r="BA647" s="200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spans="1:70" ht="13.8">
      <c r="A648" s="1"/>
      <c r="B648" s="1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  <c r="AB648" s="200"/>
      <c r="AC648" s="200"/>
      <c r="AD648" s="200"/>
      <c r="AE648" s="200"/>
      <c r="AF648" s="200"/>
      <c r="AG648" s="200"/>
      <c r="AH648" s="200"/>
      <c r="AI648" s="200"/>
      <c r="AJ648" s="200"/>
      <c r="AK648" s="200"/>
      <c r="AL648" s="200"/>
      <c r="AM648" s="200"/>
      <c r="AN648" s="200"/>
      <c r="AO648" s="200"/>
      <c r="AP648" s="200"/>
      <c r="AQ648" s="200"/>
      <c r="AR648" s="200"/>
      <c r="AS648" s="200"/>
      <c r="AT648" s="200"/>
      <c r="AU648" s="200"/>
      <c r="AV648" s="200"/>
      <c r="AW648" s="200"/>
      <c r="AX648" s="200"/>
      <c r="AY648" s="200"/>
      <c r="AZ648" s="200"/>
      <c r="BA648" s="200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spans="1:70" ht="13.8">
      <c r="A649" s="1"/>
      <c r="B649" s="1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  <c r="AB649" s="200"/>
      <c r="AC649" s="200"/>
      <c r="AD649" s="200"/>
      <c r="AE649" s="200"/>
      <c r="AF649" s="200"/>
      <c r="AG649" s="200"/>
      <c r="AH649" s="200"/>
      <c r="AI649" s="200"/>
      <c r="AJ649" s="200"/>
      <c r="AK649" s="200"/>
      <c r="AL649" s="200"/>
      <c r="AM649" s="200"/>
      <c r="AN649" s="200"/>
      <c r="AO649" s="200"/>
      <c r="AP649" s="200"/>
      <c r="AQ649" s="200"/>
      <c r="AR649" s="200"/>
      <c r="AS649" s="200"/>
      <c r="AT649" s="200"/>
      <c r="AU649" s="200"/>
      <c r="AV649" s="200"/>
      <c r="AW649" s="200"/>
      <c r="AX649" s="200"/>
      <c r="AY649" s="200"/>
      <c r="AZ649" s="200"/>
      <c r="BA649" s="200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spans="1:70" ht="13.8">
      <c r="A650" s="1"/>
      <c r="B650" s="1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  <c r="AB650" s="200"/>
      <c r="AC650" s="200"/>
      <c r="AD650" s="200"/>
      <c r="AE650" s="200"/>
      <c r="AF650" s="200"/>
      <c r="AG650" s="200"/>
      <c r="AH650" s="200"/>
      <c r="AI650" s="200"/>
      <c r="AJ650" s="200"/>
      <c r="AK650" s="200"/>
      <c r="AL650" s="200"/>
      <c r="AM650" s="200"/>
      <c r="AN650" s="200"/>
      <c r="AO650" s="200"/>
      <c r="AP650" s="200"/>
      <c r="AQ650" s="200"/>
      <c r="AR650" s="200"/>
      <c r="AS650" s="200"/>
      <c r="AT650" s="200"/>
      <c r="AU650" s="200"/>
      <c r="AV650" s="200"/>
      <c r="AW650" s="200"/>
      <c r="AX650" s="200"/>
      <c r="AY650" s="200"/>
      <c r="AZ650" s="200"/>
      <c r="BA650" s="200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spans="1:70" ht="13.8">
      <c r="A651" s="1"/>
      <c r="B651" s="1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  <c r="AH651" s="200"/>
      <c r="AI651" s="200"/>
      <c r="AJ651" s="200"/>
      <c r="AK651" s="200"/>
      <c r="AL651" s="200"/>
      <c r="AM651" s="200"/>
      <c r="AN651" s="200"/>
      <c r="AO651" s="200"/>
      <c r="AP651" s="200"/>
      <c r="AQ651" s="200"/>
      <c r="AR651" s="200"/>
      <c r="AS651" s="200"/>
      <c r="AT651" s="200"/>
      <c r="AU651" s="200"/>
      <c r="AV651" s="200"/>
      <c r="AW651" s="200"/>
      <c r="AX651" s="200"/>
      <c r="AY651" s="200"/>
      <c r="AZ651" s="200"/>
      <c r="BA651" s="200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spans="1:70" ht="13.8">
      <c r="A652" s="1"/>
      <c r="B652" s="1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  <c r="AB652" s="200"/>
      <c r="AC652" s="200"/>
      <c r="AD652" s="200"/>
      <c r="AE652" s="200"/>
      <c r="AF652" s="200"/>
      <c r="AG652" s="200"/>
      <c r="AH652" s="200"/>
      <c r="AI652" s="200"/>
      <c r="AJ652" s="200"/>
      <c r="AK652" s="200"/>
      <c r="AL652" s="200"/>
      <c r="AM652" s="200"/>
      <c r="AN652" s="200"/>
      <c r="AO652" s="200"/>
      <c r="AP652" s="200"/>
      <c r="AQ652" s="200"/>
      <c r="AR652" s="200"/>
      <c r="AS652" s="200"/>
      <c r="AT652" s="200"/>
      <c r="AU652" s="200"/>
      <c r="AV652" s="200"/>
      <c r="AW652" s="200"/>
      <c r="AX652" s="200"/>
      <c r="AY652" s="200"/>
      <c r="AZ652" s="200"/>
      <c r="BA652" s="200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spans="1:70" ht="13.8">
      <c r="A653" s="1"/>
      <c r="B653" s="1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  <c r="AB653" s="200"/>
      <c r="AC653" s="200"/>
      <c r="AD653" s="200"/>
      <c r="AE653" s="200"/>
      <c r="AF653" s="200"/>
      <c r="AG653" s="200"/>
      <c r="AH653" s="200"/>
      <c r="AI653" s="200"/>
      <c r="AJ653" s="200"/>
      <c r="AK653" s="200"/>
      <c r="AL653" s="200"/>
      <c r="AM653" s="200"/>
      <c r="AN653" s="200"/>
      <c r="AO653" s="200"/>
      <c r="AP653" s="200"/>
      <c r="AQ653" s="200"/>
      <c r="AR653" s="200"/>
      <c r="AS653" s="200"/>
      <c r="AT653" s="200"/>
      <c r="AU653" s="200"/>
      <c r="AV653" s="200"/>
      <c r="AW653" s="200"/>
      <c r="AX653" s="200"/>
      <c r="AY653" s="200"/>
      <c r="AZ653" s="200"/>
      <c r="BA653" s="200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spans="1:70" ht="13.8">
      <c r="A654" s="1"/>
      <c r="B654" s="1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  <c r="AB654" s="200"/>
      <c r="AC654" s="200"/>
      <c r="AD654" s="200"/>
      <c r="AE654" s="200"/>
      <c r="AF654" s="200"/>
      <c r="AG654" s="200"/>
      <c r="AH654" s="200"/>
      <c r="AI654" s="200"/>
      <c r="AJ654" s="200"/>
      <c r="AK654" s="200"/>
      <c r="AL654" s="200"/>
      <c r="AM654" s="200"/>
      <c r="AN654" s="200"/>
      <c r="AO654" s="200"/>
      <c r="AP654" s="200"/>
      <c r="AQ654" s="200"/>
      <c r="AR654" s="200"/>
      <c r="AS654" s="200"/>
      <c r="AT654" s="200"/>
      <c r="AU654" s="200"/>
      <c r="AV654" s="200"/>
      <c r="AW654" s="200"/>
      <c r="AX654" s="200"/>
      <c r="AY654" s="200"/>
      <c r="AZ654" s="200"/>
      <c r="BA654" s="200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spans="1:70" ht="13.8">
      <c r="A655" s="1"/>
      <c r="B655" s="1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  <c r="AB655" s="200"/>
      <c r="AC655" s="200"/>
      <c r="AD655" s="200"/>
      <c r="AE655" s="200"/>
      <c r="AF655" s="200"/>
      <c r="AG655" s="200"/>
      <c r="AH655" s="200"/>
      <c r="AI655" s="200"/>
      <c r="AJ655" s="200"/>
      <c r="AK655" s="200"/>
      <c r="AL655" s="200"/>
      <c r="AM655" s="200"/>
      <c r="AN655" s="200"/>
      <c r="AO655" s="200"/>
      <c r="AP655" s="200"/>
      <c r="AQ655" s="200"/>
      <c r="AR655" s="200"/>
      <c r="AS655" s="200"/>
      <c r="AT655" s="200"/>
      <c r="AU655" s="200"/>
      <c r="AV655" s="200"/>
      <c r="AW655" s="200"/>
      <c r="AX655" s="200"/>
      <c r="AY655" s="200"/>
      <c r="AZ655" s="200"/>
      <c r="BA655" s="200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spans="1:70" ht="13.8">
      <c r="A656" s="1"/>
      <c r="B656" s="1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  <c r="AB656" s="200"/>
      <c r="AC656" s="200"/>
      <c r="AD656" s="200"/>
      <c r="AE656" s="200"/>
      <c r="AF656" s="200"/>
      <c r="AG656" s="200"/>
      <c r="AH656" s="200"/>
      <c r="AI656" s="200"/>
      <c r="AJ656" s="200"/>
      <c r="AK656" s="200"/>
      <c r="AL656" s="200"/>
      <c r="AM656" s="200"/>
      <c r="AN656" s="200"/>
      <c r="AO656" s="200"/>
      <c r="AP656" s="200"/>
      <c r="AQ656" s="200"/>
      <c r="AR656" s="200"/>
      <c r="AS656" s="200"/>
      <c r="AT656" s="200"/>
      <c r="AU656" s="200"/>
      <c r="AV656" s="200"/>
      <c r="AW656" s="200"/>
      <c r="AX656" s="200"/>
      <c r="AY656" s="200"/>
      <c r="AZ656" s="200"/>
      <c r="BA656" s="200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spans="1:70" ht="13.8">
      <c r="A657" s="1"/>
      <c r="B657" s="1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  <c r="AB657" s="200"/>
      <c r="AC657" s="200"/>
      <c r="AD657" s="200"/>
      <c r="AE657" s="200"/>
      <c r="AF657" s="200"/>
      <c r="AG657" s="200"/>
      <c r="AH657" s="200"/>
      <c r="AI657" s="200"/>
      <c r="AJ657" s="200"/>
      <c r="AK657" s="200"/>
      <c r="AL657" s="200"/>
      <c r="AM657" s="200"/>
      <c r="AN657" s="200"/>
      <c r="AO657" s="200"/>
      <c r="AP657" s="200"/>
      <c r="AQ657" s="200"/>
      <c r="AR657" s="200"/>
      <c r="AS657" s="200"/>
      <c r="AT657" s="200"/>
      <c r="AU657" s="200"/>
      <c r="AV657" s="200"/>
      <c r="AW657" s="200"/>
      <c r="AX657" s="200"/>
      <c r="AY657" s="200"/>
      <c r="AZ657" s="200"/>
      <c r="BA657" s="200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spans="1:70" ht="13.8">
      <c r="A658" s="1"/>
      <c r="B658" s="1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  <c r="AB658" s="200"/>
      <c r="AC658" s="200"/>
      <c r="AD658" s="200"/>
      <c r="AE658" s="200"/>
      <c r="AF658" s="200"/>
      <c r="AG658" s="200"/>
      <c r="AH658" s="200"/>
      <c r="AI658" s="200"/>
      <c r="AJ658" s="200"/>
      <c r="AK658" s="200"/>
      <c r="AL658" s="200"/>
      <c r="AM658" s="200"/>
      <c r="AN658" s="200"/>
      <c r="AO658" s="200"/>
      <c r="AP658" s="200"/>
      <c r="AQ658" s="200"/>
      <c r="AR658" s="200"/>
      <c r="AS658" s="200"/>
      <c r="AT658" s="200"/>
      <c r="AU658" s="200"/>
      <c r="AV658" s="200"/>
      <c r="AW658" s="200"/>
      <c r="AX658" s="200"/>
      <c r="AY658" s="200"/>
      <c r="AZ658" s="200"/>
      <c r="BA658" s="200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spans="1:70" ht="13.8">
      <c r="A659" s="1"/>
      <c r="B659" s="1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  <c r="AH659" s="200"/>
      <c r="AI659" s="200"/>
      <c r="AJ659" s="200"/>
      <c r="AK659" s="200"/>
      <c r="AL659" s="200"/>
      <c r="AM659" s="200"/>
      <c r="AN659" s="200"/>
      <c r="AO659" s="200"/>
      <c r="AP659" s="200"/>
      <c r="AQ659" s="200"/>
      <c r="AR659" s="200"/>
      <c r="AS659" s="200"/>
      <c r="AT659" s="200"/>
      <c r="AU659" s="200"/>
      <c r="AV659" s="200"/>
      <c r="AW659" s="200"/>
      <c r="AX659" s="200"/>
      <c r="AY659" s="200"/>
      <c r="AZ659" s="200"/>
      <c r="BA659" s="200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spans="1:70" ht="13.8">
      <c r="A660" s="1"/>
      <c r="B660" s="1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  <c r="AB660" s="200"/>
      <c r="AC660" s="200"/>
      <c r="AD660" s="200"/>
      <c r="AE660" s="200"/>
      <c r="AF660" s="200"/>
      <c r="AG660" s="200"/>
      <c r="AH660" s="200"/>
      <c r="AI660" s="200"/>
      <c r="AJ660" s="200"/>
      <c r="AK660" s="200"/>
      <c r="AL660" s="200"/>
      <c r="AM660" s="200"/>
      <c r="AN660" s="200"/>
      <c r="AO660" s="200"/>
      <c r="AP660" s="200"/>
      <c r="AQ660" s="200"/>
      <c r="AR660" s="200"/>
      <c r="AS660" s="200"/>
      <c r="AT660" s="200"/>
      <c r="AU660" s="200"/>
      <c r="AV660" s="200"/>
      <c r="AW660" s="200"/>
      <c r="AX660" s="200"/>
      <c r="AY660" s="200"/>
      <c r="AZ660" s="200"/>
      <c r="BA660" s="200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spans="1:70" ht="13.8">
      <c r="A661" s="1"/>
      <c r="B661" s="1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  <c r="AB661" s="200"/>
      <c r="AC661" s="200"/>
      <c r="AD661" s="200"/>
      <c r="AE661" s="200"/>
      <c r="AF661" s="200"/>
      <c r="AG661" s="200"/>
      <c r="AH661" s="200"/>
      <c r="AI661" s="200"/>
      <c r="AJ661" s="200"/>
      <c r="AK661" s="200"/>
      <c r="AL661" s="200"/>
      <c r="AM661" s="200"/>
      <c r="AN661" s="200"/>
      <c r="AO661" s="200"/>
      <c r="AP661" s="200"/>
      <c r="AQ661" s="200"/>
      <c r="AR661" s="200"/>
      <c r="AS661" s="200"/>
      <c r="AT661" s="200"/>
      <c r="AU661" s="200"/>
      <c r="AV661" s="200"/>
      <c r="AW661" s="200"/>
      <c r="AX661" s="200"/>
      <c r="AY661" s="200"/>
      <c r="AZ661" s="200"/>
      <c r="BA661" s="200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spans="1:70" ht="13.8">
      <c r="A662" s="1"/>
      <c r="B662" s="1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  <c r="AH662" s="200"/>
      <c r="AI662" s="200"/>
      <c r="AJ662" s="200"/>
      <c r="AK662" s="200"/>
      <c r="AL662" s="200"/>
      <c r="AM662" s="200"/>
      <c r="AN662" s="200"/>
      <c r="AO662" s="200"/>
      <c r="AP662" s="200"/>
      <c r="AQ662" s="200"/>
      <c r="AR662" s="200"/>
      <c r="AS662" s="200"/>
      <c r="AT662" s="200"/>
      <c r="AU662" s="200"/>
      <c r="AV662" s="200"/>
      <c r="AW662" s="200"/>
      <c r="AX662" s="200"/>
      <c r="AY662" s="200"/>
      <c r="AZ662" s="200"/>
      <c r="BA662" s="200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spans="1:70" ht="13.8">
      <c r="A663" s="1"/>
      <c r="B663" s="1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  <c r="AB663" s="200"/>
      <c r="AC663" s="200"/>
      <c r="AD663" s="200"/>
      <c r="AE663" s="200"/>
      <c r="AF663" s="200"/>
      <c r="AG663" s="200"/>
      <c r="AH663" s="200"/>
      <c r="AI663" s="200"/>
      <c r="AJ663" s="200"/>
      <c r="AK663" s="200"/>
      <c r="AL663" s="200"/>
      <c r="AM663" s="200"/>
      <c r="AN663" s="200"/>
      <c r="AO663" s="200"/>
      <c r="AP663" s="200"/>
      <c r="AQ663" s="200"/>
      <c r="AR663" s="200"/>
      <c r="AS663" s="200"/>
      <c r="AT663" s="200"/>
      <c r="AU663" s="200"/>
      <c r="AV663" s="200"/>
      <c r="AW663" s="200"/>
      <c r="AX663" s="200"/>
      <c r="AY663" s="200"/>
      <c r="AZ663" s="200"/>
      <c r="BA663" s="200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spans="1:70" ht="13.8">
      <c r="A664" s="1"/>
      <c r="B664" s="1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  <c r="AB664" s="200"/>
      <c r="AC664" s="200"/>
      <c r="AD664" s="200"/>
      <c r="AE664" s="200"/>
      <c r="AF664" s="200"/>
      <c r="AG664" s="200"/>
      <c r="AH664" s="200"/>
      <c r="AI664" s="200"/>
      <c r="AJ664" s="200"/>
      <c r="AK664" s="200"/>
      <c r="AL664" s="200"/>
      <c r="AM664" s="200"/>
      <c r="AN664" s="200"/>
      <c r="AO664" s="200"/>
      <c r="AP664" s="200"/>
      <c r="AQ664" s="200"/>
      <c r="AR664" s="200"/>
      <c r="AS664" s="200"/>
      <c r="AT664" s="200"/>
      <c r="AU664" s="200"/>
      <c r="AV664" s="200"/>
      <c r="AW664" s="200"/>
      <c r="AX664" s="200"/>
      <c r="AY664" s="200"/>
      <c r="AZ664" s="200"/>
      <c r="BA664" s="200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spans="1:70" ht="13.8">
      <c r="A665" s="1"/>
      <c r="B665" s="1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  <c r="AH665" s="200"/>
      <c r="AI665" s="200"/>
      <c r="AJ665" s="200"/>
      <c r="AK665" s="200"/>
      <c r="AL665" s="200"/>
      <c r="AM665" s="200"/>
      <c r="AN665" s="200"/>
      <c r="AO665" s="200"/>
      <c r="AP665" s="200"/>
      <c r="AQ665" s="200"/>
      <c r="AR665" s="200"/>
      <c r="AS665" s="200"/>
      <c r="AT665" s="200"/>
      <c r="AU665" s="200"/>
      <c r="AV665" s="200"/>
      <c r="AW665" s="200"/>
      <c r="AX665" s="200"/>
      <c r="AY665" s="200"/>
      <c r="AZ665" s="200"/>
      <c r="BA665" s="200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spans="1:70" ht="13.8">
      <c r="A666" s="1"/>
      <c r="B666" s="1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  <c r="AB666" s="200"/>
      <c r="AC666" s="200"/>
      <c r="AD666" s="200"/>
      <c r="AE666" s="200"/>
      <c r="AF666" s="200"/>
      <c r="AG666" s="200"/>
      <c r="AH666" s="200"/>
      <c r="AI666" s="200"/>
      <c r="AJ666" s="200"/>
      <c r="AK666" s="200"/>
      <c r="AL666" s="200"/>
      <c r="AM666" s="200"/>
      <c r="AN666" s="200"/>
      <c r="AO666" s="200"/>
      <c r="AP666" s="200"/>
      <c r="AQ666" s="200"/>
      <c r="AR666" s="200"/>
      <c r="AS666" s="200"/>
      <c r="AT666" s="200"/>
      <c r="AU666" s="200"/>
      <c r="AV666" s="200"/>
      <c r="AW666" s="200"/>
      <c r="AX666" s="200"/>
      <c r="AY666" s="200"/>
      <c r="AZ666" s="200"/>
      <c r="BA666" s="200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spans="1:70" ht="13.8">
      <c r="A667" s="1"/>
      <c r="B667" s="1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  <c r="AB667" s="200"/>
      <c r="AC667" s="200"/>
      <c r="AD667" s="200"/>
      <c r="AE667" s="200"/>
      <c r="AF667" s="200"/>
      <c r="AG667" s="200"/>
      <c r="AH667" s="200"/>
      <c r="AI667" s="200"/>
      <c r="AJ667" s="200"/>
      <c r="AK667" s="200"/>
      <c r="AL667" s="200"/>
      <c r="AM667" s="200"/>
      <c r="AN667" s="200"/>
      <c r="AO667" s="200"/>
      <c r="AP667" s="200"/>
      <c r="AQ667" s="200"/>
      <c r="AR667" s="200"/>
      <c r="AS667" s="200"/>
      <c r="AT667" s="200"/>
      <c r="AU667" s="200"/>
      <c r="AV667" s="200"/>
      <c r="AW667" s="200"/>
      <c r="AX667" s="200"/>
      <c r="AY667" s="200"/>
      <c r="AZ667" s="200"/>
      <c r="BA667" s="200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spans="1:70" ht="13.8">
      <c r="A668" s="1"/>
      <c r="B668" s="1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  <c r="AB668" s="200"/>
      <c r="AC668" s="200"/>
      <c r="AD668" s="200"/>
      <c r="AE668" s="200"/>
      <c r="AF668" s="200"/>
      <c r="AG668" s="200"/>
      <c r="AH668" s="200"/>
      <c r="AI668" s="200"/>
      <c r="AJ668" s="200"/>
      <c r="AK668" s="200"/>
      <c r="AL668" s="200"/>
      <c r="AM668" s="200"/>
      <c r="AN668" s="200"/>
      <c r="AO668" s="200"/>
      <c r="AP668" s="200"/>
      <c r="AQ668" s="200"/>
      <c r="AR668" s="200"/>
      <c r="AS668" s="200"/>
      <c r="AT668" s="200"/>
      <c r="AU668" s="200"/>
      <c r="AV668" s="200"/>
      <c r="AW668" s="200"/>
      <c r="AX668" s="200"/>
      <c r="AY668" s="200"/>
      <c r="AZ668" s="200"/>
      <c r="BA668" s="200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spans="1:70" ht="13.8">
      <c r="A669" s="1"/>
      <c r="B669" s="1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  <c r="AB669" s="200"/>
      <c r="AC669" s="200"/>
      <c r="AD669" s="200"/>
      <c r="AE669" s="200"/>
      <c r="AF669" s="200"/>
      <c r="AG669" s="200"/>
      <c r="AH669" s="200"/>
      <c r="AI669" s="200"/>
      <c r="AJ669" s="200"/>
      <c r="AK669" s="200"/>
      <c r="AL669" s="200"/>
      <c r="AM669" s="200"/>
      <c r="AN669" s="200"/>
      <c r="AO669" s="200"/>
      <c r="AP669" s="200"/>
      <c r="AQ669" s="200"/>
      <c r="AR669" s="200"/>
      <c r="AS669" s="200"/>
      <c r="AT669" s="200"/>
      <c r="AU669" s="200"/>
      <c r="AV669" s="200"/>
      <c r="AW669" s="200"/>
      <c r="AX669" s="200"/>
      <c r="AY669" s="200"/>
      <c r="AZ669" s="200"/>
      <c r="BA669" s="200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spans="1:70" ht="13.8">
      <c r="A670" s="1"/>
      <c r="B670" s="1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  <c r="AB670" s="200"/>
      <c r="AC670" s="200"/>
      <c r="AD670" s="200"/>
      <c r="AE670" s="200"/>
      <c r="AF670" s="200"/>
      <c r="AG670" s="200"/>
      <c r="AH670" s="200"/>
      <c r="AI670" s="200"/>
      <c r="AJ670" s="200"/>
      <c r="AK670" s="200"/>
      <c r="AL670" s="200"/>
      <c r="AM670" s="200"/>
      <c r="AN670" s="200"/>
      <c r="AO670" s="200"/>
      <c r="AP670" s="200"/>
      <c r="AQ670" s="200"/>
      <c r="AR670" s="200"/>
      <c r="AS670" s="200"/>
      <c r="AT670" s="200"/>
      <c r="AU670" s="200"/>
      <c r="AV670" s="200"/>
      <c r="AW670" s="200"/>
      <c r="AX670" s="200"/>
      <c r="AY670" s="200"/>
      <c r="AZ670" s="200"/>
      <c r="BA670" s="200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spans="1:70" ht="13.8">
      <c r="A671" s="1"/>
      <c r="B671" s="1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  <c r="AH671" s="200"/>
      <c r="AI671" s="200"/>
      <c r="AJ671" s="200"/>
      <c r="AK671" s="200"/>
      <c r="AL671" s="200"/>
      <c r="AM671" s="200"/>
      <c r="AN671" s="200"/>
      <c r="AO671" s="200"/>
      <c r="AP671" s="200"/>
      <c r="AQ671" s="200"/>
      <c r="AR671" s="200"/>
      <c r="AS671" s="200"/>
      <c r="AT671" s="200"/>
      <c r="AU671" s="200"/>
      <c r="AV671" s="200"/>
      <c r="AW671" s="200"/>
      <c r="AX671" s="200"/>
      <c r="AY671" s="200"/>
      <c r="AZ671" s="200"/>
      <c r="BA671" s="200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spans="1:70" ht="13.8">
      <c r="A672" s="1"/>
      <c r="B672" s="1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  <c r="AB672" s="200"/>
      <c r="AC672" s="200"/>
      <c r="AD672" s="200"/>
      <c r="AE672" s="200"/>
      <c r="AF672" s="200"/>
      <c r="AG672" s="200"/>
      <c r="AH672" s="200"/>
      <c r="AI672" s="200"/>
      <c r="AJ672" s="200"/>
      <c r="AK672" s="200"/>
      <c r="AL672" s="200"/>
      <c r="AM672" s="200"/>
      <c r="AN672" s="200"/>
      <c r="AO672" s="200"/>
      <c r="AP672" s="200"/>
      <c r="AQ672" s="200"/>
      <c r="AR672" s="200"/>
      <c r="AS672" s="200"/>
      <c r="AT672" s="200"/>
      <c r="AU672" s="200"/>
      <c r="AV672" s="200"/>
      <c r="AW672" s="200"/>
      <c r="AX672" s="200"/>
      <c r="AY672" s="200"/>
      <c r="AZ672" s="200"/>
      <c r="BA672" s="200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spans="1:70" ht="13.8">
      <c r="A673" s="1"/>
      <c r="B673" s="1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  <c r="AB673" s="200"/>
      <c r="AC673" s="200"/>
      <c r="AD673" s="200"/>
      <c r="AE673" s="200"/>
      <c r="AF673" s="200"/>
      <c r="AG673" s="200"/>
      <c r="AH673" s="200"/>
      <c r="AI673" s="200"/>
      <c r="AJ673" s="200"/>
      <c r="AK673" s="200"/>
      <c r="AL673" s="200"/>
      <c r="AM673" s="200"/>
      <c r="AN673" s="200"/>
      <c r="AO673" s="200"/>
      <c r="AP673" s="200"/>
      <c r="AQ673" s="200"/>
      <c r="AR673" s="200"/>
      <c r="AS673" s="200"/>
      <c r="AT673" s="200"/>
      <c r="AU673" s="200"/>
      <c r="AV673" s="200"/>
      <c r="AW673" s="200"/>
      <c r="AX673" s="200"/>
      <c r="AY673" s="200"/>
      <c r="AZ673" s="200"/>
      <c r="BA673" s="200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spans="1:70" ht="13.8">
      <c r="A674" s="1"/>
      <c r="B674" s="1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  <c r="AB674" s="200"/>
      <c r="AC674" s="200"/>
      <c r="AD674" s="200"/>
      <c r="AE674" s="200"/>
      <c r="AF674" s="200"/>
      <c r="AG674" s="200"/>
      <c r="AH674" s="200"/>
      <c r="AI674" s="200"/>
      <c r="AJ674" s="200"/>
      <c r="AK674" s="200"/>
      <c r="AL674" s="200"/>
      <c r="AM674" s="200"/>
      <c r="AN674" s="200"/>
      <c r="AO674" s="200"/>
      <c r="AP674" s="200"/>
      <c r="AQ674" s="200"/>
      <c r="AR674" s="200"/>
      <c r="AS674" s="200"/>
      <c r="AT674" s="200"/>
      <c r="AU674" s="200"/>
      <c r="AV674" s="200"/>
      <c r="AW674" s="200"/>
      <c r="AX674" s="200"/>
      <c r="AY674" s="200"/>
      <c r="AZ674" s="200"/>
      <c r="BA674" s="200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spans="1:70" ht="13.8">
      <c r="A675" s="1"/>
      <c r="B675" s="1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  <c r="AB675" s="200"/>
      <c r="AC675" s="200"/>
      <c r="AD675" s="200"/>
      <c r="AE675" s="200"/>
      <c r="AF675" s="200"/>
      <c r="AG675" s="200"/>
      <c r="AH675" s="200"/>
      <c r="AI675" s="200"/>
      <c r="AJ675" s="200"/>
      <c r="AK675" s="200"/>
      <c r="AL675" s="200"/>
      <c r="AM675" s="200"/>
      <c r="AN675" s="200"/>
      <c r="AO675" s="200"/>
      <c r="AP675" s="200"/>
      <c r="AQ675" s="200"/>
      <c r="AR675" s="200"/>
      <c r="AS675" s="200"/>
      <c r="AT675" s="200"/>
      <c r="AU675" s="200"/>
      <c r="AV675" s="200"/>
      <c r="AW675" s="200"/>
      <c r="AX675" s="200"/>
      <c r="AY675" s="200"/>
      <c r="AZ675" s="200"/>
      <c r="BA675" s="200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spans="1:70" ht="13.8">
      <c r="A676" s="1"/>
      <c r="B676" s="1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  <c r="AB676" s="200"/>
      <c r="AC676" s="200"/>
      <c r="AD676" s="200"/>
      <c r="AE676" s="200"/>
      <c r="AF676" s="200"/>
      <c r="AG676" s="200"/>
      <c r="AH676" s="200"/>
      <c r="AI676" s="200"/>
      <c r="AJ676" s="200"/>
      <c r="AK676" s="200"/>
      <c r="AL676" s="200"/>
      <c r="AM676" s="200"/>
      <c r="AN676" s="200"/>
      <c r="AO676" s="200"/>
      <c r="AP676" s="200"/>
      <c r="AQ676" s="200"/>
      <c r="AR676" s="200"/>
      <c r="AS676" s="200"/>
      <c r="AT676" s="200"/>
      <c r="AU676" s="200"/>
      <c r="AV676" s="200"/>
      <c r="AW676" s="200"/>
      <c r="AX676" s="200"/>
      <c r="AY676" s="200"/>
      <c r="AZ676" s="200"/>
      <c r="BA676" s="200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spans="1:70" ht="13.8">
      <c r="A677" s="1"/>
      <c r="B677" s="1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  <c r="AB677" s="200"/>
      <c r="AC677" s="200"/>
      <c r="AD677" s="200"/>
      <c r="AE677" s="200"/>
      <c r="AF677" s="200"/>
      <c r="AG677" s="200"/>
      <c r="AH677" s="200"/>
      <c r="AI677" s="200"/>
      <c r="AJ677" s="200"/>
      <c r="AK677" s="200"/>
      <c r="AL677" s="200"/>
      <c r="AM677" s="200"/>
      <c r="AN677" s="200"/>
      <c r="AO677" s="200"/>
      <c r="AP677" s="200"/>
      <c r="AQ677" s="200"/>
      <c r="AR677" s="200"/>
      <c r="AS677" s="200"/>
      <c r="AT677" s="200"/>
      <c r="AU677" s="200"/>
      <c r="AV677" s="200"/>
      <c r="AW677" s="200"/>
      <c r="AX677" s="200"/>
      <c r="AY677" s="200"/>
      <c r="AZ677" s="200"/>
      <c r="BA677" s="200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spans="1:70" ht="13.8">
      <c r="A678" s="1"/>
      <c r="B678" s="1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  <c r="AB678" s="200"/>
      <c r="AC678" s="200"/>
      <c r="AD678" s="200"/>
      <c r="AE678" s="200"/>
      <c r="AF678" s="200"/>
      <c r="AG678" s="200"/>
      <c r="AH678" s="200"/>
      <c r="AI678" s="200"/>
      <c r="AJ678" s="200"/>
      <c r="AK678" s="200"/>
      <c r="AL678" s="200"/>
      <c r="AM678" s="200"/>
      <c r="AN678" s="200"/>
      <c r="AO678" s="200"/>
      <c r="AP678" s="200"/>
      <c r="AQ678" s="200"/>
      <c r="AR678" s="200"/>
      <c r="AS678" s="200"/>
      <c r="AT678" s="200"/>
      <c r="AU678" s="200"/>
      <c r="AV678" s="200"/>
      <c r="AW678" s="200"/>
      <c r="AX678" s="200"/>
      <c r="AY678" s="200"/>
      <c r="AZ678" s="200"/>
      <c r="BA678" s="200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spans="1:70" ht="13.8">
      <c r="A679" s="1"/>
      <c r="B679" s="1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  <c r="AB679" s="200"/>
      <c r="AC679" s="200"/>
      <c r="AD679" s="200"/>
      <c r="AE679" s="200"/>
      <c r="AF679" s="200"/>
      <c r="AG679" s="200"/>
      <c r="AH679" s="200"/>
      <c r="AI679" s="200"/>
      <c r="AJ679" s="200"/>
      <c r="AK679" s="200"/>
      <c r="AL679" s="200"/>
      <c r="AM679" s="200"/>
      <c r="AN679" s="200"/>
      <c r="AO679" s="200"/>
      <c r="AP679" s="200"/>
      <c r="AQ679" s="200"/>
      <c r="AR679" s="200"/>
      <c r="AS679" s="200"/>
      <c r="AT679" s="200"/>
      <c r="AU679" s="200"/>
      <c r="AV679" s="200"/>
      <c r="AW679" s="200"/>
      <c r="AX679" s="200"/>
      <c r="AY679" s="200"/>
      <c r="AZ679" s="200"/>
      <c r="BA679" s="200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spans="1:70" ht="13.8">
      <c r="A680" s="1"/>
      <c r="B680" s="1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  <c r="AB680" s="200"/>
      <c r="AC680" s="200"/>
      <c r="AD680" s="200"/>
      <c r="AE680" s="200"/>
      <c r="AF680" s="200"/>
      <c r="AG680" s="200"/>
      <c r="AH680" s="200"/>
      <c r="AI680" s="200"/>
      <c r="AJ680" s="200"/>
      <c r="AK680" s="200"/>
      <c r="AL680" s="200"/>
      <c r="AM680" s="200"/>
      <c r="AN680" s="200"/>
      <c r="AO680" s="200"/>
      <c r="AP680" s="200"/>
      <c r="AQ680" s="200"/>
      <c r="AR680" s="200"/>
      <c r="AS680" s="200"/>
      <c r="AT680" s="200"/>
      <c r="AU680" s="200"/>
      <c r="AV680" s="200"/>
      <c r="AW680" s="200"/>
      <c r="AX680" s="200"/>
      <c r="AY680" s="200"/>
      <c r="AZ680" s="200"/>
      <c r="BA680" s="200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spans="1:70" ht="13.8">
      <c r="A681" s="1"/>
      <c r="B681" s="1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  <c r="AH681" s="200"/>
      <c r="AI681" s="200"/>
      <c r="AJ681" s="200"/>
      <c r="AK681" s="200"/>
      <c r="AL681" s="200"/>
      <c r="AM681" s="200"/>
      <c r="AN681" s="200"/>
      <c r="AO681" s="200"/>
      <c r="AP681" s="200"/>
      <c r="AQ681" s="200"/>
      <c r="AR681" s="200"/>
      <c r="AS681" s="200"/>
      <c r="AT681" s="200"/>
      <c r="AU681" s="200"/>
      <c r="AV681" s="200"/>
      <c r="AW681" s="200"/>
      <c r="AX681" s="200"/>
      <c r="AY681" s="200"/>
      <c r="AZ681" s="200"/>
      <c r="BA681" s="200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spans="1:70" ht="13.8">
      <c r="A682" s="1"/>
      <c r="B682" s="1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  <c r="AB682" s="200"/>
      <c r="AC682" s="200"/>
      <c r="AD682" s="200"/>
      <c r="AE682" s="200"/>
      <c r="AF682" s="200"/>
      <c r="AG682" s="200"/>
      <c r="AH682" s="200"/>
      <c r="AI682" s="200"/>
      <c r="AJ682" s="200"/>
      <c r="AK682" s="200"/>
      <c r="AL682" s="200"/>
      <c r="AM682" s="200"/>
      <c r="AN682" s="200"/>
      <c r="AO682" s="200"/>
      <c r="AP682" s="200"/>
      <c r="AQ682" s="200"/>
      <c r="AR682" s="200"/>
      <c r="AS682" s="200"/>
      <c r="AT682" s="200"/>
      <c r="AU682" s="200"/>
      <c r="AV682" s="200"/>
      <c r="AW682" s="200"/>
      <c r="AX682" s="200"/>
      <c r="AY682" s="200"/>
      <c r="AZ682" s="200"/>
      <c r="BA682" s="200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spans="1:70" ht="13.8">
      <c r="A683" s="1"/>
      <c r="B683" s="1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  <c r="AB683" s="200"/>
      <c r="AC683" s="200"/>
      <c r="AD683" s="200"/>
      <c r="AE683" s="200"/>
      <c r="AF683" s="200"/>
      <c r="AG683" s="200"/>
      <c r="AH683" s="200"/>
      <c r="AI683" s="200"/>
      <c r="AJ683" s="200"/>
      <c r="AK683" s="200"/>
      <c r="AL683" s="200"/>
      <c r="AM683" s="200"/>
      <c r="AN683" s="200"/>
      <c r="AO683" s="200"/>
      <c r="AP683" s="200"/>
      <c r="AQ683" s="200"/>
      <c r="AR683" s="200"/>
      <c r="AS683" s="200"/>
      <c r="AT683" s="200"/>
      <c r="AU683" s="200"/>
      <c r="AV683" s="200"/>
      <c r="AW683" s="200"/>
      <c r="AX683" s="200"/>
      <c r="AY683" s="200"/>
      <c r="AZ683" s="200"/>
      <c r="BA683" s="200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spans="1:70" ht="13.8">
      <c r="A684" s="1"/>
      <c r="B684" s="1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  <c r="AB684" s="200"/>
      <c r="AC684" s="200"/>
      <c r="AD684" s="200"/>
      <c r="AE684" s="200"/>
      <c r="AF684" s="200"/>
      <c r="AG684" s="200"/>
      <c r="AH684" s="200"/>
      <c r="AI684" s="200"/>
      <c r="AJ684" s="200"/>
      <c r="AK684" s="200"/>
      <c r="AL684" s="200"/>
      <c r="AM684" s="200"/>
      <c r="AN684" s="200"/>
      <c r="AO684" s="200"/>
      <c r="AP684" s="200"/>
      <c r="AQ684" s="200"/>
      <c r="AR684" s="200"/>
      <c r="AS684" s="200"/>
      <c r="AT684" s="200"/>
      <c r="AU684" s="200"/>
      <c r="AV684" s="200"/>
      <c r="AW684" s="200"/>
      <c r="AX684" s="200"/>
      <c r="AY684" s="200"/>
      <c r="AZ684" s="200"/>
      <c r="BA684" s="200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spans="1:70" ht="13.8">
      <c r="A685" s="1"/>
      <c r="B685" s="1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  <c r="AB685" s="200"/>
      <c r="AC685" s="200"/>
      <c r="AD685" s="200"/>
      <c r="AE685" s="200"/>
      <c r="AF685" s="200"/>
      <c r="AG685" s="200"/>
      <c r="AH685" s="200"/>
      <c r="AI685" s="200"/>
      <c r="AJ685" s="200"/>
      <c r="AK685" s="200"/>
      <c r="AL685" s="200"/>
      <c r="AM685" s="200"/>
      <c r="AN685" s="200"/>
      <c r="AO685" s="200"/>
      <c r="AP685" s="200"/>
      <c r="AQ685" s="200"/>
      <c r="AR685" s="200"/>
      <c r="AS685" s="200"/>
      <c r="AT685" s="200"/>
      <c r="AU685" s="200"/>
      <c r="AV685" s="200"/>
      <c r="AW685" s="200"/>
      <c r="AX685" s="200"/>
      <c r="AY685" s="200"/>
      <c r="AZ685" s="200"/>
      <c r="BA685" s="200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spans="1:70" ht="13.8">
      <c r="A686" s="1"/>
      <c r="B686" s="1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  <c r="AB686" s="200"/>
      <c r="AC686" s="200"/>
      <c r="AD686" s="200"/>
      <c r="AE686" s="200"/>
      <c r="AF686" s="200"/>
      <c r="AG686" s="200"/>
      <c r="AH686" s="200"/>
      <c r="AI686" s="200"/>
      <c r="AJ686" s="200"/>
      <c r="AK686" s="200"/>
      <c r="AL686" s="200"/>
      <c r="AM686" s="200"/>
      <c r="AN686" s="200"/>
      <c r="AO686" s="200"/>
      <c r="AP686" s="200"/>
      <c r="AQ686" s="200"/>
      <c r="AR686" s="200"/>
      <c r="AS686" s="200"/>
      <c r="AT686" s="200"/>
      <c r="AU686" s="200"/>
      <c r="AV686" s="200"/>
      <c r="AW686" s="200"/>
      <c r="AX686" s="200"/>
      <c r="AY686" s="200"/>
      <c r="AZ686" s="200"/>
      <c r="BA686" s="200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spans="1:70" ht="13.8">
      <c r="A687" s="1"/>
      <c r="B687" s="1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  <c r="AB687" s="200"/>
      <c r="AC687" s="200"/>
      <c r="AD687" s="200"/>
      <c r="AE687" s="200"/>
      <c r="AF687" s="200"/>
      <c r="AG687" s="200"/>
      <c r="AH687" s="200"/>
      <c r="AI687" s="200"/>
      <c r="AJ687" s="200"/>
      <c r="AK687" s="200"/>
      <c r="AL687" s="200"/>
      <c r="AM687" s="200"/>
      <c r="AN687" s="200"/>
      <c r="AO687" s="200"/>
      <c r="AP687" s="200"/>
      <c r="AQ687" s="200"/>
      <c r="AR687" s="200"/>
      <c r="AS687" s="200"/>
      <c r="AT687" s="200"/>
      <c r="AU687" s="200"/>
      <c r="AV687" s="200"/>
      <c r="AW687" s="200"/>
      <c r="AX687" s="200"/>
      <c r="AY687" s="200"/>
      <c r="AZ687" s="200"/>
      <c r="BA687" s="200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spans="1:70" ht="13.8">
      <c r="A688" s="1"/>
      <c r="B688" s="1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  <c r="AB688" s="200"/>
      <c r="AC688" s="200"/>
      <c r="AD688" s="200"/>
      <c r="AE688" s="200"/>
      <c r="AF688" s="200"/>
      <c r="AG688" s="200"/>
      <c r="AH688" s="200"/>
      <c r="AI688" s="200"/>
      <c r="AJ688" s="200"/>
      <c r="AK688" s="200"/>
      <c r="AL688" s="200"/>
      <c r="AM688" s="200"/>
      <c r="AN688" s="200"/>
      <c r="AO688" s="200"/>
      <c r="AP688" s="200"/>
      <c r="AQ688" s="200"/>
      <c r="AR688" s="200"/>
      <c r="AS688" s="200"/>
      <c r="AT688" s="200"/>
      <c r="AU688" s="200"/>
      <c r="AV688" s="200"/>
      <c r="AW688" s="200"/>
      <c r="AX688" s="200"/>
      <c r="AY688" s="200"/>
      <c r="AZ688" s="200"/>
      <c r="BA688" s="200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spans="1:70" ht="13.8">
      <c r="A689" s="1"/>
      <c r="B689" s="1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  <c r="AB689" s="200"/>
      <c r="AC689" s="200"/>
      <c r="AD689" s="200"/>
      <c r="AE689" s="200"/>
      <c r="AF689" s="200"/>
      <c r="AG689" s="200"/>
      <c r="AH689" s="200"/>
      <c r="AI689" s="200"/>
      <c r="AJ689" s="200"/>
      <c r="AK689" s="200"/>
      <c r="AL689" s="200"/>
      <c r="AM689" s="200"/>
      <c r="AN689" s="200"/>
      <c r="AO689" s="200"/>
      <c r="AP689" s="200"/>
      <c r="AQ689" s="200"/>
      <c r="AR689" s="200"/>
      <c r="AS689" s="200"/>
      <c r="AT689" s="200"/>
      <c r="AU689" s="200"/>
      <c r="AV689" s="200"/>
      <c r="AW689" s="200"/>
      <c r="AX689" s="200"/>
      <c r="AY689" s="200"/>
      <c r="AZ689" s="200"/>
      <c r="BA689" s="200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spans="1:70" ht="13.8">
      <c r="A690" s="1"/>
      <c r="B690" s="1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  <c r="AB690" s="200"/>
      <c r="AC690" s="200"/>
      <c r="AD690" s="200"/>
      <c r="AE690" s="200"/>
      <c r="AF690" s="200"/>
      <c r="AG690" s="200"/>
      <c r="AH690" s="200"/>
      <c r="AI690" s="200"/>
      <c r="AJ690" s="200"/>
      <c r="AK690" s="200"/>
      <c r="AL690" s="200"/>
      <c r="AM690" s="200"/>
      <c r="AN690" s="200"/>
      <c r="AO690" s="200"/>
      <c r="AP690" s="200"/>
      <c r="AQ690" s="200"/>
      <c r="AR690" s="200"/>
      <c r="AS690" s="200"/>
      <c r="AT690" s="200"/>
      <c r="AU690" s="200"/>
      <c r="AV690" s="200"/>
      <c r="AW690" s="200"/>
      <c r="AX690" s="200"/>
      <c r="AY690" s="200"/>
      <c r="AZ690" s="200"/>
      <c r="BA690" s="200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spans="1:70" ht="13.8">
      <c r="A691" s="1"/>
      <c r="B691" s="1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  <c r="AB691" s="200"/>
      <c r="AC691" s="200"/>
      <c r="AD691" s="200"/>
      <c r="AE691" s="200"/>
      <c r="AF691" s="200"/>
      <c r="AG691" s="200"/>
      <c r="AH691" s="200"/>
      <c r="AI691" s="200"/>
      <c r="AJ691" s="200"/>
      <c r="AK691" s="200"/>
      <c r="AL691" s="200"/>
      <c r="AM691" s="200"/>
      <c r="AN691" s="200"/>
      <c r="AO691" s="200"/>
      <c r="AP691" s="200"/>
      <c r="AQ691" s="200"/>
      <c r="AR691" s="200"/>
      <c r="AS691" s="200"/>
      <c r="AT691" s="200"/>
      <c r="AU691" s="200"/>
      <c r="AV691" s="200"/>
      <c r="AW691" s="200"/>
      <c r="AX691" s="200"/>
      <c r="AY691" s="200"/>
      <c r="AZ691" s="200"/>
      <c r="BA691" s="200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spans="1:70" ht="13.8">
      <c r="A692" s="1"/>
      <c r="B692" s="1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  <c r="AB692" s="200"/>
      <c r="AC692" s="200"/>
      <c r="AD692" s="200"/>
      <c r="AE692" s="200"/>
      <c r="AF692" s="200"/>
      <c r="AG692" s="200"/>
      <c r="AH692" s="200"/>
      <c r="AI692" s="200"/>
      <c r="AJ692" s="200"/>
      <c r="AK692" s="200"/>
      <c r="AL692" s="200"/>
      <c r="AM692" s="200"/>
      <c r="AN692" s="200"/>
      <c r="AO692" s="200"/>
      <c r="AP692" s="200"/>
      <c r="AQ692" s="200"/>
      <c r="AR692" s="200"/>
      <c r="AS692" s="200"/>
      <c r="AT692" s="200"/>
      <c r="AU692" s="200"/>
      <c r="AV692" s="200"/>
      <c r="AW692" s="200"/>
      <c r="AX692" s="200"/>
      <c r="AY692" s="200"/>
      <c r="AZ692" s="200"/>
      <c r="BA692" s="200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spans="1:70" ht="13.8">
      <c r="A693" s="1"/>
      <c r="B693" s="1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  <c r="AB693" s="200"/>
      <c r="AC693" s="200"/>
      <c r="AD693" s="200"/>
      <c r="AE693" s="200"/>
      <c r="AF693" s="200"/>
      <c r="AG693" s="200"/>
      <c r="AH693" s="200"/>
      <c r="AI693" s="200"/>
      <c r="AJ693" s="200"/>
      <c r="AK693" s="200"/>
      <c r="AL693" s="200"/>
      <c r="AM693" s="200"/>
      <c r="AN693" s="200"/>
      <c r="AO693" s="200"/>
      <c r="AP693" s="200"/>
      <c r="AQ693" s="200"/>
      <c r="AR693" s="200"/>
      <c r="AS693" s="200"/>
      <c r="AT693" s="200"/>
      <c r="AU693" s="200"/>
      <c r="AV693" s="200"/>
      <c r="AW693" s="200"/>
      <c r="AX693" s="200"/>
      <c r="AY693" s="200"/>
      <c r="AZ693" s="200"/>
      <c r="BA693" s="200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spans="1:70" ht="13.8">
      <c r="A694" s="1"/>
      <c r="B694" s="1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  <c r="AB694" s="200"/>
      <c r="AC694" s="200"/>
      <c r="AD694" s="200"/>
      <c r="AE694" s="200"/>
      <c r="AF694" s="200"/>
      <c r="AG694" s="200"/>
      <c r="AH694" s="200"/>
      <c r="AI694" s="200"/>
      <c r="AJ694" s="200"/>
      <c r="AK694" s="200"/>
      <c r="AL694" s="200"/>
      <c r="AM694" s="200"/>
      <c r="AN694" s="200"/>
      <c r="AO694" s="200"/>
      <c r="AP694" s="200"/>
      <c r="AQ694" s="200"/>
      <c r="AR694" s="200"/>
      <c r="AS694" s="200"/>
      <c r="AT694" s="200"/>
      <c r="AU694" s="200"/>
      <c r="AV694" s="200"/>
      <c r="AW694" s="200"/>
      <c r="AX694" s="200"/>
      <c r="AY694" s="200"/>
      <c r="AZ694" s="200"/>
      <c r="BA694" s="200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spans="1:70" ht="13.8">
      <c r="A695" s="1"/>
      <c r="B695" s="1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  <c r="AB695" s="200"/>
      <c r="AC695" s="200"/>
      <c r="AD695" s="200"/>
      <c r="AE695" s="200"/>
      <c r="AF695" s="200"/>
      <c r="AG695" s="200"/>
      <c r="AH695" s="200"/>
      <c r="AI695" s="200"/>
      <c r="AJ695" s="200"/>
      <c r="AK695" s="200"/>
      <c r="AL695" s="200"/>
      <c r="AM695" s="200"/>
      <c r="AN695" s="200"/>
      <c r="AO695" s="200"/>
      <c r="AP695" s="200"/>
      <c r="AQ695" s="200"/>
      <c r="AR695" s="200"/>
      <c r="AS695" s="200"/>
      <c r="AT695" s="200"/>
      <c r="AU695" s="200"/>
      <c r="AV695" s="200"/>
      <c r="AW695" s="200"/>
      <c r="AX695" s="200"/>
      <c r="AY695" s="200"/>
      <c r="AZ695" s="200"/>
      <c r="BA695" s="200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spans="1:70" ht="13.8">
      <c r="A696" s="1"/>
      <c r="B696" s="1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  <c r="AB696" s="200"/>
      <c r="AC696" s="200"/>
      <c r="AD696" s="200"/>
      <c r="AE696" s="200"/>
      <c r="AF696" s="200"/>
      <c r="AG696" s="200"/>
      <c r="AH696" s="200"/>
      <c r="AI696" s="200"/>
      <c r="AJ696" s="200"/>
      <c r="AK696" s="200"/>
      <c r="AL696" s="200"/>
      <c r="AM696" s="200"/>
      <c r="AN696" s="200"/>
      <c r="AO696" s="200"/>
      <c r="AP696" s="200"/>
      <c r="AQ696" s="200"/>
      <c r="AR696" s="200"/>
      <c r="AS696" s="200"/>
      <c r="AT696" s="200"/>
      <c r="AU696" s="200"/>
      <c r="AV696" s="200"/>
      <c r="AW696" s="200"/>
      <c r="AX696" s="200"/>
      <c r="AY696" s="200"/>
      <c r="AZ696" s="200"/>
      <c r="BA696" s="200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spans="1:70" ht="13.8">
      <c r="A697" s="1"/>
      <c r="B697" s="1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  <c r="AB697" s="200"/>
      <c r="AC697" s="200"/>
      <c r="AD697" s="200"/>
      <c r="AE697" s="200"/>
      <c r="AF697" s="200"/>
      <c r="AG697" s="200"/>
      <c r="AH697" s="200"/>
      <c r="AI697" s="200"/>
      <c r="AJ697" s="200"/>
      <c r="AK697" s="200"/>
      <c r="AL697" s="200"/>
      <c r="AM697" s="200"/>
      <c r="AN697" s="200"/>
      <c r="AO697" s="200"/>
      <c r="AP697" s="200"/>
      <c r="AQ697" s="200"/>
      <c r="AR697" s="200"/>
      <c r="AS697" s="200"/>
      <c r="AT697" s="200"/>
      <c r="AU697" s="200"/>
      <c r="AV697" s="200"/>
      <c r="AW697" s="200"/>
      <c r="AX697" s="200"/>
      <c r="AY697" s="200"/>
      <c r="AZ697" s="200"/>
      <c r="BA697" s="200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spans="1:70" ht="13.8">
      <c r="A698" s="1"/>
      <c r="B698" s="1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  <c r="AB698" s="200"/>
      <c r="AC698" s="200"/>
      <c r="AD698" s="200"/>
      <c r="AE698" s="200"/>
      <c r="AF698" s="200"/>
      <c r="AG698" s="200"/>
      <c r="AH698" s="200"/>
      <c r="AI698" s="200"/>
      <c r="AJ698" s="200"/>
      <c r="AK698" s="200"/>
      <c r="AL698" s="200"/>
      <c r="AM698" s="200"/>
      <c r="AN698" s="200"/>
      <c r="AO698" s="200"/>
      <c r="AP698" s="200"/>
      <c r="AQ698" s="200"/>
      <c r="AR698" s="200"/>
      <c r="AS698" s="200"/>
      <c r="AT698" s="200"/>
      <c r="AU698" s="200"/>
      <c r="AV698" s="200"/>
      <c r="AW698" s="200"/>
      <c r="AX698" s="200"/>
      <c r="AY698" s="200"/>
      <c r="AZ698" s="200"/>
      <c r="BA698" s="200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spans="1:70" ht="13.8">
      <c r="A699" s="1"/>
      <c r="B699" s="1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  <c r="AB699" s="200"/>
      <c r="AC699" s="200"/>
      <c r="AD699" s="200"/>
      <c r="AE699" s="200"/>
      <c r="AF699" s="200"/>
      <c r="AG699" s="200"/>
      <c r="AH699" s="200"/>
      <c r="AI699" s="200"/>
      <c r="AJ699" s="200"/>
      <c r="AK699" s="200"/>
      <c r="AL699" s="200"/>
      <c r="AM699" s="200"/>
      <c r="AN699" s="200"/>
      <c r="AO699" s="200"/>
      <c r="AP699" s="200"/>
      <c r="AQ699" s="200"/>
      <c r="AR699" s="200"/>
      <c r="AS699" s="200"/>
      <c r="AT699" s="200"/>
      <c r="AU699" s="200"/>
      <c r="AV699" s="200"/>
      <c r="AW699" s="200"/>
      <c r="AX699" s="200"/>
      <c r="AY699" s="200"/>
      <c r="AZ699" s="200"/>
      <c r="BA699" s="200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spans="1:70" ht="13.8">
      <c r="A700" s="1"/>
      <c r="B700" s="1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  <c r="AB700" s="200"/>
      <c r="AC700" s="200"/>
      <c r="AD700" s="200"/>
      <c r="AE700" s="200"/>
      <c r="AF700" s="200"/>
      <c r="AG700" s="200"/>
      <c r="AH700" s="200"/>
      <c r="AI700" s="200"/>
      <c r="AJ700" s="200"/>
      <c r="AK700" s="200"/>
      <c r="AL700" s="200"/>
      <c r="AM700" s="200"/>
      <c r="AN700" s="200"/>
      <c r="AO700" s="200"/>
      <c r="AP700" s="200"/>
      <c r="AQ700" s="200"/>
      <c r="AR700" s="200"/>
      <c r="AS700" s="200"/>
      <c r="AT700" s="200"/>
      <c r="AU700" s="200"/>
      <c r="AV700" s="200"/>
      <c r="AW700" s="200"/>
      <c r="AX700" s="200"/>
      <c r="AY700" s="200"/>
      <c r="AZ700" s="200"/>
      <c r="BA700" s="200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spans="1:70" ht="13.8">
      <c r="A701" s="1"/>
      <c r="B701" s="1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  <c r="AB701" s="200"/>
      <c r="AC701" s="200"/>
      <c r="AD701" s="200"/>
      <c r="AE701" s="200"/>
      <c r="AF701" s="200"/>
      <c r="AG701" s="200"/>
      <c r="AH701" s="200"/>
      <c r="AI701" s="200"/>
      <c r="AJ701" s="200"/>
      <c r="AK701" s="200"/>
      <c r="AL701" s="200"/>
      <c r="AM701" s="200"/>
      <c r="AN701" s="200"/>
      <c r="AO701" s="200"/>
      <c r="AP701" s="200"/>
      <c r="AQ701" s="200"/>
      <c r="AR701" s="200"/>
      <c r="AS701" s="200"/>
      <c r="AT701" s="200"/>
      <c r="AU701" s="200"/>
      <c r="AV701" s="200"/>
      <c r="AW701" s="200"/>
      <c r="AX701" s="200"/>
      <c r="AY701" s="200"/>
      <c r="AZ701" s="200"/>
      <c r="BA701" s="200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spans="1:70" ht="13.8">
      <c r="A702" s="1"/>
      <c r="B702" s="1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  <c r="AB702" s="200"/>
      <c r="AC702" s="200"/>
      <c r="AD702" s="200"/>
      <c r="AE702" s="200"/>
      <c r="AF702" s="200"/>
      <c r="AG702" s="200"/>
      <c r="AH702" s="200"/>
      <c r="AI702" s="200"/>
      <c r="AJ702" s="200"/>
      <c r="AK702" s="200"/>
      <c r="AL702" s="200"/>
      <c r="AM702" s="200"/>
      <c r="AN702" s="200"/>
      <c r="AO702" s="200"/>
      <c r="AP702" s="200"/>
      <c r="AQ702" s="200"/>
      <c r="AR702" s="200"/>
      <c r="AS702" s="200"/>
      <c r="AT702" s="200"/>
      <c r="AU702" s="200"/>
      <c r="AV702" s="200"/>
      <c r="AW702" s="200"/>
      <c r="AX702" s="200"/>
      <c r="AY702" s="200"/>
      <c r="AZ702" s="200"/>
      <c r="BA702" s="200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spans="1:70" ht="13.8">
      <c r="A703" s="1"/>
      <c r="B703" s="1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  <c r="AB703" s="200"/>
      <c r="AC703" s="200"/>
      <c r="AD703" s="200"/>
      <c r="AE703" s="200"/>
      <c r="AF703" s="200"/>
      <c r="AG703" s="200"/>
      <c r="AH703" s="200"/>
      <c r="AI703" s="200"/>
      <c r="AJ703" s="200"/>
      <c r="AK703" s="200"/>
      <c r="AL703" s="200"/>
      <c r="AM703" s="200"/>
      <c r="AN703" s="200"/>
      <c r="AO703" s="200"/>
      <c r="AP703" s="200"/>
      <c r="AQ703" s="200"/>
      <c r="AR703" s="200"/>
      <c r="AS703" s="200"/>
      <c r="AT703" s="200"/>
      <c r="AU703" s="200"/>
      <c r="AV703" s="200"/>
      <c r="AW703" s="200"/>
      <c r="AX703" s="200"/>
      <c r="AY703" s="200"/>
      <c r="AZ703" s="200"/>
      <c r="BA703" s="200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spans="1:70" ht="13.8">
      <c r="A704" s="1"/>
      <c r="B704" s="1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  <c r="AB704" s="200"/>
      <c r="AC704" s="200"/>
      <c r="AD704" s="200"/>
      <c r="AE704" s="200"/>
      <c r="AF704" s="200"/>
      <c r="AG704" s="200"/>
      <c r="AH704" s="200"/>
      <c r="AI704" s="200"/>
      <c r="AJ704" s="200"/>
      <c r="AK704" s="200"/>
      <c r="AL704" s="200"/>
      <c r="AM704" s="200"/>
      <c r="AN704" s="200"/>
      <c r="AO704" s="200"/>
      <c r="AP704" s="200"/>
      <c r="AQ704" s="200"/>
      <c r="AR704" s="200"/>
      <c r="AS704" s="200"/>
      <c r="AT704" s="200"/>
      <c r="AU704" s="200"/>
      <c r="AV704" s="200"/>
      <c r="AW704" s="200"/>
      <c r="AX704" s="200"/>
      <c r="AY704" s="200"/>
      <c r="AZ704" s="200"/>
      <c r="BA704" s="200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spans="1:70" ht="13.8">
      <c r="A705" s="1"/>
      <c r="B705" s="1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  <c r="AB705" s="200"/>
      <c r="AC705" s="200"/>
      <c r="AD705" s="200"/>
      <c r="AE705" s="200"/>
      <c r="AF705" s="200"/>
      <c r="AG705" s="200"/>
      <c r="AH705" s="200"/>
      <c r="AI705" s="200"/>
      <c r="AJ705" s="200"/>
      <c r="AK705" s="200"/>
      <c r="AL705" s="200"/>
      <c r="AM705" s="200"/>
      <c r="AN705" s="200"/>
      <c r="AO705" s="200"/>
      <c r="AP705" s="200"/>
      <c r="AQ705" s="200"/>
      <c r="AR705" s="200"/>
      <c r="AS705" s="200"/>
      <c r="AT705" s="200"/>
      <c r="AU705" s="200"/>
      <c r="AV705" s="200"/>
      <c r="AW705" s="200"/>
      <c r="AX705" s="200"/>
      <c r="AY705" s="200"/>
      <c r="AZ705" s="200"/>
      <c r="BA705" s="200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spans="1:70" ht="13.8">
      <c r="A706" s="1"/>
      <c r="B706" s="1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  <c r="AB706" s="200"/>
      <c r="AC706" s="200"/>
      <c r="AD706" s="200"/>
      <c r="AE706" s="200"/>
      <c r="AF706" s="200"/>
      <c r="AG706" s="200"/>
      <c r="AH706" s="200"/>
      <c r="AI706" s="200"/>
      <c r="AJ706" s="200"/>
      <c r="AK706" s="200"/>
      <c r="AL706" s="200"/>
      <c r="AM706" s="200"/>
      <c r="AN706" s="200"/>
      <c r="AO706" s="200"/>
      <c r="AP706" s="200"/>
      <c r="AQ706" s="200"/>
      <c r="AR706" s="200"/>
      <c r="AS706" s="200"/>
      <c r="AT706" s="200"/>
      <c r="AU706" s="200"/>
      <c r="AV706" s="200"/>
      <c r="AW706" s="200"/>
      <c r="AX706" s="200"/>
      <c r="AY706" s="200"/>
      <c r="AZ706" s="200"/>
      <c r="BA706" s="200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spans="1:70" ht="13.8">
      <c r="A707" s="1"/>
      <c r="B707" s="1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  <c r="AB707" s="200"/>
      <c r="AC707" s="200"/>
      <c r="AD707" s="200"/>
      <c r="AE707" s="200"/>
      <c r="AF707" s="200"/>
      <c r="AG707" s="200"/>
      <c r="AH707" s="200"/>
      <c r="AI707" s="200"/>
      <c r="AJ707" s="200"/>
      <c r="AK707" s="200"/>
      <c r="AL707" s="200"/>
      <c r="AM707" s="200"/>
      <c r="AN707" s="200"/>
      <c r="AO707" s="200"/>
      <c r="AP707" s="200"/>
      <c r="AQ707" s="200"/>
      <c r="AR707" s="200"/>
      <c r="AS707" s="200"/>
      <c r="AT707" s="200"/>
      <c r="AU707" s="200"/>
      <c r="AV707" s="200"/>
      <c r="AW707" s="200"/>
      <c r="AX707" s="200"/>
      <c r="AY707" s="200"/>
      <c r="AZ707" s="200"/>
      <c r="BA707" s="200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spans="1:70" ht="13.8">
      <c r="A708" s="1"/>
      <c r="B708" s="1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  <c r="AB708" s="200"/>
      <c r="AC708" s="200"/>
      <c r="AD708" s="200"/>
      <c r="AE708" s="200"/>
      <c r="AF708" s="200"/>
      <c r="AG708" s="200"/>
      <c r="AH708" s="200"/>
      <c r="AI708" s="200"/>
      <c r="AJ708" s="200"/>
      <c r="AK708" s="200"/>
      <c r="AL708" s="200"/>
      <c r="AM708" s="200"/>
      <c r="AN708" s="200"/>
      <c r="AO708" s="200"/>
      <c r="AP708" s="200"/>
      <c r="AQ708" s="200"/>
      <c r="AR708" s="200"/>
      <c r="AS708" s="200"/>
      <c r="AT708" s="200"/>
      <c r="AU708" s="200"/>
      <c r="AV708" s="200"/>
      <c r="AW708" s="200"/>
      <c r="AX708" s="200"/>
      <c r="AY708" s="200"/>
      <c r="AZ708" s="200"/>
      <c r="BA708" s="200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spans="1:70" ht="13.8">
      <c r="A709" s="1"/>
      <c r="B709" s="1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  <c r="AB709" s="200"/>
      <c r="AC709" s="200"/>
      <c r="AD709" s="200"/>
      <c r="AE709" s="200"/>
      <c r="AF709" s="200"/>
      <c r="AG709" s="200"/>
      <c r="AH709" s="200"/>
      <c r="AI709" s="200"/>
      <c r="AJ709" s="200"/>
      <c r="AK709" s="200"/>
      <c r="AL709" s="200"/>
      <c r="AM709" s="200"/>
      <c r="AN709" s="200"/>
      <c r="AO709" s="200"/>
      <c r="AP709" s="200"/>
      <c r="AQ709" s="200"/>
      <c r="AR709" s="200"/>
      <c r="AS709" s="200"/>
      <c r="AT709" s="200"/>
      <c r="AU709" s="200"/>
      <c r="AV709" s="200"/>
      <c r="AW709" s="200"/>
      <c r="AX709" s="200"/>
      <c r="AY709" s="200"/>
      <c r="AZ709" s="200"/>
      <c r="BA709" s="200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spans="1:70" ht="13.8">
      <c r="A710" s="1"/>
      <c r="B710" s="1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  <c r="AB710" s="200"/>
      <c r="AC710" s="200"/>
      <c r="AD710" s="200"/>
      <c r="AE710" s="200"/>
      <c r="AF710" s="200"/>
      <c r="AG710" s="200"/>
      <c r="AH710" s="200"/>
      <c r="AI710" s="200"/>
      <c r="AJ710" s="200"/>
      <c r="AK710" s="200"/>
      <c r="AL710" s="200"/>
      <c r="AM710" s="200"/>
      <c r="AN710" s="200"/>
      <c r="AO710" s="200"/>
      <c r="AP710" s="200"/>
      <c r="AQ710" s="200"/>
      <c r="AR710" s="200"/>
      <c r="AS710" s="200"/>
      <c r="AT710" s="200"/>
      <c r="AU710" s="200"/>
      <c r="AV710" s="200"/>
      <c r="AW710" s="200"/>
      <c r="AX710" s="200"/>
      <c r="AY710" s="200"/>
      <c r="AZ710" s="200"/>
      <c r="BA710" s="200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spans="1:70" ht="13.8">
      <c r="A711" s="1"/>
      <c r="B711" s="1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  <c r="AB711" s="200"/>
      <c r="AC711" s="200"/>
      <c r="AD711" s="200"/>
      <c r="AE711" s="200"/>
      <c r="AF711" s="200"/>
      <c r="AG711" s="200"/>
      <c r="AH711" s="200"/>
      <c r="AI711" s="200"/>
      <c r="AJ711" s="200"/>
      <c r="AK711" s="200"/>
      <c r="AL711" s="200"/>
      <c r="AM711" s="200"/>
      <c r="AN711" s="200"/>
      <c r="AO711" s="200"/>
      <c r="AP711" s="200"/>
      <c r="AQ711" s="200"/>
      <c r="AR711" s="200"/>
      <c r="AS711" s="200"/>
      <c r="AT711" s="200"/>
      <c r="AU711" s="200"/>
      <c r="AV711" s="200"/>
      <c r="AW711" s="200"/>
      <c r="AX711" s="200"/>
      <c r="AY711" s="200"/>
      <c r="AZ711" s="200"/>
      <c r="BA711" s="200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spans="1:70" ht="13.8">
      <c r="A712" s="1"/>
      <c r="B712" s="1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  <c r="AH712" s="200"/>
      <c r="AI712" s="200"/>
      <c r="AJ712" s="200"/>
      <c r="AK712" s="200"/>
      <c r="AL712" s="200"/>
      <c r="AM712" s="200"/>
      <c r="AN712" s="200"/>
      <c r="AO712" s="200"/>
      <c r="AP712" s="200"/>
      <c r="AQ712" s="200"/>
      <c r="AR712" s="200"/>
      <c r="AS712" s="200"/>
      <c r="AT712" s="200"/>
      <c r="AU712" s="200"/>
      <c r="AV712" s="200"/>
      <c r="AW712" s="200"/>
      <c r="AX712" s="200"/>
      <c r="AY712" s="200"/>
      <c r="AZ712" s="200"/>
      <c r="BA712" s="200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spans="1:70" ht="13.8">
      <c r="A713" s="1"/>
      <c r="B713" s="1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  <c r="AB713" s="200"/>
      <c r="AC713" s="200"/>
      <c r="AD713" s="200"/>
      <c r="AE713" s="200"/>
      <c r="AF713" s="200"/>
      <c r="AG713" s="200"/>
      <c r="AH713" s="200"/>
      <c r="AI713" s="200"/>
      <c r="AJ713" s="200"/>
      <c r="AK713" s="200"/>
      <c r="AL713" s="200"/>
      <c r="AM713" s="200"/>
      <c r="AN713" s="200"/>
      <c r="AO713" s="200"/>
      <c r="AP713" s="200"/>
      <c r="AQ713" s="200"/>
      <c r="AR713" s="200"/>
      <c r="AS713" s="200"/>
      <c r="AT713" s="200"/>
      <c r="AU713" s="200"/>
      <c r="AV713" s="200"/>
      <c r="AW713" s="200"/>
      <c r="AX713" s="200"/>
      <c r="AY713" s="200"/>
      <c r="AZ713" s="200"/>
      <c r="BA713" s="200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spans="1:70" ht="13.8">
      <c r="A714" s="1"/>
      <c r="B714" s="1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  <c r="AB714" s="200"/>
      <c r="AC714" s="200"/>
      <c r="AD714" s="200"/>
      <c r="AE714" s="200"/>
      <c r="AF714" s="200"/>
      <c r="AG714" s="200"/>
      <c r="AH714" s="200"/>
      <c r="AI714" s="200"/>
      <c r="AJ714" s="200"/>
      <c r="AK714" s="200"/>
      <c r="AL714" s="200"/>
      <c r="AM714" s="200"/>
      <c r="AN714" s="200"/>
      <c r="AO714" s="200"/>
      <c r="AP714" s="200"/>
      <c r="AQ714" s="200"/>
      <c r="AR714" s="200"/>
      <c r="AS714" s="200"/>
      <c r="AT714" s="200"/>
      <c r="AU714" s="200"/>
      <c r="AV714" s="200"/>
      <c r="AW714" s="200"/>
      <c r="AX714" s="200"/>
      <c r="AY714" s="200"/>
      <c r="AZ714" s="200"/>
      <c r="BA714" s="200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spans="1:70" ht="13.8">
      <c r="A715" s="1"/>
      <c r="B715" s="1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  <c r="AB715" s="200"/>
      <c r="AC715" s="200"/>
      <c r="AD715" s="200"/>
      <c r="AE715" s="200"/>
      <c r="AF715" s="200"/>
      <c r="AG715" s="200"/>
      <c r="AH715" s="200"/>
      <c r="AI715" s="200"/>
      <c r="AJ715" s="200"/>
      <c r="AK715" s="200"/>
      <c r="AL715" s="200"/>
      <c r="AM715" s="200"/>
      <c r="AN715" s="200"/>
      <c r="AO715" s="200"/>
      <c r="AP715" s="200"/>
      <c r="AQ715" s="200"/>
      <c r="AR715" s="200"/>
      <c r="AS715" s="200"/>
      <c r="AT715" s="200"/>
      <c r="AU715" s="200"/>
      <c r="AV715" s="200"/>
      <c r="AW715" s="200"/>
      <c r="AX715" s="200"/>
      <c r="AY715" s="200"/>
      <c r="AZ715" s="200"/>
      <c r="BA715" s="200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spans="1:70" ht="13.8">
      <c r="A716" s="1"/>
      <c r="B716" s="1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  <c r="AB716" s="200"/>
      <c r="AC716" s="200"/>
      <c r="AD716" s="200"/>
      <c r="AE716" s="200"/>
      <c r="AF716" s="200"/>
      <c r="AG716" s="200"/>
      <c r="AH716" s="200"/>
      <c r="AI716" s="200"/>
      <c r="AJ716" s="200"/>
      <c r="AK716" s="200"/>
      <c r="AL716" s="200"/>
      <c r="AM716" s="200"/>
      <c r="AN716" s="200"/>
      <c r="AO716" s="200"/>
      <c r="AP716" s="200"/>
      <c r="AQ716" s="200"/>
      <c r="AR716" s="200"/>
      <c r="AS716" s="200"/>
      <c r="AT716" s="200"/>
      <c r="AU716" s="200"/>
      <c r="AV716" s="200"/>
      <c r="AW716" s="200"/>
      <c r="AX716" s="200"/>
      <c r="AY716" s="200"/>
      <c r="AZ716" s="200"/>
      <c r="BA716" s="200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spans="1:70" ht="13.8">
      <c r="A717" s="1"/>
      <c r="B717" s="1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  <c r="AB717" s="200"/>
      <c r="AC717" s="200"/>
      <c r="AD717" s="200"/>
      <c r="AE717" s="200"/>
      <c r="AF717" s="200"/>
      <c r="AG717" s="200"/>
      <c r="AH717" s="200"/>
      <c r="AI717" s="200"/>
      <c r="AJ717" s="200"/>
      <c r="AK717" s="200"/>
      <c r="AL717" s="200"/>
      <c r="AM717" s="200"/>
      <c r="AN717" s="200"/>
      <c r="AO717" s="200"/>
      <c r="AP717" s="200"/>
      <c r="AQ717" s="200"/>
      <c r="AR717" s="200"/>
      <c r="AS717" s="200"/>
      <c r="AT717" s="200"/>
      <c r="AU717" s="200"/>
      <c r="AV717" s="200"/>
      <c r="AW717" s="200"/>
      <c r="AX717" s="200"/>
      <c r="AY717" s="200"/>
      <c r="AZ717" s="200"/>
      <c r="BA717" s="200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spans="1:70" ht="13.8">
      <c r="A718" s="1"/>
      <c r="B718" s="1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  <c r="AB718" s="200"/>
      <c r="AC718" s="200"/>
      <c r="AD718" s="200"/>
      <c r="AE718" s="200"/>
      <c r="AF718" s="200"/>
      <c r="AG718" s="200"/>
      <c r="AH718" s="200"/>
      <c r="AI718" s="200"/>
      <c r="AJ718" s="200"/>
      <c r="AK718" s="200"/>
      <c r="AL718" s="200"/>
      <c r="AM718" s="200"/>
      <c r="AN718" s="200"/>
      <c r="AO718" s="200"/>
      <c r="AP718" s="200"/>
      <c r="AQ718" s="200"/>
      <c r="AR718" s="200"/>
      <c r="AS718" s="200"/>
      <c r="AT718" s="200"/>
      <c r="AU718" s="200"/>
      <c r="AV718" s="200"/>
      <c r="AW718" s="200"/>
      <c r="AX718" s="200"/>
      <c r="AY718" s="200"/>
      <c r="AZ718" s="200"/>
      <c r="BA718" s="200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spans="1:70" ht="13.8">
      <c r="A719" s="1"/>
      <c r="B719" s="1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  <c r="AB719" s="200"/>
      <c r="AC719" s="200"/>
      <c r="AD719" s="200"/>
      <c r="AE719" s="200"/>
      <c r="AF719" s="200"/>
      <c r="AG719" s="200"/>
      <c r="AH719" s="200"/>
      <c r="AI719" s="200"/>
      <c r="AJ719" s="200"/>
      <c r="AK719" s="200"/>
      <c r="AL719" s="200"/>
      <c r="AM719" s="200"/>
      <c r="AN719" s="200"/>
      <c r="AO719" s="200"/>
      <c r="AP719" s="200"/>
      <c r="AQ719" s="200"/>
      <c r="AR719" s="200"/>
      <c r="AS719" s="200"/>
      <c r="AT719" s="200"/>
      <c r="AU719" s="200"/>
      <c r="AV719" s="200"/>
      <c r="AW719" s="200"/>
      <c r="AX719" s="200"/>
      <c r="AY719" s="200"/>
      <c r="AZ719" s="200"/>
      <c r="BA719" s="200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spans="1:70" ht="13.8">
      <c r="A720" s="1"/>
      <c r="B720" s="1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  <c r="AB720" s="200"/>
      <c r="AC720" s="200"/>
      <c r="AD720" s="200"/>
      <c r="AE720" s="200"/>
      <c r="AF720" s="200"/>
      <c r="AG720" s="200"/>
      <c r="AH720" s="200"/>
      <c r="AI720" s="200"/>
      <c r="AJ720" s="200"/>
      <c r="AK720" s="200"/>
      <c r="AL720" s="200"/>
      <c r="AM720" s="200"/>
      <c r="AN720" s="200"/>
      <c r="AO720" s="200"/>
      <c r="AP720" s="200"/>
      <c r="AQ720" s="200"/>
      <c r="AR720" s="200"/>
      <c r="AS720" s="200"/>
      <c r="AT720" s="200"/>
      <c r="AU720" s="200"/>
      <c r="AV720" s="200"/>
      <c r="AW720" s="200"/>
      <c r="AX720" s="200"/>
      <c r="AY720" s="200"/>
      <c r="AZ720" s="200"/>
      <c r="BA720" s="200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spans="1:70" ht="13.8">
      <c r="A721" s="1"/>
      <c r="B721" s="1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  <c r="AB721" s="200"/>
      <c r="AC721" s="200"/>
      <c r="AD721" s="200"/>
      <c r="AE721" s="200"/>
      <c r="AF721" s="200"/>
      <c r="AG721" s="200"/>
      <c r="AH721" s="200"/>
      <c r="AI721" s="200"/>
      <c r="AJ721" s="200"/>
      <c r="AK721" s="200"/>
      <c r="AL721" s="200"/>
      <c r="AM721" s="200"/>
      <c r="AN721" s="200"/>
      <c r="AO721" s="200"/>
      <c r="AP721" s="200"/>
      <c r="AQ721" s="200"/>
      <c r="AR721" s="200"/>
      <c r="AS721" s="200"/>
      <c r="AT721" s="200"/>
      <c r="AU721" s="200"/>
      <c r="AV721" s="200"/>
      <c r="AW721" s="200"/>
      <c r="AX721" s="200"/>
      <c r="AY721" s="200"/>
      <c r="AZ721" s="200"/>
      <c r="BA721" s="200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spans="1:70" ht="13.8">
      <c r="A722" s="1"/>
      <c r="B722" s="1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  <c r="AB722" s="200"/>
      <c r="AC722" s="200"/>
      <c r="AD722" s="200"/>
      <c r="AE722" s="200"/>
      <c r="AF722" s="200"/>
      <c r="AG722" s="200"/>
      <c r="AH722" s="200"/>
      <c r="AI722" s="200"/>
      <c r="AJ722" s="200"/>
      <c r="AK722" s="200"/>
      <c r="AL722" s="200"/>
      <c r="AM722" s="200"/>
      <c r="AN722" s="200"/>
      <c r="AO722" s="200"/>
      <c r="AP722" s="200"/>
      <c r="AQ722" s="200"/>
      <c r="AR722" s="200"/>
      <c r="AS722" s="200"/>
      <c r="AT722" s="200"/>
      <c r="AU722" s="200"/>
      <c r="AV722" s="200"/>
      <c r="AW722" s="200"/>
      <c r="AX722" s="200"/>
      <c r="AY722" s="200"/>
      <c r="AZ722" s="200"/>
      <c r="BA722" s="200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spans="1:70" ht="13.8">
      <c r="A723" s="1"/>
      <c r="B723" s="1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  <c r="AB723" s="200"/>
      <c r="AC723" s="200"/>
      <c r="AD723" s="200"/>
      <c r="AE723" s="200"/>
      <c r="AF723" s="200"/>
      <c r="AG723" s="200"/>
      <c r="AH723" s="200"/>
      <c r="AI723" s="200"/>
      <c r="AJ723" s="200"/>
      <c r="AK723" s="200"/>
      <c r="AL723" s="200"/>
      <c r="AM723" s="200"/>
      <c r="AN723" s="200"/>
      <c r="AO723" s="200"/>
      <c r="AP723" s="200"/>
      <c r="AQ723" s="200"/>
      <c r="AR723" s="200"/>
      <c r="AS723" s="200"/>
      <c r="AT723" s="200"/>
      <c r="AU723" s="200"/>
      <c r="AV723" s="200"/>
      <c r="AW723" s="200"/>
      <c r="AX723" s="200"/>
      <c r="AY723" s="200"/>
      <c r="AZ723" s="200"/>
      <c r="BA723" s="200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spans="1:70" ht="13.8">
      <c r="A724" s="1"/>
      <c r="B724" s="1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  <c r="AB724" s="200"/>
      <c r="AC724" s="200"/>
      <c r="AD724" s="200"/>
      <c r="AE724" s="200"/>
      <c r="AF724" s="200"/>
      <c r="AG724" s="200"/>
      <c r="AH724" s="200"/>
      <c r="AI724" s="200"/>
      <c r="AJ724" s="200"/>
      <c r="AK724" s="200"/>
      <c r="AL724" s="200"/>
      <c r="AM724" s="200"/>
      <c r="AN724" s="200"/>
      <c r="AO724" s="200"/>
      <c r="AP724" s="200"/>
      <c r="AQ724" s="200"/>
      <c r="AR724" s="200"/>
      <c r="AS724" s="200"/>
      <c r="AT724" s="200"/>
      <c r="AU724" s="200"/>
      <c r="AV724" s="200"/>
      <c r="AW724" s="200"/>
      <c r="AX724" s="200"/>
      <c r="AY724" s="200"/>
      <c r="AZ724" s="200"/>
      <c r="BA724" s="200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spans="1:70" ht="13.8">
      <c r="A725" s="1"/>
      <c r="B725" s="1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  <c r="AB725" s="200"/>
      <c r="AC725" s="200"/>
      <c r="AD725" s="200"/>
      <c r="AE725" s="200"/>
      <c r="AF725" s="200"/>
      <c r="AG725" s="200"/>
      <c r="AH725" s="200"/>
      <c r="AI725" s="200"/>
      <c r="AJ725" s="200"/>
      <c r="AK725" s="200"/>
      <c r="AL725" s="200"/>
      <c r="AM725" s="200"/>
      <c r="AN725" s="200"/>
      <c r="AO725" s="200"/>
      <c r="AP725" s="200"/>
      <c r="AQ725" s="200"/>
      <c r="AR725" s="200"/>
      <c r="AS725" s="200"/>
      <c r="AT725" s="200"/>
      <c r="AU725" s="200"/>
      <c r="AV725" s="200"/>
      <c r="AW725" s="200"/>
      <c r="AX725" s="200"/>
      <c r="AY725" s="200"/>
      <c r="AZ725" s="200"/>
      <c r="BA725" s="200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spans="1:70" ht="13.8">
      <c r="A726" s="1"/>
      <c r="B726" s="1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  <c r="AB726" s="200"/>
      <c r="AC726" s="200"/>
      <c r="AD726" s="200"/>
      <c r="AE726" s="200"/>
      <c r="AF726" s="200"/>
      <c r="AG726" s="200"/>
      <c r="AH726" s="200"/>
      <c r="AI726" s="200"/>
      <c r="AJ726" s="200"/>
      <c r="AK726" s="200"/>
      <c r="AL726" s="200"/>
      <c r="AM726" s="200"/>
      <c r="AN726" s="200"/>
      <c r="AO726" s="200"/>
      <c r="AP726" s="200"/>
      <c r="AQ726" s="200"/>
      <c r="AR726" s="200"/>
      <c r="AS726" s="200"/>
      <c r="AT726" s="200"/>
      <c r="AU726" s="200"/>
      <c r="AV726" s="200"/>
      <c r="AW726" s="200"/>
      <c r="AX726" s="200"/>
      <c r="AY726" s="200"/>
      <c r="AZ726" s="200"/>
      <c r="BA726" s="200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spans="1:70" ht="13.8">
      <c r="A727" s="1"/>
      <c r="B727" s="1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  <c r="AB727" s="200"/>
      <c r="AC727" s="200"/>
      <c r="AD727" s="200"/>
      <c r="AE727" s="200"/>
      <c r="AF727" s="200"/>
      <c r="AG727" s="200"/>
      <c r="AH727" s="200"/>
      <c r="AI727" s="200"/>
      <c r="AJ727" s="200"/>
      <c r="AK727" s="200"/>
      <c r="AL727" s="200"/>
      <c r="AM727" s="200"/>
      <c r="AN727" s="200"/>
      <c r="AO727" s="200"/>
      <c r="AP727" s="200"/>
      <c r="AQ727" s="200"/>
      <c r="AR727" s="200"/>
      <c r="AS727" s="200"/>
      <c r="AT727" s="200"/>
      <c r="AU727" s="200"/>
      <c r="AV727" s="200"/>
      <c r="AW727" s="200"/>
      <c r="AX727" s="200"/>
      <c r="AY727" s="200"/>
      <c r="AZ727" s="200"/>
      <c r="BA727" s="200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spans="1:70" ht="13.8">
      <c r="A728" s="1"/>
      <c r="B728" s="1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  <c r="AB728" s="200"/>
      <c r="AC728" s="200"/>
      <c r="AD728" s="200"/>
      <c r="AE728" s="200"/>
      <c r="AF728" s="200"/>
      <c r="AG728" s="200"/>
      <c r="AH728" s="200"/>
      <c r="AI728" s="200"/>
      <c r="AJ728" s="200"/>
      <c r="AK728" s="200"/>
      <c r="AL728" s="200"/>
      <c r="AM728" s="200"/>
      <c r="AN728" s="200"/>
      <c r="AO728" s="200"/>
      <c r="AP728" s="200"/>
      <c r="AQ728" s="200"/>
      <c r="AR728" s="200"/>
      <c r="AS728" s="200"/>
      <c r="AT728" s="200"/>
      <c r="AU728" s="200"/>
      <c r="AV728" s="200"/>
      <c r="AW728" s="200"/>
      <c r="AX728" s="200"/>
      <c r="AY728" s="200"/>
      <c r="AZ728" s="200"/>
      <c r="BA728" s="200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spans="1:70" ht="13.8">
      <c r="A729" s="1"/>
      <c r="B729" s="1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  <c r="AB729" s="200"/>
      <c r="AC729" s="200"/>
      <c r="AD729" s="200"/>
      <c r="AE729" s="200"/>
      <c r="AF729" s="200"/>
      <c r="AG729" s="200"/>
      <c r="AH729" s="200"/>
      <c r="AI729" s="200"/>
      <c r="AJ729" s="200"/>
      <c r="AK729" s="200"/>
      <c r="AL729" s="200"/>
      <c r="AM729" s="200"/>
      <c r="AN729" s="200"/>
      <c r="AO729" s="200"/>
      <c r="AP729" s="200"/>
      <c r="AQ729" s="200"/>
      <c r="AR729" s="200"/>
      <c r="AS729" s="200"/>
      <c r="AT729" s="200"/>
      <c r="AU729" s="200"/>
      <c r="AV729" s="200"/>
      <c r="AW729" s="200"/>
      <c r="AX729" s="200"/>
      <c r="AY729" s="200"/>
      <c r="AZ729" s="200"/>
      <c r="BA729" s="200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spans="1:70" ht="13.8">
      <c r="A730" s="1"/>
      <c r="B730" s="1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  <c r="AB730" s="200"/>
      <c r="AC730" s="200"/>
      <c r="AD730" s="200"/>
      <c r="AE730" s="200"/>
      <c r="AF730" s="200"/>
      <c r="AG730" s="200"/>
      <c r="AH730" s="200"/>
      <c r="AI730" s="200"/>
      <c r="AJ730" s="200"/>
      <c r="AK730" s="200"/>
      <c r="AL730" s="200"/>
      <c r="AM730" s="200"/>
      <c r="AN730" s="200"/>
      <c r="AO730" s="200"/>
      <c r="AP730" s="200"/>
      <c r="AQ730" s="200"/>
      <c r="AR730" s="200"/>
      <c r="AS730" s="200"/>
      <c r="AT730" s="200"/>
      <c r="AU730" s="200"/>
      <c r="AV730" s="200"/>
      <c r="AW730" s="200"/>
      <c r="AX730" s="200"/>
      <c r="AY730" s="200"/>
      <c r="AZ730" s="200"/>
      <c r="BA730" s="200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spans="1:70" ht="13.8">
      <c r="A731" s="1"/>
      <c r="B731" s="1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  <c r="AB731" s="200"/>
      <c r="AC731" s="200"/>
      <c r="AD731" s="200"/>
      <c r="AE731" s="200"/>
      <c r="AF731" s="200"/>
      <c r="AG731" s="200"/>
      <c r="AH731" s="200"/>
      <c r="AI731" s="200"/>
      <c r="AJ731" s="200"/>
      <c r="AK731" s="200"/>
      <c r="AL731" s="200"/>
      <c r="AM731" s="200"/>
      <c r="AN731" s="200"/>
      <c r="AO731" s="200"/>
      <c r="AP731" s="200"/>
      <c r="AQ731" s="200"/>
      <c r="AR731" s="200"/>
      <c r="AS731" s="200"/>
      <c r="AT731" s="200"/>
      <c r="AU731" s="200"/>
      <c r="AV731" s="200"/>
      <c r="AW731" s="200"/>
      <c r="AX731" s="200"/>
      <c r="AY731" s="200"/>
      <c r="AZ731" s="200"/>
      <c r="BA731" s="200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spans="1:70" ht="13.8">
      <c r="A732" s="1"/>
      <c r="B732" s="1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  <c r="AB732" s="200"/>
      <c r="AC732" s="200"/>
      <c r="AD732" s="200"/>
      <c r="AE732" s="200"/>
      <c r="AF732" s="200"/>
      <c r="AG732" s="200"/>
      <c r="AH732" s="200"/>
      <c r="AI732" s="200"/>
      <c r="AJ732" s="200"/>
      <c r="AK732" s="200"/>
      <c r="AL732" s="200"/>
      <c r="AM732" s="200"/>
      <c r="AN732" s="200"/>
      <c r="AO732" s="200"/>
      <c r="AP732" s="200"/>
      <c r="AQ732" s="200"/>
      <c r="AR732" s="200"/>
      <c r="AS732" s="200"/>
      <c r="AT732" s="200"/>
      <c r="AU732" s="200"/>
      <c r="AV732" s="200"/>
      <c r="AW732" s="200"/>
      <c r="AX732" s="200"/>
      <c r="AY732" s="200"/>
      <c r="AZ732" s="200"/>
      <c r="BA732" s="200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spans="1:70" ht="13.8">
      <c r="A733" s="1"/>
      <c r="B733" s="1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  <c r="AB733" s="200"/>
      <c r="AC733" s="200"/>
      <c r="AD733" s="200"/>
      <c r="AE733" s="200"/>
      <c r="AF733" s="200"/>
      <c r="AG733" s="200"/>
      <c r="AH733" s="200"/>
      <c r="AI733" s="200"/>
      <c r="AJ733" s="200"/>
      <c r="AK733" s="200"/>
      <c r="AL733" s="200"/>
      <c r="AM733" s="200"/>
      <c r="AN733" s="200"/>
      <c r="AO733" s="200"/>
      <c r="AP733" s="200"/>
      <c r="AQ733" s="200"/>
      <c r="AR733" s="200"/>
      <c r="AS733" s="200"/>
      <c r="AT733" s="200"/>
      <c r="AU733" s="200"/>
      <c r="AV733" s="200"/>
      <c r="AW733" s="200"/>
      <c r="AX733" s="200"/>
      <c r="AY733" s="200"/>
      <c r="AZ733" s="200"/>
      <c r="BA733" s="200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spans="1:70" ht="13.8">
      <c r="A734" s="1"/>
      <c r="B734" s="1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  <c r="AB734" s="200"/>
      <c r="AC734" s="200"/>
      <c r="AD734" s="200"/>
      <c r="AE734" s="200"/>
      <c r="AF734" s="200"/>
      <c r="AG734" s="200"/>
      <c r="AH734" s="200"/>
      <c r="AI734" s="200"/>
      <c r="AJ734" s="200"/>
      <c r="AK734" s="200"/>
      <c r="AL734" s="200"/>
      <c r="AM734" s="200"/>
      <c r="AN734" s="200"/>
      <c r="AO734" s="200"/>
      <c r="AP734" s="200"/>
      <c r="AQ734" s="200"/>
      <c r="AR734" s="200"/>
      <c r="AS734" s="200"/>
      <c r="AT734" s="200"/>
      <c r="AU734" s="200"/>
      <c r="AV734" s="200"/>
      <c r="AW734" s="200"/>
      <c r="AX734" s="200"/>
      <c r="AY734" s="200"/>
      <c r="AZ734" s="200"/>
      <c r="BA734" s="200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spans="1:70" ht="13.8">
      <c r="A735" s="1"/>
      <c r="B735" s="1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  <c r="AB735" s="200"/>
      <c r="AC735" s="200"/>
      <c r="AD735" s="200"/>
      <c r="AE735" s="200"/>
      <c r="AF735" s="200"/>
      <c r="AG735" s="200"/>
      <c r="AH735" s="200"/>
      <c r="AI735" s="200"/>
      <c r="AJ735" s="200"/>
      <c r="AK735" s="200"/>
      <c r="AL735" s="200"/>
      <c r="AM735" s="200"/>
      <c r="AN735" s="200"/>
      <c r="AO735" s="200"/>
      <c r="AP735" s="200"/>
      <c r="AQ735" s="200"/>
      <c r="AR735" s="200"/>
      <c r="AS735" s="200"/>
      <c r="AT735" s="200"/>
      <c r="AU735" s="200"/>
      <c r="AV735" s="200"/>
      <c r="AW735" s="200"/>
      <c r="AX735" s="200"/>
      <c r="AY735" s="200"/>
      <c r="AZ735" s="200"/>
      <c r="BA735" s="200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spans="1:70" ht="13.8">
      <c r="A736" s="1"/>
      <c r="B736" s="1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  <c r="AB736" s="200"/>
      <c r="AC736" s="200"/>
      <c r="AD736" s="200"/>
      <c r="AE736" s="200"/>
      <c r="AF736" s="200"/>
      <c r="AG736" s="200"/>
      <c r="AH736" s="200"/>
      <c r="AI736" s="200"/>
      <c r="AJ736" s="200"/>
      <c r="AK736" s="200"/>
      <c r="AL736" s="200"/>
      <c r="AM736" s="200"/>
      <c r="AN736" s="200"/>
      <c r="AO736" s="200"/>
      <c r="AP736" s="200"/>
      <c r="AQ736" s="200"/>
      <c r="AR736" s="200"/>
      <c r="AS736" s="200"/>
      <c r="AT736" s="200"/>
      <c r="AU736" s="200"/>
      <c r="AV736" s="200"/>
      <c r="AW736" s="200"/>
      <c r="AX736" s="200"/>
      <c r="AY736" s="200"/>
      <c r="AZ736" s="200"/>
      <c r="BA736" s="200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spans="1:70" ht="13.8">
      <c r="A737" s="1"/>
      <c r="B737" s="1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  <c r="AB737" s="200"/>
      <c r="AC737" s="200"/>
      <c r="AD737" s="200"/>
      <c r="AE737" s="200"/>
      <c r="AF737" s="200"/>
      <c r="AG737" s="200"/>
      <c r="AH737" s="200"/>
      <c r="AI737" s="200"/>
      <c r="AJ737" s="200"/>
      <c r="AK737" s="200"/>
      <c r="AL737" s="200"/>
      <c r="AM737" s="200"/>
      <c r="AN737" s="200"/>
      <c r="AO737" s="200"/>
      <c r="AP737" s="200"/>
      <c r="AQ737" s="200"/>
      <c r="AR737" s="200"/>
      <c r="AS737" s="200"/>
      <c r="AT737" s="200"/>
      <c r="AU737" s="200"/>
      <c r="AV737" s="200"/>
      <c r="AW737" s="200"/>
      <c r="AX737" s="200"/>
      <c r="AY737" s="200"/>
      <c r="AZ737" s="200"/>
      <c r="BA737" s="200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spans="1:70" ht="13.8">
      <c r="A738" s="1"/>
      <c r="B738" s="1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  <c r="AB738" s="200"/>
      <c r="AC738" s="200"/>
      <c r="AD738" s="200"/>
      <c r="AE738" s="200"/>
      <c r="AF738" s="200"/>
      <c r="AG738" s="200"/>
      <c r="AH738" s="200"/>
      <c r="AI738" s="200"/>
      <c r="AJ738" s="200"/>
      <c r="AK738" s="200"/>
      <c r="AL738" s="200"/>
      <c r="AM738" s="200"/>
      <c r="AN738" s="200"/>
      <c r="AO738" s="200"/>
      <c r="AP738" s="200"/>
      <c r="AQ738" s="200"/>
      <c r="AR738" s="200"/>
      <c r="AS738" s="200"/>
      <c r="AT738" s="200"/>
      <c r="AU738" s="200"/>
      <c r="AV738" s="200"/>
      <c r="AW738" s="200"/>
      <c r="AX738" s="200"/>
      <c r="AY738" s="200"/>
      <c r="AZ738" s="200"/>
      <c r="BA738" s="200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spans="1:70" ht="13.8">
      <c r="A739" s="1"/>
      <c r="B739" s="1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  <c r="AB739" s="200"/>
      <c r="AC739" s="200"/>
      <c r="AD739" s="200"/>
      <c r="AE739" s="200"/>
      <c r="AF739" s="200"/>
      <c r="AG739" s="200"/>
      <c r="AH739" s="200"/>
      <c r="AI739" s="200"/>
      <c r="AJ739" s="200"/>
      <c r="AK739" s="200"/>
      <c r="AL739" s="200"/>
      <c r="AM739" s="200"/>
      <c r="AN739" s="200"/>
      <c r="AO739" s="200"/>
      <c r="AP739" s="200"/>
      <c r="AQ739" s="200"/>
      <c r="AR739" s="200"/>
      <c r="AS739" s="200"/>
      <c r="AT739" s="200"/>
      <c r="AU739" s="200"/>
      <c r="AV739" s="200"/>
      <c r="AW739" s="200"/>
      <c r="AX739" s="200"/>
      <c r="AY739" s="200"/>
      <c r="AZ739" s="200"/>
      <c r="BA739" s="200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spans="1:70" ht="13.8">
      <c r="A740" s="1"/>
      <c r="B740" s="1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  <c r="AB740" s="200"/>
      <c r="AC740" s="200"/>
      <c r="AD740" s="200"/>
      <c r="AE740" s="200"/>
      <c r="AF740" s="200"/>
      <c r="AG740" s="200"/>
      <c r="AH740" s="200"/>
      <c r="AI740" s="200"/>
      <c r="AJ740" s="200"/>
      <c r="AK740" s="200"/>
      <c r="AL740" s="200"/>
      <c r="AM740" s="200"/>
      <c r="AN740" s="200"/>
      <c r="AO740" s="200"/>
      <c r="AP740" s="200"/>
      <c r="AQ740" s="200"/>
      <c r="AR740" s="200"/>
      <c r="AS740" s="200"/>
      <c r="AT740" s="200"/>
      <c r="AU740" s="200"/>
      <c r="AV740" s="200"/>
      <c r="AW740" s="200"/>
      <c r="AX740" s="200"/>
      <c r="AY740" s="200"/>
      <c r="AZ740" s="200"/>
      <c r="BA740" s="200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spans="1:70" ht="13.8">
      <c r="A741" s="1"/>
      <c r="B741" s="1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  <c r="AB741" s="200"/>
      <c r="AC741" s="200"/>
      <c r="AD741" s="200"/>
      <c r="AE741" s="200"/>
      <c r="AF741" s="200"/>
      <c r="AG741" s="200"/>
      <c r="AH741" s="200"/>
      <c r="AI741" s="200"/>
      <c r="AJ741" s="200"/>
      <c r="AK741" s="200"/>
      <c r="AL741" s="200"/>
      <c r="AM741" s="200"/>
      <c r="AN741" s="200"/>
      <c r="AO741" s="200"/>
      <c r="AP741" s="200"/>
      <c r="AQ741" s="200"/>
      <c r="AR741" s="200"/>
      <c r="AS741" s="200"/>
      <c r="AT741" s="200"/>
      <c r="AU741" s="200"/>
      <c r="AV741" s="200"/>
      <c r="AW741" s="200"/>
      <c r="AX741" s="200"/>
      <c r="AY741" s="200"/>
      <c r="AZ741" s="200"/>
      <c r="BA741" s="200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spans="1:70" ht="13.8">
      <c r="A742" s="1"/>
      <c r="B742" s="1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  <c r="AB742" s="200"/>
      <c r="AC742" s="200"/>
      <c r="AD742" s="200"/>
      <c r="AE742" s="200"/>
      <c r="AF742" s="200"/>
      <c r="AG742" s="200"/>
      <c r="AH742" s="200"/>
      <c r="AI742" s="200"/>
      <c r="AJ742" s="200"/>
      <c r="AK742" s="200"/>
      <c r="AL742" s="200"/>
      <c r="AM742" s="200"/>
      <c r="AN742" s="200"/>
      <c r="AO742" s="200"/>
      <c r="AP742" s="200"/>
      <c r="AQ742" s="200"/>
      <c r="AR742" s="200"/>
      <c r="AS742" s="200"/>
      <c r="AT742" s="200"/>
      <c r="AU742" s="200"/>
      <c r="AV742" s="200"/>
      <c r="AW742" s="200"/>
      <c r="AX742" s="200"/>
      <c r="AY742" s="200"/>
      <c r="AZ742" s="200"/>
      <c r="BA742" s="200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spans="1:70" ht="13.8">
      <c r="A743" s="1"/>
      <c r="B743" s="1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  <c r="AB743" s="200"/>
      <c r="AC743" s="200"/>
      <c r="AD743" s="200"/>
      <c r="AE743" s="200"/>
      <c r="AF743" s="200"/>
      <c r="AG743" s="200"/>
      <c r="AH743" s="200"/>
      <c r="AI743" s="200"/>
      <c r="AJ743" s="200"/>
      <c r="AK743" s="200"/>
      <c r="AL743" s="200"/>
      <c r="AM743" s="200"/>
      <c r="AN743" s="200"/>
      <c r="AO743" s="200"/>
      <c r="AP743" s="200"/>
      <c r="AQ743" s="200"/>
      <c r="AR743" s="200"/>
      <c r="AS743" s="200"/>
      <c r="AT743" s="200"/>
      <c r="AU743" s="200"/>
      <c r="AV743" s="200"/>
      <c r="AW743" s="200"/>
      <c r="AX743" s="200"/>
      <c r="AY743" s="200"/>
      <c r="AZ743" s="200"/>
      <c r="BA743" s="200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spans="1:70" ht="13.8">
      <c r="A744" s="1"/>
      <c r="B744" s="1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  <c r="AB744" s="200"/>
      <c r="AC744" s="200"/>
      <c r="AD744" s="200"/>
      <c r="AE744" s="200"/>
      <c r="AF744" s="200"/>
      <c r="AG744" s="200"/>
      <c r="AH744" s="200"/>
      <c r="AI744" s="200"/>
      <c r="AJ744" s="200"/>
      <c r="AK744" s="200"/>
      <c r="AL744" s="200"/>
      <c r="AM744" s="200"/>
      <c r="AN744" s="200"/>
      <c r="AO744" s="200"/>
      <c r="AP744" s="200"/>
      <c r="AQ744" s="200"/>
      <c r="AR744" s="200"/>
      <c r="AS744" s="200"/>
      <c r="AT744" s="200"/>
      <c r="AU744" s="200"/>
      <c r="AV744" s="200"/>
      <c r="AW744" s="200"/>
      <c r="AX744" s="200"/>
      <c r="AY744" s="200"/>
      <c r="AZ744" s="200"/>
      <c r="BA744" s="200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spans="1:70" ht="13.8">
      <c r="A745" s="1"/>
      <c r="B745" s="1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  <c r="AB745" s="200"/>
      <c r="AC745" s="200"/>
      <c r="AD745" s="200"/>
      <c r="AE745" s="200"/>
      <c r="AF745" s="200"/>
      <c r="AG745" s="200"/>
      <c r="AH745" s="200"/>
      <c r="AI745" s="200"/>
      <c r="AJ745" s="200"/>
      <c r="AK745" s="200"/>
      <c r="AL745" s="200"/>
      <c r="AM745" s="200"/>
      <c r="AN745" s="200"/>
      <c r="AO745" s="200"/>
      <c r="AP745" s="200"/>
      <c r="AQ745" s="200"/>
      <c r="AR745" s="200"/>
      <c r="AS745" s="200"/>
      <c r="AT745" s="200"/>
      <c r="AU745" s="200"/>
      <c r="AV745" s="200"/>
      <c r="AW745" s="200"/>
      <c r="AX745" s="200"/>
      <c r="AY745" s="200"/>
      <c r="AZ745" s="200"/>
      <c r="BA745" s="200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spans="1:70" ht="13.8">
      <c r="A746" s="1"/>
      <c r="B746" s="1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  <c r="AB746" s="200"/>
      <c r="AC746" s="200"/>
      <c r="AD746" s="200"/>
      <c r="AE746" s="200"/>
      <c r="AF746" s="200"/>
      <c r="AG746" s="200"/>
      <c r="AH746" s="200"/>
      <c r="AI746" s="200"/>
      <c r="AJ746" s="200"/>
      <c r="AK746" s="200"/>
      <c r="AL746" s="200"/>
      <c r="AM746" s="200"/>
      <c r="AN746" s="200"/>
      <c r="AO746" s="200"/>
      <c r="AP746" s="200"/>
      <c r="AQ746" s="200"/>
      <c r="AR746" s="200"/>
      <c r="AS746" s="200"/>
      <c r="AT746" s="200"/>
      <c r="AU746" s="200"/>
      <c r="AV746" s="200"/>
      <c r="AW746" s="200"/>
      <c r="AX746" s="200"/>
      <c r="AY746" s="200"/>
      <c r="AZ746" s="200"/>
      <c r="BA746" s="200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spans="1:70" ht="13.8">
      <c r="A747" s="1"/>
      <c r="B747" s="1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  <c r="AB747" s="200"/>
      <c r="AC747" s="200"/>
      <c r="AD747" s="200"/>
      <c r="AE747" s="200"/>
      <c r="AF747" s="200"/>
      <c r="AG747" s="200"/>
      <c r="AH747" s="200"/>
      <c r="AI747" s="200"/>
      <c r="AJ747" s="200"/>
      <c r="AK747" s="200"/>
      <c r="AL747" s="200"/>
      <c r="AM747" s="200"/>
      <c r="AN747" s="200"/>
      <c r="AO747" s="200"/>
      <c r="AP747" s="200"/>
      <c r="AQ747" s="200"/>
      <c r="AR747" s="200"/>
      <c r="AS747" s="200"/>
      <c r="AT747" s="200"/>
      <c r="AU747" s="200"/>
      <c r="AV747" s="200"/>
      <c r="AW747" s="200"/>
      <c r="AX747" s="200"/>
      <c r="AY747" s="200"/>
      <c r="AZ747" s="200"/>
      <c r="BA747" s="200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spans="1:70" ht="13.8">
      <c r="A748" s="1"/>
      <c r="B748" s="1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  <c r="AB748" s="200"/>
      <c r="AC748" s="200"/>
      <c r="AD748" s="200"/>
      <c r="AE748" s="200"/>
      <c r="AF748" s="200"/>
      <c r="AG748" s="200"/>
      <c r="AH748" s="200"/>
      <c r="AI748" s="200"/>
      <c r="AJ748" s="200"/>
      <c r="AK748" s="200"/>
      <c r="AL748" s="200"/>
      <c r="AM748" s="200"/>
      <c r="AN748" s="200"/>
      <c r="AO748" s="200"/>
      <c r="AP748" s="200"/>
      <c r="AQ748" s="200"/>
      <c r="AR748" s="200"/>
      <c r="AS748" s="200"/>
      <c r="AT748" s="200"/>
      <c r="AU748" s="200"/>
      <c r="AV748" s="200"/>
      <c r="AW748" s="200"/>
      <c r="AX748" s="200"/>
      <c r="AY748" s="200"/>
      <c r="AZ748" s="200"/>
      <c r="BA748" s="200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spans="1:70" ht="13.8">
      <c r="A749" s="1"/>
      <c r="B749" s="1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  <c r="AB749" s="200"/>
      <c r="AC749" s="200"/>
      <c r="AD749" s="200"/>
      <c r="AE749" s="200"/>
      <c r="AF749" s="200"/>
      <c r="AG749" s="200"/>
      <c r="AH749" s="200"/>
      <c r="AI749" s="200"/>
      <c r="AJ749" s="200"/>
      <c r="AK749" s="200"/>
      <c r="AL749" s="200"/>
      <c r="AM749" s="200"/>
      <c r="AN749" s="200"/>
      <c r="AO749" s="200"/>
      <c r="AP749" s="200"/>
      <c r="AQ749" s="200"/>
      <c r="AR749" s="200"/>
      <c r="AS749" s="200"/>
      <c r="AT749" s="200"/>
      <c r="AU749" s="200"/>
      <c r="AV749" s="200"/>
      <c r="AW749" s="200"/>
      <c r="AX749" s="200"/>
      <c r="AY749" s="200"/>
      <c r="AZ749" s="200"/>
      <c r="BA749" s="200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spans="1:70" ht="13.8">
      <c r="A750" s="1"/>
      <c r="B750" s="1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  <c r="AB750" s="200"/>
      <c r="AC750" s="200"/>
      <c r="AD750" s="200"/>
      <c r="AE750" s="200"/>
      <c r="AF750" s="200"/>
      <c r="AG750" s="200"/>
      <c r="AH750" s="200"/>
      <c r="AI750" s="200"/>
      <c r="AJ750" s="200"/>
      <c r="AK750" s="200"/>
      <c r="AL750" s="200"/>
      <c r="AM750" s="200"/>
      <c r="AN750" s="200"/>
      <c r="AO750" s="200"/>
      <c r="AP750" s="200"/>
      <c r="AQ750" s="200"/>
      <c r="AR750" s="200"/>
      <c r="AS750" s="200"/>
      <c r="AT750" s="200"/>
      <c r="AU750" s="200"/>
      <c r="AV750" s="200"/>
      <c r="AW750" s="200"/>
      <c r="AX750" s="200"/>
      <c r="AY750" s="200"/>
      <c r="AZ750" s="200"/>
      <c r="BA750" s="200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spans="1:70" ht="13.8">
      <c r="A751" s="1"/>
      <c r="B751" s="1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  <c r="AB751" s="200"/>
      <c r="AC751" s="200"/>
      <c r="AD751" s="200"/>
      <c r="AE751" s="200"/>
      <c r="AF751" s="200"/>
      <c r="AG751" s="200"/>
      <c r="AH751" s="200"/>
      <c r="AI751" s="200"/>
      <c r="AJ751" s="200"/>
      <c r="AK751" s="200"/>
      <c r="AL751" s="200"/>
      <c r="AM751" s="200"/>
      <c r="AN751" s="200"/>
      <c r="AO751" s="200"/>
      <c r="AP751" s="200"/>
      <c r="AQ751" s="200"/>
      <c r="AR751" s="200"/>
      <c r="AS751" s="200"/>
      <c r="AT751" s="200"/>
      <c r="AU751" s="200"/>
      <c r="AV751" s="200"/>
      <c r="AW751" s="200"/>
      <c r="AX751" s="200"/>
      <c r="AY751" s="200"/>
      <c r="AZ751" s="200"/>
      <c r="BA751" s="200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spans="1:70" ht="13.8">
      <c r="A752" s="1"/>
      <c r="B752" s="1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  <c r="AB752" s="200"/>
      <c r="AC752" s="200"/>
      <c r="AD752" s="200"/>
      <c r="AE752" s="200"/>
      <c r="AF752" s="200"/>
      <c r="AG752" s="200"/>
      <c r="AH752" s="200"/>
      <c r="AI752" s="200"/>
      <c r="AJ752" s="200"/>
      <c r="AK752" s="200"/>
      <c r="AL752" s="200"/>
      <c r="AM752" s="200"/>
      <c r="AN752" s="200"/>
      <c r="AO752" s="200"/>
      <c r="AP752" s="200"/>
      <c r="AQ752" s="200"/>
      <c r="AR752" s="200"/>
      <c r="AS752" s="200"/>
      <c r="AT752" s="200"/>
      <c r="AU752" s="200"/>
      <c r="AV752" s="200"/>
      <c r="AW752" s="200"/>
      <c r="AX752" s="200"/>
      <c r="AY752" s="200"/>
      <c r="AZ752" s="200"/>
      <c r="BA752" s="200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spans="1:70" ht="13.8">
      <c r="A753" s="1"/>
      <c r="B753" s="1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  <c r="AH753" s="200"/>
      <c r="AI753" s="200"/>
      <c r="AJ753" s="200"/>
      <c r="AK753" s="200"/>
      <c r="AL753" s="200"/>
      <c r="AM753" s="200"/>
      <c r="AN753" s="200"/>
      <c r="AO753" s="200"/>
      <c r="AP753" s="200"/>
      <c r="AQ753" s="200"/>
      <c r="AR753" s="200"/>
      <c r="AS753" s="200"/>
      <c r="AT753" s="200"/>
      <c r="AU753" s="200"/>
      <c r="AV753" s="200"/>
      <c r="AW753" s="200"/>
      <c r="AX753" s="200"/>
      <c r="AY753" s="200"/>
      <c r="AZ753" s="200"/>
      <c r="BA753" s="200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spans="1:70" ht="13.8">
      <c r="A754" s="1"/>
      <c r="B754" s="1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  <c r="AB754" s="200"/>
      <c r="AC754" s="200"/>
      <c r="AD754" s="200"/>
      <c r="AE754" s="200"/>
      <c r="AF754" s="200"/>
      <c r="AG754" s="200"/>
      <c r="AH754" s="200"/>
      <c r="AI754" s="200"/>
      <c r="AJ754" s="200"/>
      <c r="AK754" s="200"/>
      <c r="AL754" s="200"/>
      <c r="AM754" s="200"/>
      <c r="AN754" s="200"/>
      <c r="AO754" s="200"/>
      <c r="AP754" s="200"/>
      <c r="AQ754" s="200"/>
      <c r="AR754" s="200"/>
      <c r="AS754" s="200"/>
      <c r="AT754" s="200"/>
      <c r="AU754" s="200"/>
      <c r="AV754" s="200"/>
      <c r="AW754" s="200"/>
      <c r="AX754" s="200"/>
      <c r="AY754" s="200"/>
      <c r="AZ754" s="200"/>
      <c r="BA754" s="200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spans="1:70" ht="13.8">
      <c r="A755" s="1"/>
      <c r="B755" s="1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  <c r="AB755" s="200"/>
      <c r="AC755" s="200"/>
      <c r="AD755" s="200"/>
      <c r="AE755" s="200"/>
      <c r="AF755" s="200"/>
      <c r="AG755" s="200"/>
      <c r="AH755" s="200"/>
      <c r="AI755" s="200"/>
      <c r="AJ755" s="200"/>
      <c r="AK755" s="200"/>
      <c r="AL755" s="200"/>
      <c r="AM755" s="200"/>
      <c r="AN755" s="200"/>
      <c r="AO755" s="200"/>
      <c r="AP755" s="200"/>
      <c r="AQ755" s="200"/>
      <c r="AR755" s="200"/>
      <c r="AS755" s="200"/>
      <c r="AT755" s="200"/>
      <c r="AU755" s="200"/>
      <c r="AV755" s="200"/>
      <c r="AW755" s="200"/>
      <c r="AX755" s="200"/>
      <c r="AY755" s="200"/>
      <c r="AZ755" s="200"/>
      <c r="BA755" s="200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spans="1:70" ht="13.8">
      <c r="A756" s="1"/>
      <c r="B756" s="1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  <c r="AB756" s="200"/>
      <c r="AC756" s="200"/>
      <c r="AD756" s="200"/>
      <c r="AE756" s="200"/>
      <c r="AF756" s="200"/>
      <c r="AG756" s="200"/>
      <c r="AH756" s="200"/>
      <c r="AI756" s="200"/>
      <c r="AJ756" s="200"/>
      <c r="AK756" s="200"/>
      <c r="AL756" s="200"/>
      <c r="AM756" s="200"/>
      <c r="AN756" s="200"/>
      <c r="AO756" s="200"/>
      <c r="AP756" s="200"/>
      <c r="AQ756" s="200"/>
      <c r="AR756" s="200"/>
      <c r="AS756" s="200"/>
      <c r="AT756" s="200"/>
      <c r="AU756" s="200"/>
      <c r="AV756" s="200"/>
      <c r="AW756" s="200"/>
      <c r="AX756" s="200"/>
      <c r="AY756" s="200"/>
      <c r="AZ756" s="200"/>
      <c r="BA756" s="200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spans="1:70" ht="13.8">
      <c r="A757" s="1"/>
      <c r="B757" s="1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  <c r="AB757" s="200"/>
      <c r="AC757" s="200"/>
      <c r="AD757" s="200"/>
      <c r="AE757" s="200"/>
      <c r="AF757" s="200"/>
      <c r="AG757" s="200"/>
      <c r="AH757" s="200"/>
      <c r="AI757" s="200"/>
      <c r="AJ757" s="200"/>
      <c r="AK757" s="200"/>
      <c r="AL757" s="200"/>
      <c r="AM757" s="200"/>
      <c r="AN757" s="200"/>
      <c r="AO757" s="200"/>
      <c r="AP757" s="200"/>
      <c r="AQ757" s="200"/>
      <c r="AR757" s="200"/>
      <c r="AS757" s="200"/>
      <c r="AT757" s="200"/>
      <c r="AU757" s="200"/>
      <c r="AV757" s="200"/>
      <c r="AW757" s="200"/>
      <c r="AX757" s="200"/>
      <c r="AY757" s="200"/>
      <c r="AZ757" s="200"/>
      <c r="BA757" s="200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spans="1:70" ht="13.8">
      <c r="A758" s="1"/>
      <c r="B758" s="1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  <c r="AB758" s="200"/>
      <c r="AC758" s="200"/>
      <c r="AD758" s="200"/>
      <c r="AE758" s="200"/>
      <c r="AF758" s="200"/>
      <c r="AG758" s="200"/>
      <c r="AH758" s="200"/>
      <c r="AI758" s="200"/>
      <c r="AJ758" s="200"/>
      <c r="AK758" s="200"/>
      <c r="AL758" s="200"/>
      <c r="AM758" s="200"/>
      <c r="AN758" s="200"/>
      <c r="AO758" s="200"/>
      <c r="AP758" s="200"/>
      <c r="AQ758" s="200"/>
      <c r="AR758" s="200"/>
      <c r="AS758" s="200"/>
      <c r="AT758" s="200"/>
      <c r="AU758" s="200"/>
      <c r="AV758" s="200"/>
      <c r="AW758" s="200"/>
      <c r="AX758" s="200"/>
      <c r="AY758" s="200"/>
      <c r="AZ758" s="200"/>
      <c r="BA758" s="200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spans="1:70" ht="13.8">
      <c r="A759" s="1"/>
      <c r="B759" s="1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  <c r="AB759" s="200"/>
      <c r="AC759" s="200"/>
      <c r="AD759" s="200"/>
      <c r="AE759" s="200"/>
      <c r="AF759" s="200"/>
      <c r="AG759" s="200"/>
      <c r="AH759" s="200"/>
      <c r="AI759" s="200"/>
      <c r="AJ759" s="200"/>
      <c r="AK759" s="200"/>
      <c r="AL759" s="200"/>
      <c r="AM759" s="200"/>
      <c r="AN759" s="200"/>
      <c r="AO759" s="200"/>
      <c r="AP759" s="200"/>
      <c r="AQ759" s="200"/>
      <c r="AR759" s="200"/>
      <c r="AS759" s="200"/>
      <c r="AT759" s="200"/>
      <c r="AU759" s="200"/>
      <c r="AV759" s="200"/>
      <c r="AW759" s="200"/>
      <c r="AX759" s="200"/>
      <c r="AY759" s="200"/>
      <c r="AZ759" s="200"/>
      <c r="BA759" s="200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spans="1:70" ht="13.8">
      <c r="A760" s="1"/>
      <c r="B760" s="1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  <c r="AH760" s="200"/>
      <c r="AI760" s="200"/>
      <c r="AJ760" s="200"/>
      <c r="AK760" s="200"/>
      <c r="AL760" s="200"/>
      <c r="AM760" s="200"/>
      <c r="AN760" s="200"/>
      <c r="AO760" s="200"/>
      <c r="AP760" s="200"/>
      <c r="AQ760" s="200"/>
      <c r="AR760" s="200"/>
      <c r="AS760" s="200"/>
      <c r="AT760" s="200"/>
      <c r="AU760" s="200"/>
      <c r="AV760" s="200"/>
      <c r="AW760" s="200"/>
      <c r="AX760" s="200"/>
      <c r="AY760" s="200"/>
      <c r="AZ760" s="200"/>
      <c r="BA760" s="200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spans="1:70" ht="13.8">
      <c r="A761" s="1"/>
      <c r="B761" s="1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  <c r="AB761" s="200"/>
      <c r="AC761" s="200"/>
      <c r="AD761" s="200"/>
      <c r="AE761" s="200"/>
      <c r="AF761" s="200"/>
      <c r="AG761" s="200"/>
      <c r="AH761" s="200"/>
      <c r="AI761" s="200"/>
      <c r="AJ761" s="200"/>
      <c r="AK761" s="200"/>
      <c r="AL761" s="200"/>
      <c r="AM761" s="200"/>
      <c r="AN761" s="200"/>
      <c r="AO761" s="200"/>
      <c r="AP761" s="200"/>
      <c r="AQ761" s="200"/>
      <c r="AR761" s="200"/>
      <c r="AS761" s="200"/>
      <c r="AT761" s="200"/>
      <c r="AU761" s="200"/>
      <c r="AV761" s="200"/>
      <c r="AW761" s="200"/>
      <c r="AX761" s="200"/>
      <c r="AY761" s="200"/>
      <c r="AZ761" s="200"/>
      <c r="BA761" s="200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spans="1:70" ht="13.8">
      <c r="A762" s="1"/>
      <c r="B762" s="1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  <c r="AB762" s="200"/>
      <c r="AC762" s="200"/>
      <c r="AD762" s="200"/>
      <c r="AE762" s="200"/>
      <c r="AF762" s="200"/>
      <c r="AG762" s="200"/>
      <c r="AH762" s="200"/>
      <c r="AI762" s="200"/>
      <c r="AJ762" s="200"/>
      <c r="AK762" s="200"/>
      <c r="AL762" s="200"/>
      <c r="AM762" s="200"/>
      <c r="AN762" s="200"/>
      <c r="AO762" s="200"/>
      <c r="AP762" s="200"/>
      <c r="AQ762" s="200"/>
      <c r="AR762" s="200"/>
      <c r="AS762" s="200"/>
      <c r="AT762" s="200"/>
      <c r="AU762" s="200"/>
      <c r="AV762" s="200"/>
      <c r="AW762" s="200"/>
      <c r="AX762" s="200"/>
      <c r="AY762" s="200"/>
      <c r="AZ762" s="200"/>
      <c r="BA762" s="200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spans="1:70" ht="13.8">
      <c r="A763" s="1"/>
      <c r="B763" s="1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  <c r="AB763" s="200"/>
      <c r="AC763" s="200"/>
      <c r="AD763" s="200"/>
      <c r="AE763" s="200"/>
      <c r="AF763" s="200"/>
      <c r="AG763" s="200"/>
      <c r="AH763" s="200"/>
      <c r="AI763" s="200"/>
      <c r="AJ763" s="200"/>
      <c r="AK763" s="200"/>
      <c r="AL763" s="200"/>
      <c r="AM763" s="200"/>
      <c r="AN763" s="200"/>
      <c r="AO763" s="200"/>
      <c r="AP763" s="200"/>
      <c r="AQ763" s="200"/>
      <c r="AR763" s="200"/>
      <c r="AS763" s="200"/>
      <c r="AT763" s="200"/>
      <c r="AU763" s="200"/>
      <c r="AV763" s="200"/>
      <c r="AW763" s="200"/>
      <c r="AX763" s="200"/>
      <c r="AY763" s="200"/>
      <c r="AZ763" s="200"/>
      <c r="BA763" s="200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spans="1:70" ht="13.8">
      <c r="A764" s="1"/>
      <c r="B764" s="1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  <c r="AB764" s="200"/>
      <c r="AC764" s="200"/>
      <c r="AD764" s="200"/>
      <c r="AE764" s="200"/>
      <c r="AF764" s="200"/>
      <c r="AG764" s="200"/>
      <c r="AH764" s="200"/>
      <c r="AI764" s="200"/>
      <c r="AJ764" s="200"/>
      <c r="AK764" s="200"/>
      <c r="AL764" s="200"/>
      <c r="AM764" s="200"/>
      <c r="AN764" s="200"/>
      <c r="AO764" s="200"/>
      <c r="AP764" s="200"/>
      <c r="AQ764" s="200"/>
      <c r="AR764" s="200"/>
      <c r="AS764" s="200"/>
      <c r="AT764" s="200"/>
      <c r="AU764" s="200"/>
      <c r="AV764" s="200"/>
      <c r="AW764" s="200"/>
      <c r="AX764" s="200"/>
      <c r="AY764" s="200"/>
      <c r="AZ764" s="200"/>
      <c r="BA764" s="200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spans="1:70" ht="13.8">
      <c r="A765" s="1"/>
      <c r="B765" s="1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  <c r="AB765" s="200"/>
      <c r="AC765" s="200"/>
      <c r="AD765" s="200"/>
      <c r="AE765" s="200"/>
      <c r="AF765" s="200"/>
      <c r="AG765" s="200"/>
      <c r="AH765" s="200"/>
      <c r="AI765" s="200"/>
      <c r="AJ765" s="200"/>
      <c r="AK765" s="200"/>
      <c r="AL765" s="200"/>
      <c r="AM765" s="200"/>
      <c r="AN765" s="200"/>
      <c r="AO765" s="200"/>
      <c r="AP765" s="200"/>
      <c r="AQ765" s="200"/>
      <c r="AR765" s="200"/>
      <c r="AS765" s="200"/>
      <c r="AT765" s="200"/>
      <c r="AU765" s="200"/>
      <c r="AV765" s="200"/>
      <c r="AW765" s="200"/>
      <c r="AX765" s="200"/>
      <c r="AY765" s="200"/>
      <c r="AZ765" s="200"/>
      <c r="BA765" s="200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spans="1:70" ht="13.8">
      <c r="A766" s="1"/>
      <c r="B766" s="1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  <c r="AB766" s="200"/>
      <c r="AC766" s="200"/>
      <c r="AD766" s="200"/>
      <c r="AE766" s="200"/>
      <c r="AF766" s="200"/>
      <c r="AG766" s="200"/>
      <c r="AH766" s="200"/>
      <c r="AI766" s="200"/>
      <c r="AJ766" s="200"/>
      <c r="AK766" s="200"/>
      <c r="AL766" s="200"/>
      <c r="AM766" s="200"/>
      <c r="AN766" s="200"/>
      <c r="AO766" s="200"/>
      <c r="AP766" s="200"/>
      <c r="AQ766" s="200"/>
      <c r="AR766" s="200"/>
      <c r="AS766" s="200"/>
      <c r="AT766" s="200"/>
      <c r="AU766" s="200"/>
      <c r="AV766" s="200"/>
      <c r="AW766" s="200"/>
      <c r="AX766" s="200"/>
      <c r="AY766" s="200"/>
      <c r="AZ766" s="200"/>
      <c r="BA766" s="200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spans="1:70" ht="13.8">
      <c r="A767" s="1"/>
      <c r="B767" s="1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  <c r="AB767" s="200"/>
      <c r="AC767" s="200"/>
      <c r="AD767" s="200"/>
      <c r="AE767" s="200"/>
      <c r="AF767" s="200"/>
      <c r="AG767" s="200"/>
      <c r="AH767" s="200"/>
      <c r="AI767" s="200"/>
      <c r="AJ767" s="200"/>
      <c r="AK767" s="200"/>
      <c r="AL767" s="200"/>
      <c r="AM767" s="200"/>
      <c r="AN767" s="200"/>
      <c r="AO767" s="200"/>
      <c r="AP767" s="200"/>
      <c r="AQ767" s="200"/>
      <c r="AR767" s="200"/>
      <c r="AS767" s="200"/>
      <c r="AT767" s="200"/>
      <c r="AU767" s="200"/>
      <c r="AV767" s="200"/>
      <c r="AW767" s="200"/>
      <c r="AX767" s="200"/>
      <c r="AY767" s="200"/>
      <c r="AZ767" s="200"/>
      <c r="BA767" s="200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spans="1:70" ht="13.8">
      <c r="A768" s="1"/>
      <c r="B768" s="1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  <c r="AH768" s="200"/>
      <c r="AI768" s="200"/>
      <c r="AJ768" s="200"/>
      <c r="AK768" s="200"/>
      <c r="AL768" s="200"/>
      <c r="AM768" s="200"/>
      <c r="AN768" s="200"/>
      <c r="AO768" s="200"/>
      <c r="AP768" s="200"/>
      <c r="AQ768" s="200"/>
      <c r="AR768" s="200"/>
      <c r="AS768" s="200"/>
      <c r="AT768" s="200"/>
      <c r="AU768" s="200"/>
      <c r="AV768" s="200"/>
      <c r="AW768" s="200"/>
      <c r="AX768" s="200"/>
      <c r="AY768" s="200"/>
      <c r="AZ768" s="200"/>
      <c r="BA768" s="200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spans="1:70" ht="13.8">
      <c r="A769" s="1"/>
      <c r="B769" s="1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  <c r="AB769" s="200"/>
      <c r="AC769" s="200"/>
      <c r="AD769" s="200"/>
      <c r="AE769" s="200"/>
      <c r="AF769" s="200"/>
      <c r="AG769" s="200"/>
      <c r="AH769" s="200"/>
      <c r="AI769" s="200"/>
      <c r="AJ769" s="200"/>
      <c r="AK769" s="200"/>
      <c r="AL769" s="200"/>
      <c r="AM769" s="200"/>
      <c r="AN769" s="200"/>
      <c r="AO769" s="200"/>
      <c r="AP769" s="200"/>
      <c r="AQ769" s="200"/>
      <c r="AR769" s="200"/>
      <c r="AS769" s="200"/>
      <c r="AT769" s="200"/>
      <c r="AU769" s="200"/>
      <c r="AV769" s="200"/>
      <c r="AW769" s="200"/>
      <c r="AX769" s="200"/>
      <c r="AY769" s="200"/>
      <c r="AZ769" s="200"/>
      <c r="BA769" s="200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spans="1:70" ht="13.8">
      <c r="A770" s="1"/>
      <c r="B770" s="1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0"/>
      <c r="AK770" s="200"/>
      <c r="AL770" s="200"/>
      <c r="AM770" s="200"/>
      <c r="AN770" s="200"/>
      <c r="AO770" s="200"/>
      <c r="AP770" s="200"/>
      <c r="AQ770" s="200"/>
      <c r="AR770" s="200"/>
      <c r="AS770" s="200"/>
      <c r="AT770" s="200"/>
      <c r="AU770" s="200"/>
      <c r="AV770" s="200"/>
      <c r="AW770" s="200"/>
      <c r="AX770" s="200"/>
      <c r="AY770" s="200"/>
      <c r="AZ770" s="200"/>
      <c r="BA770" s="200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spans="1:70" ht="13.8">
      <c r="A771" s="1"/>
      <c r="B771" s="1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  <c r="AH771" s="200"/>
      <c r="AI771" s="200"/>
      <c r="AJ771" s="200"/>
      <c r="AK771" s="200"/>
      <c r="AL771" s="200"/>
      <c r="AM771" s="200"/>
      <c r="AN771" s="200"/>
      <c r="AO771" s="200"/>
      <c r="AP771" s="200"/>
      <c r="AQ771" s="200"/>
      <c r="AR771" s="200"/>
      <c r="AS771" s="200"/>
      <c r="AT771" s="200"/>
      <c r="AU771" s="200"/>
      <c r="AV771" s="200"/>
      <c r="AW771" s="200"/>
      <c r="AX771" s="200"/>
      <c r="AY771" s="200"/>
      <c r="AZ771" s="200"/>
      <c r="BA771" s="200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spans="1:70" ht="13.8">
      <c r="A772" s="1"/>
      <c r="B772" s="1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  <c r="AB772" s="200"/>
      <c r="AC772" s="200"/>
      <c r="AD772" s="200"/>
      <c r="AE772" s="200"/>
      <c r="AF772" s="200"/>
      <c r="AG772" s="200"/>
      <c r="AH772" s="200"/>
      <c r="AI772" s="200"/>
      <c r="AJ772" s="200"/>
      <c r="AK772" s="200"/>
      <c r="AL772" s="200"/>
      <c r="AM772" s="200"/>
      <c r="AN772" s="200"/>
      <c r="AO772" s="200"/>
      <c r="AP772" s="200"/>
      <c r="AQ772" s="200"/>
      <c r="AR772" s="200"/>
      <c r="AS772" s="200"/>
      <c r="AT772" s="200"/>
      <c r="AU772" s="200"/>
      <c r="AV772" s="200"/>
      <c r="AW772" s="200"/>
      <c r="AX772" s="200"/>
      <c r="AY772" s="200"/>
      <c r="AZ772" s="200"/>
      <c r="BA772" s="200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spans="1:70" ht="13.8">
      <c r="A773" s="1"/>
      <c r="B773" s="1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  <c r="AB773" s="200"/>
      <c r="AC773" s="200"/>
      <c r="AD773" s="200"/>
      <c r="AE773" s="200"/>
      <c r="AF773" s="200"/>
      <c r="AG773" s="200"/>
      <c r="AH773" s="200"/>
      <c r="AI773" s="200"/>
      <c r="AJ773" s="200"/>
      <c r="AK773" s="200"/>
      <c r="AL773" s="200"/>
      <c r="AM773" s="200"/>
      <c r="AN773" s="200"/>
      <c r="AO773" s="200"/>
      <c r="AP773" s="200"/>
      <c r="AQ773" s="200"/>
      <c r="AR773" s="200"/>
      <c r="AS773" s="200"/>
      <c r="AT773" s="200"/>
      <c r="AU773" s="200"/>
      <c r="AV773" s="200"/>
      <c r="AW773" s="200"/>
      <c r="AX773" s="200"/>
      <c r="AY773" s="200"/>
      <c r="AZ773" s="200"/>
      <c r="BA773" s="200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spans="1:70" ht="13.8">
      <c r="A774" s="1"/>
      <c r="B774" s="1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  <c r="AH774" s="200"/>
      <c r="AI774" s="200"/>
      <c r="AJ774" s="200"/>
      <c r="AK774" s="200"/>
      <c r="AL774" s="200"/>
      <c r="AM774" s="200"/>
      <c r="AN774" s="200"/>
      <c r="AO774" s="200"/>
      <c r="AP774" s="200"/>
      <c r="AQ774" s="200"/>
      <c r="AR774" s="200"/>
      <c r="AS774" s="200"/>
      <c r="AT774" s="200"/>
      <c r="AU774" s="200"/>
      <c r="AV774" s="200"/>
      <c r="AW774" s="200"/>
      <c r="AX774" s="200"/>
      <c r="AY774" s="200"/>
      <c r="AZ774" s="200"/>
      <c r="BA774" s="200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spans="1:70" ht="13.8">
      <c r="A775" s="1"/>
      <c r="B775" s="1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  <c r="AB775" s="200"/>
      <c r="AC775" s="200"/>
      <c r="AD775" s="200"/>
      <c r="AE775" s="200"/>
      <c r="AF775" s="200"/>
      <c r="AG775" s="200"/>
      <c r="AH775" s="200"/>
      <c r="AI775" s="200"/>
      <c r="AJ775" s="200"/>
      <c r="AK775" s="200"/>
      <c r="AL775" s="200"/>
      <c r="AM775" s="200"/>
      <c r="AN775" s="200"/>
      <c r="AO775" s="200"/>
      <c r="AP775" s="200"/>
      <c r="AQ775" s="200"/>
      <c r="AR775" s="200"/>
      <c r="AS775" s="200"/>
      <c r="AT775" s="200"/>
      <c r="AU775" s="200"/>
      <c r="AV775" s="200"/>
      <c r="AW775" s="200"/>
      <c r="AX775" s="200"/>
      <c r="AY775" s="200"/>
      <c r="AZ775" s="200"/>
      <c r="BA775" s="200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spans="1:70" ht="13.8">
      <c r="A776" s="1"/>
      <c r="B776" s="1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  <c r="AH776" s="200"/>
      <c r="AI776" s="200"/>
      <c r="AJ776" s="200"/>
      <c r="AK776" s="200"/>
      <c r="AL776" s="200"/>
      <c r="AM776" s="200"/>
      <c r="AN776" s="200"/>
      <c r="AO776" s="200"/>
      <c r="AP776" s="200"/>
      <c r="AQ776" s="200"/>
      <c r="AR776" s="200"/>
      <c r="AS776" s="200"/>
      <c r="AT776" s="200"/>
      <c r="AU776" s="200"/>
      <c r="AV776" s="200"/>
      <c r="AW776" s="200"/>
      <c r="AX776" s="200"/>
      <c r="AY776" s="200"/>
      <c r="AZ776" s="200"/>
      <c r="BA776" s="200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spans="1:70" ht="13.8">
      <c r="A777" s="1"/>
      <c r="B777" s="1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  <c r="AB777" s="200"/>
      <c r="AC777" s="200"/>
      <c r="AD777" s="200"/>
      <c r="AE777" s="200"/>
      <c r="AF777" s="200"/>
      <c r="AG777" s="200"/>
      <c r="AH777" s="200"/>
      <c r="AI777" s="200"/>
      <c r="AJ777" s="200"/>
      <c r="AK777" s="200"/>
      <c r="AL777" s="200"/>
      <c r="AM777" s="200"/>
      <c r="AN777" s="200"/>
      <c r="AO777" s="200"/>
      <c r="AP777" s="200"/>
      <c r="AQ777" s="200"/>
      <c r="AR777" s="200"/>
      <c r="AS777" s="200"/>
      <c r="AT777" s="200"/>
      <c r="AU777" s="200"/>
      <c r="AV777" s="200"/>
      <c r="AW777" s="200"/>
      <c r="AX777" s="200"/>
      <c r="AY777" s="200"/>
      <c r="AZ777" s="200"/>
      <c r="BA777" s="200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spans="1:70" ht="13.8">
      <c r="A778" s="1"/>
      <c r="B778" s="1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  <c r="AB778" s="200"/>
      <c r="AC778" s="200"/>
      <c r="AD778" s="200"/>
      <c r="AE778" s="200"/>
      <c r="AF778" s="200"/>
      <c r="AG778" s="200"/>
      <c r="AH778" s="200"/>
      <c r="AI778" s="200"/>
      <c r="AJ778" s="200"/>
      <c r="AK778" s="200"/>
      <c r="AL778" s="200"/>
      <c r="AM778" s="200"/>
      <c r="AN778" s="200"/>
      <c r="AO778" s="200"/>
      <c r="AP778" s="200"/>
      <c r="AQ778" s="200"/>
      <c r="AR778" s="200"/>
      <c r="AS778" s="200"/>
      <c r="AT778" s="200"/>
      <c r="AU778" s="200"/>
      <c r="AV778" s="200"/>
      <c r="AW778" s="200"/>
      <c r="AX778" s="200"/>
      <c r="AY778" s="200"/>
      <c r="AZ778" s="200"/>
      <c r="BA778" s="200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spans="1:70" ht="13.8">
      <c r="A779" s="1"/>
      <c r="B779" s="1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  <c r="AB779" s="200"/>
      <c r="AC779" s="200"/>
      <c r="AD779" s="200"/>
      <c r="AE779" s="200"/>
      <c r="AF779" s="200"/>
      <c r="AG779" s="200"/>
      <c r="AH779" s="200"/>
      <c r="AI779" s="200"/>
      <c r="AJ779" s="200"/>
      <c r="AK779" s="200"/>
      <c r="AL779" s="200"/>
      <c r="AM779" s="200"/>
      <c r="AN779" s="200"/>
      <c r="AO779" s="200"/>
      <c r="AP779" s="200"/>
      <c r="AQ779" s="200"/>
      <c r="AR779" s="200"/>
      <c r="AS779" s="200"/>
      <c r="AT779" s="200"/>
      <c r="AU779" s="200"/>
      <c r="AV779" s="200"/>
      <c r="AW779" s="200"/>
      <c r="AX779" s="200"/>
      <c r="AY779" s="200"/>
      <c r="AZ779" s="200"/>
      <c r="BA779" s="200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spans="1:70" ht="13.8">
      <c r="A780" s="1"/>
      <c r="B780" s="1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  <c r="AH780" s="200"/>
      <c r="AI780" s="200"/>
      <c r="AJ780" s="200"/>
      <c r="AK780" s="200"/>
      <c r="AL780" s="200"/>
      <c r="AM780" s="200"/>
      <c r="AN780" s="200"/>
      <c r="AO780" s="200"/>
      <c r="AP780" s="200"/>
      <c r="AQ780" s="200"/>
      <c r="AR780" s="200"/>
      <c r="AS780" s="200"/>
      <c r="AT780" s="200"/>
      <c r="AU780" s="200"/>
      <c r="AV780" s="200"/>
      <c r="AW780" s="200"/>
      <c r="AX780" s="200"/>
      <c r="AY780" s="200"/>
      <c r="AZ780" s="200"/>
      <c r="BA780" s="200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spans="1:70" ht="13.8">
      <c r="A781" s="1"/>
      <c r="B781" s="1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  <c r="AB781" s="200"/>
      <c r="AC781" s="200"/>
      <c r="AD781" s="200"/>
      <c r="AE781" s="200"/>
      <c r="AF781" s="200"/>
      <c r="AG781" s="200"/>
      <c r="AH781" s="200"/>
      <c r="AI781" s="200"/>
      <c r="AJ781" s="200"/>
      <c r="AK781" s="200"/>
      <c r="AL781" s="200"/>
      <c r="AM781" s="200"/>
      <c r="AN781" s="200"/>
      <c r="AO781" s="200"/>
      <c r="AP781" s="200"/>
      <c r="AQ781" s="200"/>
      <c r="AR781" s="200"/>
      <c r="AS781" s="200"/>
      <c r="AT781" s="200"/>
      <c r="AU781" s="200"/>
      <c r="AV781" s="200"/>
      <c r="AW781" s="200"/>
      <c r="AX781" s="200"/>
      <c r="AY781" s="200"/>
      <c r="AZ781" s="200"/>
      <c r="BA781" s="200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spans="1:70" ht="13.8">
      <c r="A782" s="1"/>
      <c r="B782" s="1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  <c r="AB782" s="200"/>
      <c r="AC782" s="200"/>
      <c r="AD782" s="200"/>
      <c r="AE782" s="200"/>
      <c r="AF782" s="200"/>
      <c r="AG782" s="200"/>
      <c r="AH782" s="200"/>
      <c r="AI782" s="200"/>
      <c r="AJ782" s="200"/>
      <c r="AK782" s="200"/>
      <c r="AL782" s="200"/>
      <c r="AM782" s="200"/>
      <c r="AN782" s="200"/>
      <c r="AO782" s="200"/>
      <c r="AP782" s="200"/>
      <c r="AQ782" s="200"/>
      <c r="AR782" s="200"/>
      <c r="AS782" s="200"/>
      <c r="AT782" s="200"/>
      <c r="AU782" s="200"/>
      <c r="AV782" s="200"/>
      <c r="AW782" s="200"/>
      <c r="AX782" s="200"/>
      <c r="AY782" s="200"/>
      <c r="AZ782" s="200"/>
      <c r="BA782" s="200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spans="1:70" ht="13.8">
      <c r="A783" s="1"/>
      <c r="B783" s="1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  <c r="AB783" s="200"/>
      <c r="AC783" s="200"/>
      <c r="AD783" s="200"/>
      <c r="AE783" s="200"/>
      <c r="AF783" s="200"/>
      <c r="AG783" s="200"/>
      <c r="AH783" s="200"/>
      <c r="AI783" s="200"/>
      <c r="AJ783" s="200"/>
      <c r="AK783" s="200"/>
      <c r="AL783" s="200"/>
      <c r="AM783" s="200"/>
      <c r="AN783" s="200"/>
      <c r="AO783" s="200"/>
      <c r="AP783" s="200"/>
      <c r="AQ783" s="200"/>
      <c r="AR783" s="200"/>
      <c r="AS783" s="200"/>
      <c r="AT783" s="200"/>
      <c r="AU783" s="200"/>
      <c r="AV783" s="200"/>
      <c r="AW783" s="200"/>
      <c r="AX783" s="200"/>
      <c r="AY783" s="200"/>
      <c r="AZ783" s="200"/>
      <c r="BA783" s="200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spans="1:70" ht="13.8">
      <c r="A784" s="1"/>
      <c r="B784" s="1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  <c r="AB784" s="200"/>
      <c r="AC784" s="200"/>
      <c r="AD784" s="200"/>
      <c r="AE784" s="200"/>
      <c r="AF784" s="200"/>
      <c r="AG784" s="200"/>
      <c r="AH784" s="200"/>
      <c r="AI784" s="200"/>
      <c r="AJ784" s="200"/>
      <c r="AK784" s="200"/>
      <c r="AL784" s="200"/>
      <c r="AM784" s="200"/>
      <c r="AN784" s="200"/>
      <c r="AO784" s="200"/>
      <c r="AP784" s="200"/>
      <c r="AQ784" s="200"/>
      <c r="AR784" s="200"/>
      <c r="AS784" s="200"/>
      <c r="AT784" s="200"/>
      <c r="AU784" s="200"/>
      <c r="AV784" s="200"/>
      <c r="AW784" s="200"/>
      <c r="AX784" s="200"/>
      <c r="AY784" s="200"/>
      <c r="AZ784" s="200"/>
      <c r="BA784" s="200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spans="1:70" ht="13.8">
      <c r="A785" s="1"/>
      <c r="B785" s="1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  <c r="AB785" s="200"/>
      <c r="AC785" s="200"/>
      <c r="AD785" s="200"/>
      <c r="AE785" s="200"/>
      <c r="AF785" s="200"/>
      <c r="AG785" s="200"/>
      <c r="AH785" s="200"/>
      <c r="AI785" s="200"/>
      <c r="AJ785" s="200"/>
      <c r="AK785" s="200"/>
      <c r="AL785" s="200"/>
      <c r="AM785" s="200"/>
      <c r="AN785" s="200"/>
      <c r="AO785" s="200"/>
      <c r="AP785" s="200"/>
      <c r="AQ785" s="200"/>
      <c r="AR785" s="200"/>
      <c r="AS785" s="200"/>
      <c r="AT785" s="200"/>
      <c r="AU785" s="200"/>
      <c r="AV785" s="200"/>
      <c r="AW785" s="200"/>
      <c r="AX785" s="200"/>
      <c r="AY785" s="200"/>
      <c r="AZ785" s="200"/>
      <c r="BA785" s="200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spans="1:70" ht="13.8">
      <c r="A786" s="1"/>
      <c r="B786" s="1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0"/>
      <c r="AK786" s="200"/>
      <c r="AL786" s="200"/>
      <c r="AM786" s="200"/>
      <c r="AN786" s="200"/>
      <c r="AO786" s="200"/>
      <c r="AP786" s="200"/>
      <c r="AQ786" s="200"/>
      <c r="AR786" s="200"/>
      <c r="AS786" s="200"/>
      <c r="AT786" s="200"/>
      <c r="AU786" s="200"/>
      <c r="AV786" s="200"/>
      <c r="AW786" s="200"/>
      <c r="AX786" s="200"/>
      <c r="AY786" s="200"/>
      <c r="AZ786" s="200"/>
      <c r="BA786" s="200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spans="1:70" ht="13.8">
      <c r="A787" s="1"/>
      <c r="B787" s="1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  <c r="AB787" s="200"/>
      <c r="AC787" s="200"/>
      <c r="AD787" s="200"/>
      <c r="AE787" s="200"/>
      <c r="AF787" s="200"/>
      <c r="AG787" s="200"/>
      <c r="AH787" s="200"/>
      <c r="AI787" s="200"/>
      <c r="AJ787" s="200"/>
      <c r="AK787" s="200"/>
      <c r="AL787" s="200"/>
      <c r="AM787" s="200"/>
      <c r="AN787" s="200"/>
      <c r="AO787" s="200"/>
      <c r="AP787" s="200"/>
      <c r="AQ787" s="200"/>
      <c r="AR787" s="200"/>
      <c r="AS787" s="200"/>
      <c r="AT787" s="200"/>
      <c r="AU787" s="200"/>
      <c r="AV787" s="200"/>
      <c r="AW787" s="200"/>
      <c r="AX787" s="200"/>
      <c r="AY787" s="200"/>
      <c r="AZ787" s="200"/>
      <c r="BA787" s="200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spans="1:70" ht="13.8">
      <c r="A788" s="1"/>
      <c r="B788" s="1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  <c r="AB788" s="200"/>
      <c r="AC788" s="200"/>
      <c r="AD788" s="200"/>
      <c r="AE788" s="200"/>
      <c r="AF788" s="200"/>
      <c r="AG788" s="200"/>
      <c r="AH788" s="200"/>
      <c r="AI788" s="200"/>
      <c r="AJ788" s="200"/>
      <c r="AK788" s="200"/>
      <c r="AL788" s="200"/>
      <c r="AM788" s="200"/>
      <c r="AN788" s="200"/>
      <c r="AO788" s="200"/>
      <c r="AP788" s="200"/>
      <c r="AQ788" s="200"/>
      <c r="AR788" s="200"/>
      <c r="AS788" s="200"/>
      <c r="AT788" s="200"/>
      <c r="AU788" s="200"/>
      <c r="AV788" s="200"/>
      <c r="AW788" s="200"/>
      <c r="AX788" s="200"/>
      <c r="AY788" s="200"/>
      <c r="AZ788" s="200"/>
      <c r="BA788" s="200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spans="1:70" ht="13.8">
      <c r="A789" s="1"/>
      <c r="B789" s="1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  <c r="AH789" s="200"/>
      <c r="AI789" s="200"/>
      <c r="AJ789" s="200"/>
      <c r="AK789" s="200"/>
      <c r="AL789" s="200"/>
      <c r="AM789" s="200"/>
      <c r="AN789" s="200"/>
      <c r="AO789" s="200"/>
      <c r="AP789" s="200"/>
      <c r="AQ789" s="200"/>
      <c r="AR789" s="200"/>
      <c r="AS789" s="200"/>
      <c r="AT789" s="200"/>
      <c r="AU789" s="200"/>
      <c r="AV789" s="200"/>
      <c r="AW789" s="200"/>
      <c r="AX789" s="200"/>
      <c r="AY789" s="200"/>
      <c r="AZ789" s="200"/>
      <c r="BA789" s="200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spans="1:70" ht="13.8">
      <c r="A790" s="1"/>
      <c r="B790" s="1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  <c r="AB790" s="200"/>
      <c r="AC790" s="200"/>
      <c r="AD790" s="200"/>
      <c r="AE790" s="200"/>
      <c r="AF790" s="200"/>
      <c r="AG790" s="200"/>
      <c r="AH790" s="200"/>
      <c r="AI790" s="200"/>
      <c r="AJ790" s="200"/>
      <c r="AK790" s="200"/>
      <c r="AL790" s="200"/>
      <c r="AM790" s="200"/>
      <c r="AN790" s="200"/>
      <c r="AO790" s="200"/>
      <c r="AP790" s="200"/>
      <c r="AQ790" s="200"/>
      <c r="AR790" s="200"/>
      <c r="AS790" s="200"/>
      <c r="AT790" s="200"/>
      <c r="AU790" s="200"/>
      <c r="AV790" s="200"/>
      <c r="AW790" s="200"/>
      <c r="AX790" s="200"/>
      <c r="AY790" s="200"/>
      <c r="AZ790" s="200"/>
      <c r="BA790" s="200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spans="1:70" ht="13.8">
      <c r="A791" s="1"/>
      <c r="B791" s="1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  <c r="AB791" s="200"/>
      <c r="AC791" s="200"/>
      <c r="AD791" s="200"/>
      <c r="AE791" s="200"/>
      <c r="AF791" s="200"/>
      <c r="AG791" s="200"/>
      <c r="AH791" s="200"/>
      <c r="AI791" s="200"/>
      <c r="AJ791" s="200"/>
      <c r="AK791" s="200"/>
      <c r="AL791" s="200"/>
      <c r="AM791" s="200"/>
      <c r="AN791" s="200"/>
      <c r="AO791" s="200"/>
      <c r="AP791" s="200"/>
      <c r="AQ791" s="200"/>
      <c r="AR791" s="200"/>
      <c r="AS791" s="200"/>
      <c r="AT791" s="200"/>
      <c r="AU791" s="200"/>
      <c r="AV791" s="200"/>
      <c r="AW791" s="200"/>
      <c r="AX791" s="200"/>
      <c r="AY791" s="200"/>
      <c r="AZ791" s="200"/>
      <c r="BA791" s="200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spans="1:70" ht="13.8">
      <c r="A792" s="1"/>
      <c r="B792" s="1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  <c r="AB792" s="200"/>
      <c r="AC792" s="200"/>
      <c r="AD792" s="200"/>
      <c r="AE792" s="200"/>
      <c r="AF792" s="200"/>
      <c r="AG792" s="200"/>
      <c r="AH792" s="200"/>
      <c r="AI792" s="200"/>
      <c r="AJ792" s="200"/>
      <c r="AK792" s="200"/>
      <c r="AL792" s="200"/>
      <c r="AM792" s="200"/>
      <c r="AN792" s="200"/>
      <c r="AO792" s="200"/>
      <c r="AP792" s="200"/>
      <c r="AQ792" s="200"/>
      <c r="AR792" s="200"/>
      <c r="AS792" s="200"/>
      <c r="AT792" s="200"/>
      <c r="AU792" s="200"/>
      <c r="AV792" s="200"/>
      <c r="AW792" s="200"/>
      <c r="AX792" s="200"/>
      <c r="AY792" s="200"/>
      <c r="AZ792" s="200"/>
      <c r="BA792" s="200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spans="1:70" ht="13.8">
      <c r="A793" s="1"/>
      <c r="B793" s="1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  <c r="AH793" s="200"/>
      <c r="AI793" s="200"/>
      <c r="AJ793" s="200"/>
      <c r="AK793" s="200"/>
      <c r="AL793" s="200"/>
      <c r="AM793" s="200"/>
      <c r="AN793" s="200"/>
      <c r="AO793" s="200"/>
      <c r="AP793" s="200"/>
      <c r="AQ793" s="200"/>
      <c r="AR793" s="200"/>
      <c r="AS793" s="200"/>
      <c r="AT793" s="200"/>
      <c r="AU793" s="200"/>
      <c r="AV793" s="200"/>
      <c r="AW793" s="200"/>
      <c r="AX793" s="200"/>
      <c r="AY793" s="200"/>
      <c r="AZ793" s="200"/>
      <c r="BA793" s="200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spans="1:70" ht="13.8">
      <c r="A794" s="1"/>
      <c r="B794" s="1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  <c r="AB794" s="200"/>
      <c r="AC794" s="200"/>
      <c r="AD794" s="200"/>
      <c r="AE794" s="200"/>
      <c r="AF794" s="200"/>
      <c r="AG794" s="200"/>
      <c r="AH794" s="200"/>
      <c r="AI794" s="200"/>
      <c r="AJ794" s="200"/>
      <c r="AK794" s="200"/>
      <c r="AL794" s="200"/>
      <c r="AM794" s="200"/>
      <c r="AN794" s="200"/>
      <c r="AO794" s="200"/>
      <c r="AP794" s="200"/>
      <c r="AQ794" s="200"/>
      <c r="AR794" s="200"/>
      <c r="AS794" s="200"/>
      <c r="AT794" s="200"/>
      <c r="AU794" s="200"/>
      <c r="AV794" s="200"/>
      <c r="AW794" s="200"/>
      <c r="AX794" s="200"/>
      <c r="AY794" s="200"/>
      <c r="AZ794" s="200"/>
      <c r="BA794" s="200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spans="1:70" ht="13.8">
      <c r="A795" s="1"/>
      <c r="B795" s="1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  <c r="AB795" s="200"/>
      <c r="AC795" s="200"/>
      <c r="AD795" s="200"/>
      <c r="AE795" s="200"/>
      <c r="AF795" s="200"/>
      <c r="AG795" s="200"/>
      <c r="AH795" s="200"/>
      <c r="AI795" s="200"/>
      <c r="AJ795" s="200"/>
      <c r="AK795" s="200"/>
      <c r="AL795" s="200"/>
      <c r="AM795" s="200"/>
      <c r="AN795" s="200"/>
      <c r="AO795" s="200"/>
      <c r="AP795" s="200"/>
      <c r="AQ795" s="200"/>
      <c r="AR795" s="200"/>
      <c r="AS795" s="200"/>
      <c r="AT795" s="200"/>
      <c r="AU795" s="200"/>
      <c r="AV795" s="200"/>
      <c r="AW795" s="200"/>
      <c r="AX795" s="200"/>
      <c r="AY795" s="200"/>
      <c r="AZ795" s="200"/>
      <c r="BA795" s="200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spans="1:70" ht="13.8">
      <c r="A796" s="1"/>
      <c r="B796" s="1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  <c r="AB796" s="200"/>
      <c r="AC796" s="200"/>
      <c r="AD796" s="200"/>
      <c r="AE796" s="200"/>
      <c r="AF796" s="200"/>
      <c r="AG796" s="200"/>
      <c r="AH796" s="200"/>
      <c r="AI796" s="200"/>
      <c r="AJ796" s="200"/>
      <c r="AK796" s="200"/>
      <c r="AL796" s="200"/>
      <c r="AM796" s="200"/>
      <c r="AN796" s="200"/>
      <c r="AO796" s="200"/>
      <c r="AP796" s="200"/>
      <c r="AQ796" s="200"/>
      <c r="AR796" s="200"/>
      <c r="AS796" s="200"/>
      <c r="AT796" s="200"/>
      <c r="AU796" s="200"/>
      <c r="AV796" s="200"/>
      <c r="AW796" s="200"/>
      <c r="AX796" s="200"/>
      <c r="AY796" s="200"/>
      <c r="AZ796" s="200"/>
      <c r="BA796" s="200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spans="1:70" ht="13.8">
      <c r="A797" s="1"/>
      <c r="B797" s="1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  <c r="AH797" s="200"/>
      <c r="AI797" s="200"/>
      <c r="AJ797" s="200"/>
      <c r="AK797" s="200"/>
      <c r="AL797" s="200"/>
      <c r="AM797" s="200"/>
      <c r="AN797" s="200"/>
      <c r="AO797" s="200"/>
      <c r="AP797" s="200"/>
      <c r="AQ797" s="200"/>
      <c r="AR797" s="200"/>
      <c r="AS797" s="200"/>
      <c r="AT797" s="200"/>
      <c r="AU797" s="200"/>
      <c r="AV797" s="200"/>
      <c r="AW797" s="200"/>
      <c r="AX797" s="200"/>
      <c r="AY797" s="200"/>
      <c r="AZ797" s="200"/>
      <c r="BA797" s="200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spans="1:70" ht="13.8">
      <c r="A798" s="1"/>
      <c r="B798" s="1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  <c r="AB798" s="200"/>
      <c r="AC798" s="200"/>
      <c r="AD798" s="200"/>
      <c r="AE798" s="200"/>
      <c r="AF798" s="200"/>
      <c r="AG798" s="200"/>
      <c r="AH798" s="200"/>
      <c r="AI798" s="200"/>
      <c r="AJ798" s="200"/>
      <c r="AK798" s="200"/>
      <c r="AL798" s="200"/>
      <c r="AM798" s="200"/>
      <c r="AN798" s="200"/>
      <c r="AO798" s="200"/>
      <c r="AP798" s="200"/>
      <c r="AQ798" s="200"/>
      <c r="AR798" s="200"/>
      <c r="AS798" s="200"/>
      <c r="AT798" s="200"/>
      <c r="AU798" s="200"/>
      <c r="AV798" s="200"/>
      <c r="AW798" s="200"/>
      <c r="AX798" s="200"/>
      <c r="AY798" s="200"/>
      <c r="AZ798" s="200"/>
      <c r="BA798" s="200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spans="1:70" ht="13.8">
      <c r="A799" s="1"/>
      <c r="B799" s="1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  <c r="AB799" s="200"/>
      <c r="AC799" s="200"/>
      <c r="AD799" s="200"/>
      <c r="AE799" s="200"/>
      <c r="AF799" s="200"/>
      <c r="AG799" s="200"/>
      <c r="AH799" s="200"/>
      <c r="AI799" s="200"/>
      <c r="AJ799" s="200"/>
      <c r="AK799" s="200"/>
      <c r="AL799" s="200"/>
      <c r="AM799" s="200"/>
      <c r="AN799" s="200"/>
      <c r="AO799" s="200"/>
      <c r="AP799" s="200"/>
      <c r="AQ799" s="200"/>
      <c r="AR799" s="200"/>
      <c r="AS799" s="200"/>
      <c r="AT799" s="200"/>
      <c r="AU799" s="200"/>
      <c r="AV799" s="200"/>
      <c r="AW799" s="200"/>
      <c r="AX799" s="200"/>
      <c r="AY799" s="200"/>
      <c r="AZ799" s="200"/>
      <c r="BA799" s="200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spans="1:70" ht="13.8">
      <c r="A800" s="1"/>
      <c r="B800" s="1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  <c r="AH800" s="200"/>
      <c r="AI800" s="200"/>
      <c r="AJ800" s="200"/>
      <c r="AK800" s="200"/>
      <c r="AL800" s="200"/>
      <c r="AM800" s="200"/>
      <c r="AN800" s="200"/>
      <c r="AO800" s="200"/>
      <c r="AP800" s="200"/>
      <c r="AQ800" s="200"/>
      <c r="AR800" s="200"/>
      <c r="AS800" s="200"/>
      <c r="AT800" s="200"/>
      <c r="AU800" s="200"/>
      <c r="AV800" s="200"/>
      <c r="AW800" s="200"/>
      <c r="AX800" s="200"/>
      <c r="AY800" s="200"/>
      <c r="AZ800" s="200"/>
      <c r="BA800" s="200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spans="1:70" ht="13.8">
      <c r="A801" s="1"/>
      <c r="B801" s="1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  <c r="AB801" s="200"/>
      <c r="AC801" s="200"/>
      <c r="AD801" s="200"/>
      <c r="AE801" s="200"/>
      <c r="AF801" s="200"/>
      <c r="AG801" s="200"/>
      <c r="AH801" s="200"/>
      <c r="AI801" s="200"/>
      <c r="AJ801" s="200"/>
      <c r="AK801" s="200"/>
      <c r="AL801" s="200"/>
      <c r="AM801" s="200"/>
      <c r="AN801" s="200"/>
      <c r="AO801" s="200"/>
      <c r="AP801" s="200"/>
      <c r="AQ801" s="200"/>
      <c r="AR801" s="200"/>
      <c r="AS801" s="200"/>
      <c r="AT801" s="200"/>
      <c r="AU801" s="200"/>
      <c r="AV801" s="200"/>
      <c r="AW801" s="200"/>
      <c r="AX801" s="200"/>
      <c r="AY801" s="200"/>
      <c r="AZ801" s="200"/>
      <c r="BA801" s="200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spans="1:70" ht="13.8">
      <c r="A802" s="1"/>
      <c r="B802" s="1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  <c r="AB802" s="200"/>
      <c r="AC802" s="200"/>
      <c r="AD802" s="200"/>
      <c r="AE802" s="200"/>
      <c r="AF802" s="200"/>
      <c r="AG802" s="200"/>
      <c r="AH802" s="200"/>
      <c r="AI802" s="200"/>
      <c r="AJ802" s="200"/>
      <c r="AK802" s="200"/>
      <c r="AL802" s="200"/>
      <c r="AM802" s="200"/>
      <c r="AN802" s="200"/>
      <c r="AO802" s="200"/>
      <c r="AP802" s="200"/>
      <c r="AQ802" s="200"/>
      <c r="AR802" s="200"/>
      <c r="AS802" s="200"/>
      <c r="AT802" s="200"/>
      <c r="AU802" s="200"/>
      <c r="AV802" s="200"/>
      <c r="AW802" s="200"/>
      <c r="AX802" s="200"/>
      <c r="AY802" s="200"/>
      <c r="AZ802" s="200"/>
      <c r="BA802" s="200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spans="1:70" ht="13.8">
      <c r="A803" s="1"/>
      <c r="B803" s="1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  <c r="AB803" s="200"/>
      <c r="AC803" s="200"/>
      <c r="AD803" s="200"/>
      <c r="AE803" s="200"/>
      <c r="AF803" s="200"/>
      <c r="AG803" s="200"/>
      <c r="AH803" s="200"/>
      <c r="AI803" s="200"/>
      <c r="AJ803" s="200"/>
      <c r="AK803" s="200"/>
      <c r="AL803" s="200"/>
      <c r="AM803" s="200"/>
      <c r="AN803" s="200"/>
      <c r="AO803" s="200"/>
      <c r="AP803" s="200"/>
      <c r="AQ803" s="200"/>
      <c r="AR803" s="200"/>
      <c r="AS803" s="200"/>
      <c r="AT803" s="200"/>
      <c r="AU803" s="200"/>
      <c r="AV803" s="200"/>
      <c r="AW803" s="200"/>
      <c r="AX803" s="200"/>
      <c r="AY803" s="200"/>
      <c r="AZ803" s="200"/>
      <c r="BA803" s="200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spans="1:70" ht="13.8">
      <c r="A804" s="1"/>
      <c r="B804" s="1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  <c r="AB804" s="200"/>
      <c r="AC804" s="200"/>
      <c r="AD804" s="200"/>
      <c r="AE804" s="200"/>
      <c r="AF804" s="200"/>
      <c r="AG804" s="200"/>
      <c r="AH804" s="200"/>
      <c r="AI804" s="200"/>
      <c r="AJ804" s="200"/>
      <c r="AK804" s="200"/>
      <c r="AL804" s="200"/>
      <c r="AM804" s="200"/>
      <c r="AN804" s="200"/>
      <c r="AO804" s="200"/>
      <c r="AP804" s="200"/>
      <c r="AQ804" s="200"/>
      <c r="AR804" s="200"/>
      <c r="AS804" s="200"/>
      <c r="AT804" s="200"/>
      <c r="AU804" s="200"/>
      <c r="AV804" s="200"/>
      <c r="AW804" s="200"/>
      <c r="AX804" s="200"/>
      <c r="AY804" s="200"/>
      <c r="AZ804" s="200"/>
      <c r="BA804" s="200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spans="1:70" ht="13.8">
      <c r="A805" s="1"/>
      <c r="B805" s="1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  <c r="AB805" s="200"/>
      <c r="AC805" s="200"/>
      <c r="AD805" s="200"/>
      <c r="AE805" s="200"/>
      <c r="AF805" s="200"/>
      <c r="AG805" s="200"/>
      <c r="AH805" s="200"/>
      <c r="AI805" s="200"/>
      <c r="AJ805" s="200"/>
      <c r="AK805" s="200"/>
      <c r="AL805" s="200"/>
      <c r="AM805" s="200"/>
      <c r="AN805" s="200"/>
      <c r="AO805" s="200"/>
      <c r="AP805" s="200"/>
      <c r="AQ805" s="200"/>
      <c r="AR805" s="200"/>
      <c r="AS805" s="200"/>
      <c r="AT805" s="200"/>
      <c r="AU805" s="200"/>
      <c r="AV805" s="200"/>
      <c r="AW805" s="200"/>
      <c r="AX805" s="200"/>
      <c r="AY805" s="200"/>
      <c r="AZ805" s="200"/>
      <c r="BA805" s="200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spans="1:70" ht="13.8">
      <c r="A806" s="1"/>
      <c r="B806" s="1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  <c r="AB806" s="200"/>
      <c r="AC806" s="200"/>
      <c r="AD806" s="200"/>
      <c r="AE806" s="200"/>
      <c r="AF806" s="200"/>
      <c r="AG806" s="200"/>
      <c r="AH806" s="200"/>
      <c r="AI806" s="200"/>
      <c r="AJ806" s="200"/>
      <c r="AK806" s="200"/>
      <c r="AL806" s="200"/>
      <c r="AM806" s="200"/>
      <c r="AN806" s="200"/>
      <c r="AO806" s="200"/>
      <c r="AP806" s="200"/>
      <c r="AQ806" s="200"/>
      <c r="AR806" s="200"/>
      <c r="AS806" s="200"/>
      <c r="AT806" s="200"/>
      <c r="AU806" s="200"/>
      <c r="AV806" s="200"/>
      <c r="AW806" s="200"/>
      <c r="AX806" s="200"/>
      <c r="AY806" s="200"/>
      <c r="AZ806" s="200"/>
      <c r="BA806" s="200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spans="1:70" ht="13.8">
      <c r="A807" s="1"/>
      <c r="B807" s="1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  <c r="AB807" s="200"/>
      <c r="AC807" s="200"/>
      <c r="AD807" s="200"/>
      <c r="AE807" s="200"/>
      <c r="AF807" s="200"/>
      <c r="AG807" s="200"/>
      <c r="AH807" s="200"/>
      <c r="AI807" s="200"/>
      <c r="AJ807" s="200"/>
      <c r="AK807" s="200"/>
      <c r="AL807" s="200"/>
      <c r="AM807" s="200"/>
      <c r="AN807" s="200"/>
      <c r="AO807" s="200"/>
      <c r="AP807" s="200"/>
      <c r="AQ807" s="200"/>
      <c r="AR807" s="200"/>
      <c r="AS807" s="200"/>
      <c r="AT807" s="200"/>
      <c r="AU807" s="200"/>
      <c r="AV807" s="200"/>
      <c r="AW807" s="200"/>
      <c r="AX807" s="200"/>
      <c r="AY807" s="200"/>
      <c r="AZ807" s="200"/>
      <c r="BA807" s="200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spans="1:70" ht="13.8">
      <c r="A808" s="1"/>
      <c r="B808" s="1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  <c r="AB808" s="200"/>
      <c r="AC808" s="200"/>
      <c r="AD808" s="200"/>
      <c r="AE808" s="200"/>
      <c r="AF808" s="200"/>
      <c r="AG808" s="200"/>
      <c r="AH808" s="200"/>
      <c r="AI808" s="200"/>
      <c r="AJ808" s="200"/>
      <c r="AK808" s="200"/>
      <c r="AL808" s="200"/>
      <c r="AM808" s="200"/>
      <c r="AN808" s="200"/>
      <c r="AO808" s="200"/>
      <c r="AP808" s="200"/>
      <c r="AQ808" s="200"/>
      <c r="AR808" s="200"/>
      <c r="AS808" s="200"/>
      <c r="AT808" s="200"/>
      <c r="AU808" s="200"/>
      <c r="AV808" s="200"/>
      <c r="AW808" s="200"/>
      <c r="AX808" s="200"/>
      <c r="AY808" s="200"/>
      <c r="AZ808" s="200"/>
      <c r="BA808" s="200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spans="1:70" ht="13.8">
      <c r="A809" s="1"/>
      <c r="B809" s="1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  <c r="AB809" s="200"/>
      <c r="AC809" s="200"/>
      <c r="AD809" s="200"/>
      <c r="AE809" s="200"/>
      <c r="AF809" s="200"/>
      <c r="AG809" s="200"/>
      <c r="AH809" s="200"/>
      <c r="AI809" s="200"/>
      <c r="AJ809" s="200"/>
      <c r="AK809" s="200"/>
      <c r="AL809" s="200"/>
      <c r="AM809" s="200"/>
      <c r="AN809" s="200"/>
      <c r="AO809" s="200"/>
      <c r="AP809" s="200"/>
      <c r="AQ809" s="200"/>
      <c r="AR809" s="200"/>
      <c r="AS809" s="200"/>
      <c r="AT809" s="200"/>
      <c r="AU809" s="200"/>
      <c r="AV809" s="200"/>
      <c r="AW809" s="200"/>
      <c r="AX809" s="200"/>
      <c r="AY809" s="200"/>
      <c r="AZ809" s="200"/>
      <c r="BA809" s="200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spans="1:70" ht="13.8">
      <c r="A810" s="1"/>
      <c r="B810" s="1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  <c r="AB810" s="200"/>
      <c r="AC810" s="200"/>
      <c r="AD810" s="200"/>
      <c r="AE810" s="200"/>
      <c r="AF810" s="200"/>
      <c r="AG810" s="200"/>
      <c r="AH810" s="200"/>
      <c r="AI810" s="200"/>
      <c r="AJ810" s="200"/>
      <c r="AK810" s="200"/>
      <c r="AL810" s="200"/>
      <c r="AM810" s="200"/>
      <c r="AN810" s="200"/>
      <c r="AO810" s="200"/>
      <c r="AP810" s="200"/>
      <c r="AQ810" s="200"/>
      <c r="AR810" s="200"/>
      <c r="AS810" s="200"/>
      <c r="AT810" s="200"/>
      <c r="AU810" s="200"/>
      <c r="AV810" s="200"/>
      <c r="AW810" s="200"/>
      <c r="AX810" s="200"/>
      <c r="AY810" s="200"/>
      <c r="AZ810" s="200"/>
      <c r="BA810" s="200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spans="1:70" ht="13.8">
      <c r="A811" s="1"/>
      <c r="B811" s="1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  <c r="AB811" s="200"/>
      <c r="AC811" s="200"/>
      <c r="AD811" s="200"/>
      <c r="AE811" s="200"/>
      <c r="AF811" s="200"/>
      <c r="AG811" s="200"/>
      <c r="AH811" s="200"/>
      <c r="AI811" s="200"/>
      <c r="AJ811" s="200"/>
      <c r="AK811" s="200"/>
      <c r="AL811" s="200"/>
      <c r="AM811" s="200"/>
      <c r="AN811" s="200"/>
      <c r="AO811" s="200"/>
      <c r="AP811" s="200"/>
      <c r="AQ811" s="200"/>
      <c r="AR811" s="200"/>
      <c r="AS811" s="200"/>
      <c r="AT811" s="200"/>
      <c r="AU811" s="200"/>
      <c r="AV811" s="200"/>
      <c r="AW811" s="200"/>
      <c r="AX811" s="200"/>
      <c r="AY811" s="200"/>
      <c r="AZ811" s="200"/>
      <c r="BA811" s="200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spans="1:70" ht="13.8">
      <c r="A812" s="1"/>
      <c r="B812" s="1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  <c r="AB812" s="200"/>
      <c r="AC812" s="200"/>
      <c r="AD812" s="200"/>
      <c r="AE812" s="200"/>
      <c r="AF812" s="200"/>
      <c r="AG812" s="200"/>
      <c r="AH812" s="200"/>
      <c r="AI812" s="200"/>
      <c r="AJ812" s="200"/>
      <c r="AK812" s="200"/>
      <c r="AL812" s="200"/>
      <c r="AM812" s="200"/>
      <c r="AN812" s="200"/>
      <c r="AO812" s="200"/>
      <c r="AP812" s="200"/>
      <c r="AQ812" s="200"/>
      <c r="AR812" s="200"/>
      <c r="AS812" s="200"/>
      <c r="AT812" s="200"/>
      <c r="AU812" s="200"/>
      <c r="AV812" s="200"/>
      <c r="AW812" s="200"/>
      <c r="AX812" s="200"/>
      <c r="AY812" s="200"/>
      <c r="AZ812" s="200"/>
      <c r="BA812" s="200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spans="1:70" ht="13.8">
      <c r="A813" s="1"/>
      <c r="B813" s="1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  <c r="AH813" s="200"/>
      <c r="AI813" s="200"/>
      <c r="AJ813" s="200"/>
      <c r="AK813" s="200"/>
      <c r="AL813" s="200"/>
      <c r="AM813" s="200"/>
      <c r="AN813" s="200"/>
      <c r="AO813" s="200"/>
      <c r="AP813" s="200"/>
      <c r="AQ813" s="200"/>
      <c r="AR813" s="200"/>
      <c r="AS813" s="200"/>
      <c r="AT813" s="200"/>
      <c r="AU813" s="200"/>
      <c r="AV813" s="200"/>
      <c r="AW813" s="200"/>
      <c r="AX813" s="200"/>
      <c r="AY813" s="200"/>
      <c r="AZ813" s="200"/>
      <c r="BA813" s="200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spans="1:70" ht="13.8">
      <c r="A814" s="1"/>
      <c r="B814" s="1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  <c r="AB814" s="200"/>
      <c r="AC814" s="200"/>
      <c r="AD814" s="200"/>
      <c r="AE814" s="200"/>
      <c r="AF814" s="200"/>
      <c r="AG814" s="200"/>
      <c r="AH814" s="200"/>
      <c r="AI814" s="200"/>
      <c r="AJ814" s="200"/>
      <c r="AK814" s="200"/>
      <c r="AL814" s="200"/>
      <c r="AM814" s="200"/>
      <c r="AN814" s="200"/>
      <c r="AO814" s="200"/>
      <c r="AP814" s="200"/>
      <c r="AQ814" s="200"/>
      <c r="AR814" s="200"/>
      <c r="AS814" s="200"/>
      <c r="AT814" s="200"/>
      <c r="AU814" s="200"/>
      <c r="AV814" s="200"/>
      <c r="AW814" s="200"/>
      <c r="AX814" s="200"/>
      <c r="AY814" s="200"/>
      <c r="AZ814" s="200"/>
      <c r="BA814" s="200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spans="1:70" ht="13.8">
      <c r="A815" s="1"/>
      <c r="B815" s="1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  <c r="AB815" s="200"/>
      <c r="AC815" s="200"/>
      <c r="AD815" s="200"/>
      <c r="AE815" s="200"/>
      <c r="AF815" s="200"/>
      <c r="AG815" s="200"/>
      <c r="AH815" s="200"/>
      <c r="AI815" s="200"/>
      <c r="AJ815" s="200"/>
      <c r="AK815" s="200"/>
      <c r="AL815" s="200"/>
      <c r="AM815" s="200"/>
      <c r="AN815" s="200"/>
      <c r="AO815" s="200"/>
      <c r="AP815" s="200"/>
      <c r="AQ815" s="200"/>
      <c r="AR815" s="200"/>
      <c r="AS815" s="200"/>
      <c r="AT815" s="200"/>
      <c r="AU815" s="200"/>
      <c r="AV815" s="200"/>
      <c r="AW815" s="200"/>
      <c r="AX815" s="200"/>
      <c r="AY815" s="200"/>
      <c r="AZ815" s="200"/>
      <c r="BA815" s="200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spans="1:70" ht="13.8">
      <c r="A816" s="1"/>
      <c r="B816" s="1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  <c r="AB816" s="200"/>
      <c r="AC816" s="200"/>
      <c r="AD816" s="200"/>
      <c r="AE816" s="200"/>
      <c r="AF816" s="200"/>
      <c r="AG816" s="200"/>
      <c r="AH816" s="200"/>
      <c r="AI816" s="200"/>
      <c r="AJ816" s="200"/>
      <c r="AK816" s="200"/>
      <c r="AL816" s="200"/>
      <c r="AM816" s="200"/>
      <c r="AN816" s="200"/>
      <c r="AO816" s="200"/>
      <c r="AP816" s="200"/>
      <c r="AQ816" s="200"/>
      <c r="AR816" s="200"/>
      <c r="AS816" s="200"/>
      <c r="AT816" s="200"/>
      <c r="AU816" s="200"/>
      <c r="AV816" s="200"/>
      <c r="AW816" s="200"/>
      <c r="AX816" s="200"/>
      <c r="AY816" s="200"/>
      <c r="AZ816" s="200"/>
      <c r="BA816" s="200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spans="1:70" ht="13.8">
      <c r="A817" s="1"/>
      <c r="B817" s="1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  <c r="AB817" s="200"/>
      <c r="AC817" s="200"/>
      <c r="AD817" s="200"/>
      <c r="AE817" s="200"/>
      <c r="AF817" s="200"/>
      <c r="AG817" s="200"/>
      <c r="AH817" s="200"/>
      <c r="AI817" s="200"/>
      <c r="AJ817" s="200"/>
      <c r="AK817" s="200"/>
      <c r="AL817" s="200"/>
      <c r="AM817" s="200"/>
      <c r="AN817" s="200"/>
      <c r="AO817" s="200"/>
      <c r="AP817" s="200"/>
      <c r="AQ817" s="200"/>
      <c r="AR817" s="200"/>
      <c r="AS817" s="200"/>
      <c r="AT817" s="200"/>
      <c r="AU817" s="200"/>
      <c r="AV817" s="200"/>
      <c r="AW817" s="200"/>
      <c r="AX817" s="200"/>
      <c r="AY817" s="200"/>
      <c r="AZ817" s="200"/>
      <c r="BA817" s="200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spans="1:70" ht="13.8">
      <c r="A818" s="1"/>
      <c r="B818" s="1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  <c r="AB818" s="200"/>
      <c r="AC818" s="200"/>
      <c r="AD818" s="200"/>
      <c r="AE818" s="200"/>
      <c r="AF818" s="200"/>
      <c r="AG818" s="200"/>
      <c r="AH818" s="200"/>
      <c r="AI818" s="200"/>
      <c r="AJ818" s="200"/>
      <c r="AK818" s="200"/>
      <c r="AL818" s="200"/>
      <c r="AM818" s="200"/>
      <c r="AN818" s="200"/>
      <c r="AO818" s="200"/>
      <c r="AP818" s="200"/>
      <c r="AQ818" s="200"/>
      <c r="AR818" s="200"/>
      <c r="AS818" s="200"/>
      <c r="AT818" s="200"/>
      <c r="AU818" s="200"/>
      <c r="AV818" s="200"/>
      <c r="AW818" s="200"/>
      <c r="AX818" s="200"/>
      <c r="AY818" s="200"/>
      <c r="AZ818" s="200"/>
      <c r="BA818" s="200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spans="1:70" ht="13.8">
      <c r="A819" s="1"/>
      <c r="B819" s="1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  <c r="AH819" s="200"/>
      <c r="AI819" s="200"/>
      <c r="AJ819" s="200"/>
      <c r="AK819" s="200"/>
      <c r="AL819" s="200"/>
      <c r="AM819" s="200"/>
      <c r="AN819" s="200"/>
      <c r="AO819" s="200"/>
      <c r="AP819" s="200"/>
      <c r="AQ819" s="200"/>
      <c r="AR819" s="200"/>
      <c r="AS819" s="200"/>
      <c r="AT819" s="200"/>
      <c r="AU819" s="200"/>
      <c r="AV819" s="200"/>
      <c r="AW819" s="200"/>
      <c r="AX819" s="200"/>
      <c r="AY819" s="200"/>
      <c r="AZ819" s="200"/>
      <c r="BA819" s="200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spans="1:70" ht="13.8">
      <c r="A820" s="1"/>
      <c r="B820" s="1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  <c r="AB820" s="200"/>
      <c r="AC820" s="200"/>
      <c r="AD820" s="200"/>
      <c r="AE820" s="200"/>
      <c r="AF820" s="200"/>
      <c r="AG820" s="200"/>
      <c r="AH820" s="200"/>
      <c r="AI820" s="200"/>
      <c r="AJ820" s="200"/>
      <c r="AK820" s="200"/>
      <c r="AL820" s="200"/>
      <c r="AM820" s="200"/>
      <c r="AN820" s="200"/>
      <c r="AO820" s="200"/>
      <c r="AP820" s="200"/>
      <c r="AQ820" s="200"/>
      <c r="AR820" s="200"/>
      <c r="AS820" s="200"/>
      <c r="AT820" s="200"/>
      <c r="AU820" s="200"/>
      <c r="AV820" s="200"/>
      <c r="AW820" s="200"/>
      <c r="AX820" s="200"/>
      <c r="AY820" s="200"/>
      <c r="AZ820" s="200"/>
      <c r="BA820" s="200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spans="1:70" ht="13.8">
      <c r="A821" s="1"/>
      <c r="B821" s="1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  <c r="AB821" s="200"/>
      <c r="AC821" s="200"/>
      <c r="AD821" s="200"/>
      <c r="AE821" s="200"/>
      <c r="AF821" s="200"/>
      <c r="AG821" s="200"/>
      <c r="AH821" s="200"/>
      <c r="AI821" s="200"/>
      <c r="AJ821" s="200"/>
      <c r="AK821" s="200"/>
      <c r="AL821" s="200"/>
      <c r="AM821" s="200"/>
      <c r="AN821" s="200"/>
      <c r="AO821" s="200"/>
      <c r="AP821" s="200"/>
      <c r="AQ821" s="200"/>
      <c r="AR821" s="200"/>
      <c r="AS821" s="200"/>
      <c r="AT821" s="200"/>
      <c r="AU821" s="200"/>
      <c r="AV821" s="200"/>
      <c r="AW821" s="200"/>
      <c r="AX821" s="200"/>
      <c r="AY821" s="200"/>
      <c r="AZ821" s="200"/>
      <c r="BA821" s="200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spans="1:70" ht="13.8">
      <c r="A822" s="1"/>
      <c r="B822" s="1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  <c r="AB822" s="200"/>
      <c r="AC822" s="200"/>
      <c r="AD822" s="200"/>
      <c r="AE822" s="200"/>
      <c r="AF822" s="200"/>
      <c r="AG822" s="200"/>
      <c r="AH822" s="200"/>
      <c r="AI822" s="200"/>
      <c r="AJ822" s="200"/>
      <c r="AK822" s="200"/>
      <c r="AL822" s="200"/>
      <c r="AM822" s="200"/>
      <c r="AN822" s="200"/>
      <c r="AO822" s="200"/>
      <c r="AP822" s="200"/>
      <c r="AQ822" s="200"/>
      <c r="AR822" s="200"/>
      <c r="AS822" s="200"/>
      <c r="AT822" s="200"/>
      <c r="AU822" s="200"/>
      <c r="AV822" s="200"/>
      <c r="AW822" s="200"/>
      <c r="AX822" s="200"/>
      <c r="AY822" s="200"/>
      <c r="AZ822" s="200"/>
      <c r="BA822" s="200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spans="1:70" ht="13.8">
      <c r="A823" s="1"/>
      <c r="B823" s="1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  <c r="AB823" s="200"/>
      <c r="AC823" s="200"/>
      <c r="AD823" s="200"/>
      <c r="AE823" s="200"/>
      <c r="AF823" s="200"/>
      <c r="AG823" s="200"/>
      <c r="AH823" s="200"/>
      <c r="AI823" s="200"/>
      <c r="AJ823" s="200"/>
      <c r="AK823" s="200"/>
      <c r="AL823" s="200"/>
      <c r="AM823" s="200"/>
      <c r="AN823" s="200"/>
      <c r="AO823" s="200"/>
      <c r="AP823" s="200"/>
      <c r="AQ823" s="200"/>
      <c r="AR823" s="200"/>
      <c r="AS823" s="200"/>
      <c r="AT823" s="200"/>
      <c r="AU823" s="200"/>
      <c r="AV823" s="200"/>
      <c r="AW823" s="200"/>
      <c r="AX823" s="200"/>
      <c r="AY823" s="200"/>
      <c r="AZ823" s="200"/>
      <c r="BA823" s="200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spans="1:70" ht="13.8">
      <c r="A824" s="1"/>
      <c r="B824" s="1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  <c r="AB824" s="200"/>
      <c r="AC824" s="200"/>
      <c r="AD824" s="200"/>
      <c r="AE824" s="200"/>
      <c r="AF824" s="200"/>
      <c r="AG824" s="200"/>
      <c r="AH824" s="200"/>
      <c r="AI824" s="200"/>
      <c r="AJ824" s="200"/>
      <c r="AK824" s="200"/>
      <c r="AL824" s="200"/>
      <c r="AM824" s="200"/>
      <c r="AN824" s="200"/>
      <c r="AO824" s="200"/>
      <c r="AP824" s="200"/>
      <c r="AQ824" s="200"/>
      <c r="AR824" s="200"/>
      <c r="AS824" s="200"/>
      <c r="AT824" s="200"/>
      <c r="AU824" s="200"/>
      <c r="AV824" s="200"/>
      <c r="AW824" s="200"/>
      <c r="AX824" s="200"/>
      <c r="AY824" s="200"/>
      <c r="AZ824" s="200"/>
      <c r="BA824" s="200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spans="1:70" ht="13.8">
      <c r="A825" s="1"/>
      <c r="B825" s="1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  <c r="AB825" s="200"/>
      <c r="AC825" s="200"/>
      <c r="AD825" s="200"/>
      <c r="AE825" s="200"/>
      <c r="AF825" s="200"/>
      <c r="AG825" s="200"/>
      <c r="AH825" s="200"/>
      <c r="AI825" s="200"/>
      <c r="AJ825" s="200"/>
      <c r="AK825" s="200"/>
      <c r="AL825" s="200"/>
      <c r="AM825" s="200"/>
      <c r="AN825" s="200"/>
      <c r="AO825" s="200"/>
      <c r="AP825" s="200"/>
      <c r="AQ825" s="200"/>
      <c r="AR825" s="200"/>
      <c r="AS825" s="200"/>
      <c r="AT825" s="200"/>
      <c r="AU825" s="200"/>
      <c r="AV825" s="200"/>
      <c r="AW825" s="200"/>
      <c r="AX825" s="200"/>
      <c r="AY825" s="200"/>
      <c r="AZ825" s="200"/>
      <c r="BA825" s="200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spans="1:70" ht="13.8">
      <c r="A826" s="1"/>
      <c r="B826" s="1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  <c r="AB826" s="200"/>
      <c r="AC826" s="200"/>
      <c r="AD826" s="200"/>
      <c r="AE826" s="200"/>
      <c r="AF826" s="200"/>
      <c r="AG826" s="200"/>
      <c r="AH826" s="200"/>
      <c r="AI826" s="200"/>
      <c r="AJ826" s="200"/>
      <c r="AK826" s="200"/>
      <c r="AL826" s="200"/>
      <c r="AM826" s="200"/>
      <c r="AN826" s="200"/>
      <c r="AO826" s="200"/>
      <c r="AP826" s="200"/>
      <c r="AQ826" s="200"/>
      <c r="AR826" s="200"/>
      <c r="AS826" s="200"/>
      <c r="AT826" s="200"/>
      <c r="AU826" s="200"/>
      <c r="AV826" s="200"/>
      <c r="AW826" s="200"/>
      <c r="AX826" s="200"/>
      <c r="AY826" s="200"/>
      <c r="AZ826" s="200"/>
      <c r="BA826" s="200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spans="1:70" ht="13.8">
      <c r="A827" s="1"/>
      <c r="B827" s="1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  <c r="AB827" s="200"/>
      <c r="AC827" s="200"/>
      <c r="AD827" s="200"/>
      <c r="AE827" s="200"/>
      <c r="AF827" s="200"/>
      <c r="AG827" s="200"/>
      <c r="AH827" s="200"/>
      <c r="AI827" s="200"/>
      <c r="AJ827" s="200"/>
      <c r="AK827" s="200"/>
      <c r="AL827" s="200"/>
      <c r="AM827" s="200"/>
      <c r="AN827" s="200"/>
      <c r="AO827" s="200"/>
      <c r="AP827" s="200"/>
      <c r="AQ827" s="200"/>
      <c r="AR827" s="200"/>
      <c r="AS827" s="200"/>
      <c r="AT827" s="200"/>
      <c r="AU827" s="200"/>
      <c r="AV827" s="200"/>
      <c r="AW827" s="200"/>
      <c r="AX827" s="200"/>
      <c r="AY827" s="200"/>
      <c r="AZ827" s="200"/>
      <c r="BA827" s="200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spans="1:70" ht="13.8">
      <c r="A828" s="1"/>
      <c r="B828" s="1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  <c r="AB828" s="200"/>
      <c r="AC828" s="200"/>
      <c r="AD828" s="200"/>
      <c r="AE828" s="200"/>
      <c r="AF828" s="200"/>
      <c r="AG828" s="200"/>
      <c r="AH828" s="200"/>
      <c r="AI828" s="200"/>
      <c r="AJ828" s="200"/>
      <c r="AK828" s="200"/>
      <c r="AL828" s="200"/>
      <c r="AM828" s="200"/>
      <c r="AN828" s="200"/>
      <c r="AO828" s="200"/>
      <c r="AP828" s="200"/>
      <c r="AQ828" s="200"/>
      <c r="AR828" s="200"/>
      <c r="AS828" s="200"/>
      <c r="AT828" s="200"/>
      <c r="AU828" s="200"/>
      <c r="AV828" s="200"/>
      <c r="AW828" s="200"/>
      <c r="AX828" s="200"/>
      <c r="AY828" s="200"/>
      <c r="AZ828" s="200"/>
      <c r="BA828" s="200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spans="1:70" ht="13.8">
      <c r="A829" s="1"/>
      <c r="B829" s="1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  <c r="AB829" s="200"/>
      <c r="AC829" s="200"/>
      <c r="AD829" s="200"/>
      <c r="AE829" s="200"/>
      <c r="AF829" s="200"/>
      <c r="AG829" s="200"/>
      <c r="AH829" s="200"/>
      <c r="AI829" s="200"/>
      <c r="AJ829" s="200"/>
      <c r="AK829" s="200"/>
      <c r="AL829" s="200"/>
      <c r="AM829" s="200"/>
      <c r="AN829" s="200"/>
      <c r="AO829" s="200"/>
      <c r="AP829" s="200"/>
      <c r="AQ829" s="200"/>
      <c r="AR829" s="200"/>
      <c r="AS829" s="200"/>
      <c r="AT829" s="200"/>
      <c r="AU829" s="200"/>
      <c r="AV829" s="200"/>
      <c r="AW829" s="200"/>
      <c r="AX829" s="200"/>
      <c r="AY829" s="200"/>
      <c r="AZ829" s="200"/>
      <c r="BA829" s="200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spans="1:70" ht="13.8">
      <c r="A830" s="1"/>
      <c r="B830" s="1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  <c r="AB830" s="200"/>
      <c r="AC830" s="200"/>
      <c r="AD830" s="200"/>
      <c r="AE830" s="200"/>
      <c r="AF830" s="200"/>
      <c r="AG830" s="200"/>
      <c r="AH830" s="200"/>
      <c r="AI830" s="200"/>
      <c r="AJ830" s="200"/>
      <c r="AK830" s="200"/>
      <c r="AL830" s="200"/>
      <c r="AM830" s="200"/>
      <c r="AN830" s="200"/>
      <c r="AO830" s="200"/>
      <c r="AP830" s="200"/>
      <c r="AQ830" s="200"/>
      <c r="AR830" s="200"/>
      <c r="AS830" s="200"/>
      <c r="AT830" s="200"/>
      <c r="AU830" s="200"/>
      <c r="AV830" s="200"/>
      <c r="AW830" s="200"/>
      <c r="AX830" s="200"/>
      <c r="AY830" s="200"/>
      <c r="AZ830" s="200"/>
      <c r="BA830" s="200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spans="1:70" ht="13.8">
      <c r="A831" s="1"/>
      <c r="B831" s="1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  <c r="AB831" s="200"/>
      <c r="AC831" s="200"/>
      <c r="AD831" s="200"/>
      <c r="AE831" s="200"/>
      <c r="AF831" s="200"/>
      <c r="AG831" s="200"/>
      <c r="AH831" s="200"/>
      <c r="AI831" s="200"/>
      <c r="AJ831" s="200"/>
      <c r="AK831" s="200"/>
      <c r="AL831" s="200"/>
      <c r="AM831" s="200"/>
      <c r="AN831" s="200"/>
      <c r="AO831" s="200"/>
      <c r="AP831" s="200"/>
      <c r="AQ831" s="200"/>
      <c r="AR831" s="200"/>
      <c r="AS831" s="200"/>
      <c r="AT831" s="200"/>
      <c r="AU831" s="200"/>
      <c r="AV831" s="200"/>
      <c r="AW831" s="200"/>
      <c r="AX831" s="200"/>
      <c r="AY831" s="200"/>
      <c r="AZ831" s="200"/>
      <c r="BA831" s="200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spans="1:70" ht="13.8">
      <c r="A832" s="1"/>
      <c r="B832" s="1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  <c r="AB832" s="200"/>
      <c r="AC832" s="200"/>
      <c r="AD832" s="200"/>
      <c r="AE832" s="200"/>
      <c r="AF832" s="200"/>
      <c r="AG832" s="200"/>
      <c r="AH832" s="200"/>
      <c r="AI832" s="200"/>
      <c r="AJ832" s="200"/>
      <c r="AK832" s="200"/>
      <c r="AL832" s="200"/>
      <c r="AM832" s="200"/>
      <c r="AN832" s="200"/>
      <c r="AO832" s="200"/>
      <c r="AP832" s="200"/>
      <c r="AQ832" s="200"/>
      <c r="AR832" s="200"/>
      <c r="AS832" s="200"/>
      <c r="AT832" s="200"/>
      <c r="AU832" s="200"/>
      <c r="AV832" s="200"/>
      <c r="AW832" s="200"/>
      <c r="AX832" s="200"/>
      <c r="AY832" s="200"/>
      <c r="AZ832" s="200"/>
      <c r="BA832" s="200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spans="1:70" ht="13.8">
      <c r="A833" s="1"/>
      <c r="B833" s="1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  <c r="AB833" s="200"/>
      <c r="AC833" s="200"/>
      <c r="AD833" s="200"/>
      <c r="AE833" s="200"/>
      <c r="AF833" s="200"/>
      <c r="AG833" s="200"/>
      <c r="AH833" s="200"/>
      <c r="AI833" s="200"/>
      <c r="AJ833" s="200"/>
      <c r="AK833" s="200"/>
      <c r="AL833" s="200"/>
      <c r="AM833" s="200"/>
      <c r="AN833" s="200"/>
      <c r="AO833" s="200"/>
      <c r="AP833" s="200"/>
      <c r="AQ833" s="200"/>
      <c r="AR833" s="200"/>
      <c r="AS833" s="200"/>
      <c r="AT833" s="200"/>
      <c r="AU833" s="200"/>
      <c r="AV833" s="200"/>
      <c r="AW833" s="200"/>
      <c r="AX833" s="200"/>
      <c r="AY833" s="200"/>
      <c r="AZ833" s="200"/>
      <c r="BA833" s="200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spans="1:70" ht="13.8">
      <c r="A834" s="1"/>
      <c r="B834" s="1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0"/>
      <c r="AK834" s="200"/>
      <c r="AL834" s="200"/>
      <c r="AM834" s="200"/>
      <c r="AN834" s="200"/>
      <c r="AO834" s="200"/>
      <c r="AP834" s="200"/>
      <c r="AQ834" s="200"/>
      <c r="AR834" s="200"/>
      <c r="AS834" s="200"/>
      <c r="AT834" s="200"/>
      <c r="AU834" s="200"/>
      <c r="AV834" s="200"/>
      <c r="AW834" s="200"/>
      <c r="AX834" s="200"/>
      <c r="AY834" s="200"/>
      <c r="AZ834" s="200"/>
      <c r="BA834" s="200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spans="1:70" ht="13.8">
      <c r="A835" s="1"/>
      <c r="B835" s="1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  <c r="AB835" s="200"/>
      <c r="AC835" s="200"/>
      <c r="AD835" s="200"/>
      <c r="AE835" s="200"/>
      <c r="AF835" s="200"/>
      <c r="AG835" s="200"/>
      <c r="AH835" s="200"/>
      <c r="AI835" s="200"/>
      <c r="AJ835" s="200"/>
      <c r="AK835" s="200"/>
      <c r="AL835" s="200"/>
      <c r="AM835" s="200"/>
      <c r="AN835" s="200"/>
      <c r="AO835" s="200"/>
      <c r="AP835" s="200"/>
      <c r="AQ835" s="200"/>
      <c r="AR835" s="200"/>
      <c r="AS835" s="200"/>
      <c r="AT835" s="200"/>
      <c r="AU835" s="200"/>
      <c r="AV835" s="200"/>
      <c r="AW835" s="200"/>
      <c r="AX835" s="200"/>
      <c r="AY835" s="200"/>
      <c r="AZ835" s="200"/>
      <c r="BA835" s="200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spans="1:70" ht="13.8">
      <c r="A836" s="1"/>
      <c r="B836" s="1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  <c r="AB836" s="200"/>
      <c r="AC836" s="200"/>
      <c r="AD836" s="200"/>
      <c r="AE836" s="200"/>
      <c r="AF836" s="200"/>
      <c r="AG836" s="200"/>
      <c r="AH836" s="200"/>
      <c r="AI836" s="200"/>
      <c r="AJ836" s="200"/>
      <c r="AK836" s="200"/>
      <c r="AL836" s="200"/>
      <c r="AM836" s="200"/>
      <c r="AN836" s="200"/>
      <c r="AO836" s="200"/>
      <c r="AP836" s="200"/>
      <c r="AQ836" s="200"/>
      <c r="AR836" s="200"/>
      <c r="AS836" s="200"/>
      <c r="AT836" s="200"/>
      <c r="AU836" s="200"/>
      <c r="AV836" s="200"/>
      <c r="AW836" s="200"/>
      <c r="AX836" s="200"/>
      <c r="AY836" s="200"/>
      <c r="AZ836" s="200"/>
      <c r="BA836" s="200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spans="1:70" ht="13.8">
      <c r="A837" s="1"/>
      <c r="B837" s="1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  <c r="AH837" s="200"/>
      <c r="AI837" s="200"/>
      <c r="AJ837" s="200"/>
      <c r="AK837" s="200"/>
      <c r="AL837" s="200"/>
      <c r="AM837" s="200"/>
      <c r="AN837" s="200"/>
      <c r="AO837" s="200"/>
      <c r="AP837" s="200"/>
      <c r="AQ837" s="200"/>
      <c r="AR837" s="200"/>
      <c r="AS837" s="200"/>
      <c r="AT837" s="200"/>
      <c r="AU837" s="200"/>
      <c r="AV837" s="200"/>
      <c r="AW837" s="200"/>
      <c r="AX837" s="200"/>
      <c r="AY837" s="200"/>
      <c r="AZ837" s="200"/>
      <c r="BA837" s="200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spans="1:70" ht="13.8">
      <c r="A838" s="1"/>
      <c r="B838" s="1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  <c r="AB838" s="200"/>
      <c r="AC838" s="200"/>
      <c r="AD838" s="200"/>
      <c r="AE838" s="200"/>
      <c r="AF838" s="200"/>
      <c r="AG838" s="200"/>
      <c r="AH838" s="200"/>
      <c r="AI838" s="200"/>
      <c r="AJ838" s="200"/>
      <c r="AK838" s="200"/>
      <c r="AL838" s="200"/>
      <c r="AM838" s="200"/>
      <c r="AN838" s="200"/>
      <c r="AO838" s="200"/>
      <c r="AP838" s="200"/>
      <c r="AQ838" s="200"/>
      <c r="AR838" s="200"/>
      <c r="AS838" s="200"/>
      <c r="AT838" s="200"/>
      <c r="AU838" s="200"/>
      <c r="AV838" s="200"/>
      <c r="AW838" s="200"/>
      <c r="AX838" s="200"/>
      <c r="AY838" s="200"/>
      <c r="AZ838" s="200"/>
      <c r="BA838" s="200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spans="1:70" ht="13.8">
      <c r="A839" s="1"/>
      <c r="B839" s="1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  <c r="AB839" s="200"/>
      <c r="AC839" s="200"/>
      <c r="AD839" s="200"/>
      <c r="AE839" s="200"/>
      <c r="AF839" s="200"/>
      <c r="AG839" s="200"/>
      <c r="AH839" s="200"/>
      <c r="AI839" s="200"/>
      <c r="AJ839" s="200"/>
      <c r="AK839" s="200"/>
      <c r="AL839" s="200"/>
      <c r="AM839" s="200"/>
      <c r="AN839" s="200"/>
      <c r="AO839" s="200"/>
      <c r="AP839" s="200"/>
      <c r="AQ839" s="200"/>
      <c r="AR839" s="200"/>
      <c r="AS839" s="200"/>
      <c r="AT839" s="200"/>
      <c r="AU839" s="200"/>
      <c r="AV839" s="200"/>
      <c r="AW839" s="200"/>
      <c r="AX839" s="200"/>
      <c r="AY839" s="200"/>
      <c r="AZ839" s="200"/>
      <c r="BA839" s="200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spans="1:70" ht="13.8">
      <c r="A840" s="1"/>
      <c r="B840" s="1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  <c r="AB840" s="200"/>
      <c r="AC840" s="200"/>
      <c r="AD840" s="200"/>
      <c r="AE840" s="200"/>
      <c r="AF840" s="200"/>
      <c r="AG840" s="200"/>
      <c r="AH840" s="200"/>
      <c r="AI840" s="200"/>
      <c r="AJ840" s="200"/>
      <c r="AK840" s="200"/>
      <c r="AL840" s="200"/>
      <c r="AM840" s="200"/>
      <c r="AN840" s="200"/>
      <c r="AO840" s="200"/>
      <c r="AP840" s="200"/>
      <c r="AQ840" s="200"/>
      <c r="AR840" s="200"/>
      <c r="AS840" s="200"/>
      <c r="AT840" s="200"/>
      <c r="AU840" s="200"/>
      <c r="AV840" s="200"/>
      <c r="AW840" s="200"/>
      <c r="AX840" s="200"/>
      <c r="AY840" s="200"/>
      <c r="AZ840" s="200"/>
      <c r="BA840" s="200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spans="1:70" ht="13.8">
      <c r="A841" s="1"/>
      <c r="B841" s="1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  <c r="AB841" s="200"/>
      <c r="AC841" s="200"/>
      <c r="AD841" s="200"/>
      <c r="AE841" s="200"/>
      <c r="AF841" s="200"/>
      <c r="AG841" s="200"/>
      <c r="AH841" s="200"/>
      <c r="AI841" s="200"/>
      <c r="AJ841" s="200"/>
      <c r="AK841" s="200"/>
      <c r="AL841" s="200"/>
      <c r="AM841" s="200"/>
      <c r="AN841" s="200"/>
      <c r="AO841" s="200"/>
      <c r="AP841" s="200"/>
      <c r="AQ841" s="200"/>
      <c r="AR841" s="200"/>
      <c r="AS841" s="200"/>
      <c r="AT841" s="200"/>
      <c r="AU841" s="200"/>
      <c r="AV841" s="200"/>
      <c r="AW841" s="200"/>
      <c r="AX841" s="200"/>
      <c r="AY841" s="200"/>
      <c r="AZ841" s="200"/>
      <c r="BA841" s="200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spans="1:70" ht="13.8">
      <c r="A842" s="1"/>
      <c r="B842" s="1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  <c r="AB842" s="200"/>
      <c r="AC842" s="200"/>
      <c r="AD842" s="200"/>
      <c r="AE842" s="200"/>
      <c r="AF842" s="200"/>
      <c r="AG842" s="200"/>
      <c r="AH842" s="200"/>
      <c r="AI842" s="200"/>
      <c r="AJ842" s="200"/>
      <c r="AK842" s="200"/>
      <c r="AL842" s="200"/>
      <c r="AM842" s="200"/>
      <c r="AN842" s="200"/>
      <c r="AO842" s="200"/>
      <c r="AP842" s="200"/>
      <c r="AQ842" s="200"/>
      <c r="AR842" s="200"/>
      <c r="AS842" s="200"/>
      <c r="AT842" s="200"/>
      <c r="AU842" s="200"/>
      <c r="AV842" s="200"/>
      <c r="AW842" s="200"/>
      <c r="AX842" s="200"/>
      <c r="AY842" s="200"/>
      <c r="AZ842" s="200"/>
      <c r="BA842" s="200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spans="1:70" ht="13.8">
      <c r="A843" s="1"/>
      <c r="B843" s="1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  <c r="AB843" s="200"/>
      <c r="AC843" s="200"/>
      <c r="AD843" s="200"/>
      <c r="AE843" s="200"/>
      <c r="AF843" s="200"/>
      <c r="AG843" s="200"/>
      <c r="AH843" s="200"/>
      <c r="AI843" s="200"/>
      <c r="AJ843" s="200"/>
      <c r="AK843" s="200"/>
      <c r="AL843" s="200"/>
      <c r="AM843" s="200"/>
      <c r="AN843" s="200"/>
      <c r="AO843" s="200"/>
      <c r="AP843" s="200"/>
      <c r="AQ843" s="200"/>
      <c r="AR843" s="200"/>
      <c r="AS843" s="200"/>
      <c r="AT843" s="200"/>
      <c r="AU843" s="200"/>
      <c r="AV843" s="200"/>
      <c r="AW843" s="200"/>
      <c r="AX843" s="200"/>
      <c r="AY843" s="200"/>
      <c r="AZ843" s="200"/>
      <c r="BA843" s="200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spans="1:70" ht="13.8">
      <c r="A844" s="1"/>
      <c r="B844" s="1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  <c r="AB844" s="200"/>
      <c r="AC844" s="200"/>
      <c r="AD844" s="200"/>
      <c r="AE844" s="200"/>
      <c r="AF844" s="200"/>
      <c r="AG844" s="200"/>
      <c r="AH844" s="200"/>
      <c r="AI844" s="200"/>
      <c r="AJ844" s="200"/>
      <c r="AK844" s="200"/>
      <c r="AL844" s="200"/>
      <c r="AM844" s="200"/>
      <c r="AN844" s="200"/>
      <c r="AO844" s="200"/>
      <c r="AP844" s="200"/>
      <c r="AQ844" s="200"/>
      <c r="AR844" s="200"/>
      <c r="AS844" s="200"/>
      <c r="AT844" s="200"/>
      <c r="AU844" s="200"/>
      <c r="AV844" s="200"/>
      <c r="AW844" s="200"/>
      <c r="AX844" s="200"/>
      <c r="AY844" s="200"/>
      <c r="AZ844" s="200"/>
      <c r="BA844" s="200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spans="1:70" ht="13.8">
      <c r="A845" s="1"/>
      <c r="B845" s="1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  <c r="AB845" s="200"/>
      <c r="AC845" s="200"/>
      <c r="AD845" s="200"/>
      <c r="AE845" s="200"/>
      <c r="AF845" s="200"/>
      <c r="AG845" s="200"/>
      <c r="AH845" s="200"/>
      <c r="AI845" s="200"/>
      <c r="AJ845" s="200"/>
      <c r="AK845" s="200"/>
      <c r="AL845" s="200"/>
      <c r="AM845" s="200"/>
      <c r="AN845" s="200"/>
      <c r="AO845" s="200"/>
      <c r="AP845" s="200"/>
      <c r="AQ845" s="200"/>
      <c r="AR845" s="200"/>
      <c r="AS845" s="200"/>
      <c r="AT845" s="200"/>
      <c r="AU845" s="200"/>
      <c r="AV845" s="200"/>
      <c r="AW845" s="200"/>
      <c r="AX845" s="200"/>
      <c r="AY845" s="200"/>
      <c r="AZ845" s="200"/>
      <c r="BA845" s="200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spans="1:70" ht="13.8">
      <c r="A846" s="1"/>
      <c r="B846" s="1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  <c r="AB846" s="200"/>
      <c r="AC846" s="200"/>
      <c r="AD846" s="200"/>
      <c r="AE846" s="200"/>
      <c r="AF846" s="200"/>
      <c r="AG846" s="200"/>
      <c r="AH846" s="200"/>
      <c r="AI846" s="200"/>
      <c r="AJ846" s="200"/>
      <c r="AK846" s="200"/>
      <c r="AL846" s="200"/>
      <c r="AM846" s="200"/>
      <c r="AN846" s="200"/>
      <c r="AO846" s="200"/>
      <c r="AP846" s="200"/>
      <c r="AQ846" s="200"/>
      <c r="AR846" s="200"/>
      <c r="AS846" s="200"/>
      <c r="AT846" s="200"/>
      <c r="AU846" s="200"/>
      <c r="AV846" s="200"/>
      <c r="AW846" s="200"/>
      <c r="AX846" s="200"/>
      <c r="AY846" s="200"/>
      <c r="AZ846" s="200"/>
      <c r="BA846" s="200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spans="1:70" ht="13.8">
      <c r="A847" s="1"/>
      <c r="B847" s="1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  <c r="AB847" s="200"/>
      <c r="AC847" s="200"/>
      <c r="AD847" s="200"/>
      <c r="AE847" s="200"/>
      <c r="AF847" s="200"/>
      <c r="AG847" s="200"/>
      <c r="AH847" s="200"/>
      <c r="AI847" s="200"/>
      <c r="AJ847" s="200"/>
      <c r="AK847" s="200"/>
      <c r="AL847" s="200"/>
      <c r="AM847" s="200"/>
      <c r="AN847" s="200"/>
      <c r="AO847" s="200"/>
      <c r="AP847" s="200"/>
      <c r="AQ847" s="200"/>
      <c r="AR847" s="200"/>
      <c r="AS847" s="200"/>
      <c r="AT847" s="200"/>
      <c r="AU847" s="200"/>
      <c r="AV847" s="200"/>
      <c r="AW847" s="200"/>
      <c r="AX847" s="200"/>
      <c r="AY847" s="200"/>
      <c r="AZ847" s="200"/>
      <c r="BA847" s="200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spans="1:70" ht="13.8">
      <c r="A848" s="1"/>
      <c r="B848" s="1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  <c r="AB848" s="200"/>
      <c r="AC848" s="200"/>
      <c r="AD848" s="200"/>
      <c r="AE848" s="200"/>
      <c r="AF848" s="200"/>
      <c r="AG848" s="200"/>
      <c r="AH848" s="200"/>
      <c r="AI848" s="200"/>
      <c r="AJ848" s="200"/>
      <c r="AK848" s="200"/>
      <c r="AL848" s="200"/>
      <c r="AM848" s="200"/>
      <c r="AN848" s="200"/>
      <c r="AO848" s="200"/>
      <c r="AP848" s="200"/>
      <c r="AQ848" s="200"/>
      <c r="AR848" s="200"/>
      <c r="AS848" s="200"/>
      <c r="AT848" s="200"/>
      <c r="AU848" s="200"/>
      <c r="AV848" s="200"/>
      <c r="AW848" s="200"/>
      <c r="AX848" s="200"/>
      <c r="AY848" s="200"/>
      <c r="AZ848" s="200"/>
      <c r="BA848" s="200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spans="1:70" ht="13.8">
      <c r="A849" s="1"/>
      <c r="B849" s="1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  <c r="AB849" s="200"/>
      <c r="AC849" s="200"/>
      <c r="AD849" s="200"/>
      <c r="AE849" s="200"/>
      <c r="AF849" s="200"/>
      <c r="AG849" s="200"/>
      <c r="AH849" s="200"/>
      <c r="AI849" s="200"/>
      <c r="AJ849" s="200"/>
      <c r="AK849" s="200"/>
      <c r="AL849" s="200"/>
      <c r="AM849" s="200"/>
      <c r="AN849" s="200"/>
      <c r="AO849" s="200"/>
      <c r="AP849" s="200"/>
      <c r="AQ849" s="200"/>
      <c r="AR849" s="200"/>
      <c r="AS849" s="200"/>
      <c r="AT849" s="200"/>
      <c r="AU849" s="200"/>
      <c r="AV849" s="200"/>
      <c r="AW849" s="200"/>
      <c r="AX849" s="200"/>
      <c r="AY849" s="200"/>
      <c r="AZ849" s="200"/>
      <c r="BA849" s="200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spans="1:70" ht="13.8">
      <c r="A850" s="1"/>
      <c r="B850" s="1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  <c r="AB850" s="200"/>
      <c r="AC850" s="200"/>
      <c r="AD850" s="200"/>
      <c r="AE850" s="200"/>
      <c r="AF850" s="200"/>
      <c r="AG850" s="200"/>
      <c r="AH850" s="200"/>
      <c r="AI850" s="200"/>
      <c r="AJ850" s="200"/>
      <c r="AK850" s="200"/>
      <c r="AL850" s="200"/>
      <c r="AM850" s="200"/>
      <c r="AN850" s="200"/>
      <c r="AO850" s="200"/>
      <c r="AP850" s="200"/>
      <c r="AQ850" s="200"/>
      <c r="AR850" s="200"/>
      <c r="AS850" s="200"/>
      <c r="AT850" s="200"/>
      <c r="AU850" s="200"/>
      <c r="AV850" s="200"/>
      <c r="AW850" s="200"/>
      <c r="AX850" s="200"/>
      <c r="AY850" s="200"/>
      <c r="AZ850" s="200"/>
      <c r="BA850" s="200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spans="1:70" ht="13.8">
      <c r="A851" s="1"/>
      <c r="B851" s="1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  <c r="AB851" s="200"/>
      <c r="AC851" s="200"/>
      <c r="AD851" s="200"/>
      <c r="AE851" s="200"/>
      <c r="AF851" s="200"/>
      <c r="AG851" s="200"/>
      <c r="AH851" s="200"/>
      <c r="AI851" s="200"/>
      <c r="AJ851" s="200"/>
      <c r="AK851" s="200"/>
      <c r="AL851" s="200"/>
      <c r="AM851" s="200"/>
      <c r="AN851" s="200"/>
      <c r="AO851" s="200"/>
      <c r="AP851" s="200"/>
      <c r="AQ851" s="200"/>
      <c r="AR851" s="200"/>
      <c r="AS851" s="200"/>
      <c r="AT851" s="200"/>
      <c r="AU851" s="200"/>
      <c r="AV851" s="200"/>
      <c r="AW851" s="200"/>
      <c r="AX851" s="200"/>
      <c r="AY851" s="200"/>
      <c r="AZ851" s="200"/>
      <c r="BA851" s="200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spans="1:70" ht="13.8">
      <c r="A852" s="1"/>
      <c r="B852" s="1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  <c r="AB852" s="200"/>
      <c r="AC852" s="200"/>
      <c r="AD852" s="200"/>
      <c r="AE852" s="200"/>
      <c r="AF852" s="200"/>
      <c r="AG852" s="200"/>
      <c r="AH852" s="200"/>
      <c r="AI852" s="200"/>
      <c r="AJ852" s="200"/>
      <c r="AK852" s="200"/>
      <c r="AL852" s="200"/>
      <c r="AM852" s="200"/>
      <c r="AN852" s="200"/>
      <c r="AO852" s="200"/>
      <c r="AP852" s="200"/>
      <c r="AQ852" s="200"/>
      <c r="AR852" s="200"/>
      <c r="AS852" s="200"/>
      <c r="AT852" s="200"/>
      <c r="AU852" s="200"/>
      <c r="AV852" s="200"/>
      <c r="AW852" s="200"/>
      <c r="AX852" s="200"/>
      <c r="AY852" s="200"/>
      <c r="AZ852" s="200"/>
      <c r="BA852" s="200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spans="1:70" ht="13.8">
      <c r="A853" s="1"/>
      <c r="B853" s="1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  <c r="AB853" s="200"/>
      <c r="AC853" s="200"/>
      <c r="AD853" s="200"/>
      <c r="AE853" s="200"/>
      <c r="AF853" s="200"/>
      <c r="AG853" s="200"/>
      <c r="AH853" s="200"/>
      <c r="AI853" s="200"/>
      <c r="AJ853" s="200"/>
      <c r="AK853" s="200"/>
      <c r="AL853" s="200"/>
      <c r="AM853" s="200"/>
      <c r="AN853" s="200"/>
      <c r="AO853" s="200"/>
      <c r="AP853" s="200"/>
      <c r="AQ853" s="200"/>
      <c r="AR853" s="200"/>
      <c r="AS853" s="200"/>
      <c r="AT853" s="200"/>
      <c r="AU853" s="200"/>
      <c r="AV853" s="200"/>
      <c r="AW853" s="200"/>
      <c r="AX853" s="200"/>
      <c r="AY853" s="200"/>
      <c r="AZ853" s="200"/>
      <c r="BA853" s="200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spans="1:70" ht="13.8">
      <c r="A854" s="1"/>
      <c r="B854" s="1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  <c r="AB854" s="200"/>
      <c r="AC854" s="200"/>
      <c r="AD854" s="200"/>
      <c r="AE854" s="200"/>
      <c r="AF854" s="200"/>
      <c r="AG854" s="200"/>
      <c r="AH854" s="200"/>
      <c r="AI854" s="200"/>
      <c r="AJ854" s="200"/>
      <c r="AK854" s="200"/>
      <c r="AL854" s="200"/>
      <c r="AM854" s="200"/>
      <c r="AN854" s="200"/>
      <c r="AO854" s="200"/>
      <c r="AP854" s="200"/>
      <c r="AQ854" s="200"/>
      <c r="AR854" s="200"/>
      <c r="AS854" s="200"/>
      <c r="AT854" s="200"/>
      <c r="AU854" s="200"/>
      <c r="AV854" s="200"/>
      <c r="AW854" s="200"/>
      <c r="AX854" s="200"/>
      <c r="AY854" s="200"/>
      <c r="AZ854" s="200"/>
      <c r="BA854" s="200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spans="1:70" ht="13.8">
      <c r="A855" s="1"/>
      <c r="B855" s="1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  <c r="AH855" s="200"/>
      <c r="AI855" s="200"/>
      <c r="AJ855" s="200"/>
      <c r="AK855" s="200"/>
      <c r="AL855" s="200"/>
      <c r="AM855" s="200"/>
      <c r="AN855" s="200"/>
      <c r="AO855" s="200"/>
      <c r="AP855" s="200"/>
      <c r="AQ855" s="200"/>
      <c r="AR855" s="200"/>
      <c r="AS855" s="200"/>
      <c r="AT855" s="200"/>
      <c r="AU855" s="200"/>
      <c r="AV855" s="200"/>
      <c r="AW855" s="200"/>
      <c r="AX855" s="200"/>
      <c r="AY855" s="200"/>
      <c r="AZ855" s="200"/>
      <c r="BA855" s="200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spans="1:70" ht="13.8">
      <c r="A856" s="1"/>
      <c r="B856" s="1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  <c r="AB856" s="200"/>
      <c r="AC856" s="200"/>
      <c r="AD856" s="200"/>
      <c r="AE856" s="200"/>
      <c r="AF856" s="200"/>
      <c r="AG856" s="200"/>
      <c r="AH856" s="200"/>
      <c r="AI856" s="200"/>
      <c r="AJ856" s="200"/>
      <c r="AK856" s="200"/>
      <c r="AL856" s="200"/>
      <c r="AM856" s="200"/>
      <c r="AN856" s="200"/>
      <c r="AO856" s="200"/>
      <c r="AP856" s="200"/>
      <c r="AQ856" s="200"/>
      <c r="AR856" s="200"/>
      <c r="AS856" s="200"/>
      <c r="AT856" s="200"/>
      <c r="AU856" s="200"/>
      <c r="AV856" s="200"/>
      <c r="AW856" s="200"/>
      <c r="AX856" s="200"/>
      <c r="AY856" s="200"/>
      <c r="AZ856" s="200"/>
      <c r="BA856" s="200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spans="1:70" ht="13.8">
      <c r="A857" s="1"/>
      <c r="B857" s="1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  <c r="AB857" s="200"/>
      <c r="AC857" s="200"/>
      <c r="AD857" s="200"/>
      <c r="AE857" s="200"/>
      <c r="AF857" s="200"/>
      <c r="AG857" s="200"/>
      <c r="AH857" s="200"/>
      <c r="AI857" s="200"/>
      <c r="AJ857" s="200"/>
      <c r="AK857" s="200"/>
      <c r="AL857" s="200"/>
      <c r="AM857" s="200"/>
      <c r="AN857" s="200"/>
      <c r="AO857" s="200"/>
      <c r="AP857" s="200"/>
      <c r="AQ857" s="200"/>
      <c r="AR857" s="200"/>
      <c r="AS857" s="200"/>
      <c r="AT857" s="200"/>
      <c r="AU857" s="200"/>
      <c r="AV857" s="200"/>
      <c r="AW857" s="200"/>
      <c r="AX857" s="200"/>
      <c r="AY857" s="200"/>
      <c r="AZ857" s="200"/>
      <c r="BA857" s="200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spans="1:70" ht="13.8">
      <c r="A858" s="1"/>
      <c r="B858" s="1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  <c r="AB858" s="200"/>
      <c r="AC858" s="200"/>
      <c r="AD858" s="200"/>
      <c r="AE858" s="200"/>
      <c r="AF858" s="200"/>
      <c r="AG858" s="200"/>
      <c r="AH858" s="200"/>
      <c r="AI858" s="200"/>
      <c r="AJ858" s="200"/>
      <c r="AK858" s="200"/>
      <c r="AL858" s="200"/>
      <c r="AM858" s="200"/>
      <c r="AN858" s="200"/>
      <c r="AO858" s="200"/>
      <c r="AP858" s="200"/>
      <c r="AQ858" s="200"/>
      <c r="AR858" s="200"/>
      <c r="AS858" s="200"/>
      <c r="AT858" s="200"/>
      <c r="AU858" s="200"/>
      <c r="AV858" s="200"/>
      <c r="AW858" s="200"/>
      <c r="AX858" s="200"/>
      <c r="AY858" s="200"/>
      <c r="AZ858" s="200"/>
      <c r="BA858" s="200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spans="1:70" ht="13.8">
      <c r="A859" s="1"/>
      <c r="B859" s="1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  <c r="AB859" s="200"/>
      <c r="AC859" s="200"/>
      <c r="AD859" s="200"/>
      <c r="AE859" s="200"/>
      <c r="AF859" s="200"/>
      <c r="AG859" s="200"/>
      <c r="AH859" s="200"/>
      <c r="AI859" s="200"/>
      <c r="AJ859" s="200"/>
      <c r="AK859" s="200"/>
      <c r="AL859" s="200"/>
      <c r="AM859" s="200"/>
      <c r="AN859" s="200"/>
      <c r="AO859" s="200"/>
      <c r="AP859" s="200"/>
      <c r="AQ859" s="200"/>
      <c r="AR859" s="200"/>
      <c r="AS859" s="200"/>
      <c r="AT859" s="200"/>
      <c r="AU859" s="200"/>
      <c r="AV859" s="200"/>
      <c r="AW859" s="200"/>
      <c r="AX859" s="200"/>
      <c r="AY859" s="200"/>
      <c r="AZ859" s="200"/>
      <c r="BA859" s="200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spans="1:70" ht="13.8">
      <c r="A860" s="1"/>
      <c r="B860" s="1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  <c r="AB860" s="200"/>
      <c r="AC860" s="200"/>
      <c r="AD860" s="200"/>
      <c r="AE860" s="200"/>
      <c r="AF860" s="200"/>
      <c r="AG860" s="200"/>
      <c r="AH860" s="200"/>
      <c r="AI860" s="200"/>
      <c r="AJ860" s="200"/>
      <c r="AK860" s="200"/>
      <c r="AL860" s="200"/>
      <c r="AM860" s="200"/>
      <c r="AN860" s="200"/>
      <c r="AO860" s="200"/>
      <c r="AP860" s="200"/>
      <c r="AQ860" s="200"/>
      <c r="AR860" s="200"/>
      <c r="AS860" s="200"/>
      <c r="AT860" s="200"/>
      <c r="AU860" s="200"/>
      <c r="AV860" s="200"/>
      <c r="AW860" s="200"/>
      <c r="AX860" s="200"/>
      <c r="AY860" s="200"/>
      <c r="AZ860" s="200"/>
      <c r="BA860" s="200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spans="1:70" ht="13.8">
      <c r="A861" s="1"/>
      <c r="B861" s="1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  <c r="AH861" s="200"/>
      <c r="AI861" s="200"/>
      <c r="AJ861" s="200"/>
      <c r="AK861" s="200"/>
      <c r="AL861" s="200"/>
      <c r="AM861" s="200"/>
      <c r="AN861" s="200"/>
      <c r="AO861" s="200"/>
      <c r="AP861" s="200"/>
      <c r="AQ861" s="200"/>
      <c r="AR861" s="200"/>
      <c r="AS861" s="200"/>
      <c r="AT861" s="200"/>
      <c r="AU861" s="200"/>
      <c r="AV861" s="200"/>
      <c r="AW861" s="200"/>
      <c r="AX861" s="200"/>
      <c r="AY861" s="200"/>
      <c r="AZ861" s="200"/>
      <c r="BA861" s="200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spans="1:70" ht="13.8">
      <c r="A862" s="1"/>
      <c r="B862" s="1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  <c r="AB862" s="200"/>
      <c r="AC862" s="200"/>
      <c r="AD862" s="200"/>
      <c r="AE862" s="200"/>
      <c r="AF862" s="200"/>
      <c r="AG862" s="200"/>
      <c r="AH862" s="200"/>
      <c r="AI862" s="200"/>
      <c r="AJ862" s="200"/>
      <c r="AK862" s="200"/>
      <c r="AL862" s="200"/>
      <c r="AM862" s="200"/>
      <c r="AN862" s="200"/>
      <c r="AO862" s="200"/>
      <c r="AP862" s="200"/>
      <c r="AQ862" s="200"/>
      <c r="AR862" s="200"/>
      <c r="AS862" s="200"/>
      <c r="AT862" s="200"/>
      <c r="AU862" s="200"/>
      <c r="AV862" s="200"/>
      <c r="AW862" s="200"/>
      <c r="AX862" s="200"/>
      <c r="AY862" s="200"/>
      <c r="AZ862" s="200"/>
      <c r="BA862" s="200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spans="1:70" ht="13.8">
      <c r="A863" s="1"/>
      <c r="B863" s="1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  <c r="AB863" s="200"/>
      <c r="AC863" s="200"/>
      <c r="AD863" s="200"/>
      <c r="AE863" s="200"/>
      <c r="AF863" s="200"/>
      <c r="AG863" s="200"/>
      <c r="AH863" s="200"/>
      <c r="AI863" s="200"/>
      <c r="AJ863" s="200"/>
      <c r="AK863" s="200"/>
      <c r="AL863" s="200"/>
      <c r="AM863" s="200"/>
      <c r="AN863" s="200"/>
      <c r="AO863" s="200"/>
      <c r="AP863" s="200"/>
      <c r="AQ863" s="200"/>
      <c r="AR863" s="200"/>
      <c r="AS863" s="200"/>
      <c r="AT863" s="200"/>
      <c r="AU863" s="200"/>
      <c r="AV863" s="200"/>
      <c r="AW863" s="200"/>
      <c r="AX863" s="200"/>
      <c r="AY863" s="200"/>
      <c r="AZ863" s="200"/>
      <c r="BA863" s="200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spans="1:70" ht="13.8">
      <c r="A864" s="1"/>
      <c r="B864" s="1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  <c r="AB864" s="200"/>
      <c r="AC864" s="200"/>
      <c r="AD864" s="200"/>
      <c r="AE864" s="200"/>
      <c r="AF864" s="200"/>
      <c r="AG864" s="200"/>
      <c r="AH864" s="200"/>
      <c r="AI864" s="200"/>
      <c r="AJ864" s="200"/>
      <c r="AK864" s="200"/>
      <c r="AL864" s="200"/>
      <c r="AM864" s="200"/>
      <c r="AN864" s="200"/>
      <c r="AO864" s="200"/>
      <c r="AP864" s="200"/>
      <c r="AQ864" s="200"/>
      <c r="AR864" s="200"/>
      <c r="AS864" s="200"/>
      <c r="AT864" s="200"/>
      <c r="AU864" s="200"/>
      <c r="AV864" s="200"/>
      <c r="AW864" s="200"/>
      <c r="AX864" s="200"/>
      <c r="AY864" s="200"/>
      <c r="AZ864" s="200"/>
      <c r="BA864" s="200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spans="1:70" ht="13.8">
      <c r="A865" s="1"/>
      <c r="B865" s="1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  <c r="AB865" s="200"/>
      <c r="AC865" s="200"/>
      <c r="AD865" s="200"/>
      <c r="AE865" s="200"/>
      <c r="AF865" s="200"/>
      <c r="AG865" s="200"/>
      <c r="AH865" s="200"/>
      <c r="AI865" s="200"/>
      <c r="AJ865" s="200"/>
      <c r="AK865" s="200"/>
      <c r="AL865" s="200"/>
      <c r="AM865" s="200"/>
      <c r="AN865" s="200"/>
      <c r="AO865" s="200"/>
      <c r="AP865" s="200"/>
      <c r="AQ865" s="200"/>
      <c r="AR865" s="200"/>
      <c r="AS865" s="200"/>
      <c r="AT865" s="200"/>
      <c r="AU865" s="200"/>
      <c r="AV865" s="200"/>
      <c r="AW865" s="200"/>
      <c r="AX865" s="200"/>
      <c r="AY865" s="200"/>
      <c r="AZ865" s="200"/>
      <c r="BA865" s="200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spans="1:70" ht="13.8">
      <c r="A866" s="1"/>
      <c r="B866" s="1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0"/>
      <c r="AK866" s="200"/>
      <c r="AL866" s="200"/>
      <c r="AM866" s="200"/>
      <c r="AN866" s="200"/>
      <c r="AO866" s="200"/>
      <c r="AP866" s="200"/>
      <c r="AQ866" s="200"/>
      <c r="AR866" s="200"/>
      <c r="AS866" s="200"/>
      <c r="AT866" s="200"/>
      <c r="AU866" s="200"/>
      <c r="AV866" s="200"/>
      <c r="AW866" s="200"/>
      <c r="AX866" s="200"/>
      <c r="AY866" s="200"/>
      <c r="AZ866" s="200"/>
      <c r="BA866" s="200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spans="1:70" ht="13.8">
      <c r="A867" s="1"/>
      <c r="B867" s="1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  <c r="AB867" s="200"/>
      <c r="AC867" s="200"/>
      <c r="AD867" s="200"/>
      <c r="AE867" s="200"/>
      <c r="AF867" s="200"/>
      <c r="AG867" s="200"/>
      <c r="AH867" s="200"/>
      <c r="AI867" s="200"/>
      <c r="AJ867" s="200"/>
      <c r="AK867" s="200"/>
      <c r="AL867" s="200"/>
      <c r="AM867" s="200"/>
      <c r="AN867" s="200"/>
      <c r="AO867" s="200"/>
      <c r="AP867" s="200"/>
      <c r="AQ867" s="200"/>
      <c r="AR867" s="200"/>
      <c r="AS867" s="200"/>
      <c r="AT867" s="200"/>
      <c r="AU867" s="200"/>
      <c r="AV867" s="200"/>
      <c r="AW867" s="200"/>
      <c r="AX867" s="200"/>
      <c r="AY867" s="200"/>
      <c r="AZ867" s="200"/>
      <c r="BA867" s="200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spans="1:70" ht="13.8">
      <c r="A868" s="1"/>
      <c r="B868" s="1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  <c r="AB868" s="200"/>
      <c r="AC868" s="200"/>
      <c r="AD868" s="200"/>
      <c r="AE868" s="200"/>
      <c r="AF868" s="200"/>
      <c r="AG868" s="200"/>
      <c r="AH868" s="200"/>
      <c r="AI868" s="200"/>
      <c r="AJ868" s="200"/>
      <c r="AK868" s="200"/>
      <c r="AL868" s="200"/>
      <c r="AM868" s="200"/>
      <c r="AN868" s="200"/>
      <c r="AO868" s="200"/>
      <c r="AP868" s="200"/>
      <c r="AQ868" s="200"/>
      <c r="AR868" s="200"/>
      <c r="AS868" s="200"/>
      <c r="AT868" s="200"/>
      <c r="AU868" s="200"/>
      <c r="AV868" s="200"/>
      <c r="AW868" s="200"/>
      <c r="AX868" s="200"/>
      <c r="AY868" s="200"/>
      <c r="AZ868" s="200"/>
      <c r="BA868" s="200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spans="1:70" ht="13.8">
      <c r="A869" s="1"/>
      <c r="B869" s="1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  <c r="AB869" s="200"/>
      <c r="AC869" s="200"/>
      <c r="AD869" s="200"/>
      <c r="AE869" s="200"/>
      <c r="AF869" s="200"/>
      <c r="AG869" s="200"/>
      <c r="AH869" s="200"/>
      <c r="AI869" s="200"/>
      <c r="AJ869" s="200"/>
      <c r="AK869" s="200"/>
      <c r="AL869" s="200"/>
      <c r="AM869" s="200"/>
      <c r="AN869" s="200"/>
      <c r="AO869" s="200"/>
      <c r="AP869" s="200"/>
      <c r="AQ869" s="200"/>
      <c r="AR869" s="200"/>
      <c r="AS869" s="200"/>
      <c r="AT869" s="200"/>
      <c r="AU869" s="200"/>
      <c r="AV869" s="200"/>
      <c r="AW869" s="200"/>
      <c r="AX869" s="200"/>
      <c r="AY869" s="200"/>
      <c r="AZ869" s="200"/>
      <c r="BA869" s="200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spans="1:70" ht="13.8">
      <c r="A870" s="1"/>
      <c r="B870" s="1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  <c r="AB870" s="200"/>
      <c r="AC870" s="200"/>
      <c r="AD870" s="200"/>
      <c r="AE870" s="200"/>
      <c r="AF870" s="200"/>
      <c r="AG870" s="200"/>
      <c r="AH870" s="200"/>
      <c r="AI870" s="200"/>
      <c r="AJ870" s="200"/>
      <c r="AK870" s="200"/>
      <c r="AL870" s="200"/>
      <c r="AM870" s="200"/>
      <c r="AN870" s="200"/>
      <c r="AO870" s="200"/>
      <c r="AP870" s="200"/>
      <c r="AQ870" s="200"/>
      <c r="AR870" s="200"/>
      <c r="AS870" s="200"/>
      <c r="AT870" s="200"/>
      <c r="AU870" s="200"/>
      <c r="AV870" s="200"/>
      <c r="AW870" s="200"/>
      <c r="AX870" s="200"/>
      <c r="AY870" s="200"/>
      <c r="AZ870" s="200"/>
      <c r="BA870" s="200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spans="1:70" ht="13.8">
      <c r="A871" s="1"/>
      <c r="B871" s="1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  <c r="AB871" s="200"/>
      <c r="AC871" s="200"/>
      <c r="AD871" s="200"/>
      <c r="AE871" s="200"/>
      <c r="AF871" s="200"/>
      <c r="AG871" s="200"/>
      <c r="AH871" s="200"/>
      <c r="AI871" s="200"/>
      <c r="AJ871" s="200"/>
      <c r="AK871" s="200"/>
      <c r="AL871" s="200"/>
      <c r="AM871" s="200"/>
      <c r="AN871" s="200"/>
      <c r="AO871" s="200"/>
      <c r="AP871" s="200"/>
      <c r="AQ871" s="200"/>
      <c r="AR871" s="200"/>
      <c r="AS871" s="200"/>
      <c r="AT871" s="200"/>
      <c r="AU871" s="200"/>
      <c r="AV871" s="200"/>
      <c r="AW871" s="200"/>
      <c r="AX871" s="200"/>
      <c r="AY871" s="200"/>
      <c r="AZ871" s="200"/>
      <c r="BA871" s="200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spans="1:70" ht="13.8">
      <c r="A872" s="1"/>
      <c r="B872" s="1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  <c r="AH872" s="200"/>
      <c r="AI872" s="200"/>
      <c r="AJ872" s="200"/>
      <c r="AK872" s="200"/>
      <c r="AL872" s="200"/>
      <c r="AM872" s="200"/>
      <c r="AN872" s="200"/>
      <c r="AO872" s="200"/>
      <c r="AP872" s="200"/>
      <c r="AQ872" s="200"/>
      <c r="AR872" s="200"/>
      <c r="AS872" s="200"/>
      <c r="AT872" s="200"/>
      <c r="AU872" s="200"/>
      <c r="AV872" s="200"/>
      <c r="AW872" s="200"/>
      <c r="AX872" s="200"/>
      <c r="AY872" s="200"/>
      <c r="AZ872" s="200"/>
      <c r="BA872" s="200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spans="1:70" ht="13.8">
      <c r="A873" s="1"/>
      <c r="B873" s="1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  <c r="AB873" s="200"/>
      <c r="AC873" s="200"/>
      <c r="AD873" s="200"/>
      <c r="AE873" s="200"/>
      <c r="AF873" s="200"/>
      <c r="AG873" s="200"/>
      <c r="AH873" s="200"/>
      <c r="AI873" s="200"/>
      <c r="AJ873" s="200"/>
      <c r="AK873" s="200"/>
      <c r="AL873" s="200"/>
      <c r="AM873" s="200"/>
      <c r="AN873" s="200"/>
      <c r="AO873" s="200"/>
      <c r="AP873" s="200"/>
      <c r="AQ873" s="200"/>
      <c r="AR873" s="200"/>
      <c r="AS873" s="200"/>
      <c r="AT873" s="200"/>
      <c r="AU873" s="200"/>
      <c r="AV873" s="200"/>
      <c r="AW873" s="200"/>
      <c r="AX873" s="200"/>
      <c r="AY873" s="200"/>
      <c r="AZ873" s="200"/>
      <c r="BA873" s="200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spans="1:70" ht="13.8">
      <c r="A874" s="1"/>
      <c r="B874" s="1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  <c r="AB874" s="200"/>
      <c r="AC874" s="200"/>
      <c r="AD874" s="200"/>
      <c r="AE874" s="200"/>
      <c r="AF874" s="200"/>
      <c r="AG874" s="200"/>
      <c r="AH874" s="200"/>
      <c r="AI874" s="200"/>
      <c r="AJ874" s="200"/>
      <c r="AK874" s="200"/>
      <c r="AL874" s="200"/>
      <c r="AM874" s="200"/>
      <c r="AN874" s="200"/>
      <c r="AO874" s="200"/>
      <c r="AP874" s="200"/>
      <c r="AQ874" s="200"/>
      <c r="AR874" s="200"/>
      <c r="AS874" s="200"/>
      <c r="AT874" s="200"/>
      <c r="AU874" s="200"/>
      <c r="AV874" s="200"/>
      <c r="AW874" s="200"/>
      <c r="AX874" s="200"/>
      <c r="AY874" s="200"/>
      <c r="AZ874" s="200"/>
      <c r="BA874" s="200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spans="1:70" ht="13.8">
      <c r="A875" s="1"/>
      <c r="B875" s="1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  <c r="AB875" s="200"/>
      <c r="AC875" s="200"/>
      <c r="AD875" s="200"/>
      <c r="AE875" s="200"/>
      <c r="AF875" s="200"/>
      <c r="AG875" s="200"/>
      <c r="AH875" s="200"/>
      <c r="AI875" s="200"/>
      <c r="AJ875" s="200"/>
      <c r="AK875" s="200"/>
      <c r="AL875" s="200"/>
      <c r="AM875" s="200"/>
      <c r="AN875" s="200"/>
      <c r="AO875" s="200"/>
      <c r="AP875" s="200"/>
      <c r="AQ875" s="200"/>
      <c r="AR875" s="200"/>
      <c r="AS875" s="200"/>
      <c r="AT875" s="200"/>
      <c r="AU875" s="200"/>
      <c r="AV875" s="200"/>
      <c r="AW875" s="200"/>
      <c r="AX875" s="200"/>
      <c r="AY875" s="200"/>
      <c r="AZ875" s="200"/>
      <c r="BA875" s="200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spans="1:70" ht="13.8">
      <c r="A876" s="1"/>
      <c r="B876" s="1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  <c r="AB876" s="200"/>
      <c r="AC876" s="200"/>
      <c r="AD876" s="200"/>
      <c r="AE876" s="200"/>
      <c r="AF876" s="200"/>
      <c r="AG876" s="200"/>
      <c r="AH876" s="200"/>
      <c r="AI876" s="200"/>
      <c r="AJ876" s="200"/>
      <c r="AK876" s="200"/>
      <c r="AL876" s="200"/>
      <c r="AM876" s="200"/>
      <c r="AN876" s="200"/>
      <c r="AO876" s="200"/>
      <c r="AP876" s="200"/>
      <c r="AQ876" s="200"/>
      <c r="AR876" s="200"/>
      <c r="AS876" s="200"/>
      <c r="AT876" s="200"/>
      <c r="AU876" s="200"/>
      <c r="AV876" s="200"/>
      <c r="AW876" s="200"/>
      <c r="AX876" s="200"/>
      <c r="AY876" s="200"/>
      <c r="AZ876" s="200"/>
      <c r="BA876" s="200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spans="1:70" ht="13.8">
      <c r="A877" s="1"/>
      <c r="B877" s="1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  <c r="AH877" s="200"/>
      <c r="AI877" s="200"/>
      <c r="AJ877" s="200"/>
      <c r="AK877" s="200"/>
      <c r="AL877" s="200"/>
      <c r="AM877" s="200"/>
      <c r="AN877" s="200"/>
      <c r="AO877" s="200"/>
      <c r="AP877" s="200"/>
      <c r="AQ877" s="200"/>
      <c r="AR877" s="200"/>
      <c r="AS877" s="200"/>
      <c r="AT877" s="200"/>
      <c r="AU877" s="200"/>
      <c r="AV877" s="200"/>
      <c r="AW877" s="200"/>
      <c r="AX877" s="200"/>
      <c r="AY877" s="200"/>
      <c r="AZ877" s="200"/>
      <c r="BA877" s="200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spans="1:70" ht="13.8">
      <c r="A878" s="1"/>
      <c r="B878" s="1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  <c r="AB878" s="200"/>
      <c r="AC878" s="200"/>
      <c r="AD878" s="200"/>
      <c r="AE878" s="200"/>
      <c r="AF878" s="200"/>
      <c r="AG878" s="200"/>
      <c r="AH878" s="200"/>
      <c r="AI878" s="200"/>
      <c r="AJ878" s="200"/>
      <c r="AK878" s="200"/>
      <c r="AL878" s="200"/>
      <c r="AM878" s="200"/>
      <c r="AN878" s="200"/>
      <c r="AO878" s="200"/>
      <c r="AP878" s="200"/>
      <c r="AQ878" s="200"/>
      <c r="AR878" s="200"/>
      <c r="AS878" s="200"/>
      <c r="AT878" s="200"/>
      <c r="AU878" s="200"/>
      <c r="AV878" s="200"/>
      <c r="AW878" s="200"/>
      <c r="AX878" s="200"/>
      <c r="AY878" s="200"/>
      <c r="AZ878" s="200"/>
      <c r="BA878" s="200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spans="1:70" ht="13.8">
      <c r="A879" s="1"/>
      <c r="B879" s="1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  <c r="AB879" s="200"/>
      <c r="AC879" s="200"/>
      <c r="AD879" s="200"/>
      <c r="AE879" s="200"/>
      <c r="AF879" s="200"/>
      <c r="AG879" s="200"/>
      <c r="AH879" s="200"/>
      <c r="AI879" s="200"/>
      <c r="AJ879" s="200"/>
      <c r="AK879" s="200"/>
      <c r="AL879" s="200"/>
      <c r="AM879" s="200"/>
      <c r="AN879" s="200"/>
      <c r="AO879" s="200"/>
      <c r="AP879" s="200"/>
      <c r="AQ879" s="200"/>
      <c r="AR879" s="200"/>
      <c r="AS879" s="200"/>
      <c r="AT879" s="200"/>
      <c r="AU879" s="200"/>
      <c r="AV879" s="200"/>
      <c r="AW879" s="200"/>
      <c r="AX879" s="200"/>
      <c r="AY879" s="200"/>
      <c r="AZ879" s="200"/>
      <c r="BA879" s="200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spans="1:70" ht="13.8">
      <c r="A880" s="1"/>
      <c r="B880" s="1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  <c r="AB880" s="200"/>
      <c r="AC880" s="200"/>
      <c r="AD880" s="200"/>
      <c r="AE880" s="200"/>
      <c r="AF880" s="200"/>
      <c r="AG880" s="200"/>
      <c r="AH880" s="200"/>
      <c r="AI880" s="200"/>
      <c r="AJ880" s="200"/>
      <c r="AK880" s="200"/>
      <c r="AL880" s="200"/>
      <c r="AM880" s="200"/>
      <c r="AN880" s="200"/>
      <c r="AO880" s="200"/>
      <c r="AP880" s="200"/>
      <c r="AQ880" s="200"/>
      <c r="AR880" s="200"/>
      <c r="AS880" s="200"/>
      <c r="AT880" s="200"/>
      <c r="AU880" s="200"/>
      <c r="AV880" s="200"/>
      <c r="AW880" s="200"/>
      <c r="AX880" s="200"/>
      <c r="AY880" s="200"/>
      <c r="AZ880" s="200"/>
      <c r="BA880" s="200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spans="1:70" ht="13.8">
      <c r="A881" s="1"/>
      <c r="B881" s="1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  <c r="AB881" s="200"/>
      <c r="AC881" s="200"/>
      <c r="AD881" s="200"/>
      <c r="AE881" s="200"/>
      <c r="AF881" s="200"/>
      <c r="AG881" s="200"/>
      <c r="AH881" s="200"/>
      <c r="AI881" s="200"/>
      <c r="AJ881" s="200"/>
      <c r="AK881" s="200"/>
      <c r="AL881" s="200"/>
      <c r="AM881" s="200"/>
      <c r="AN881" s="200"/>
      <c r="AO881" s="200"/>
      <c r="AP881" s="200"/>
      <c r="AQ881" s="200"/>
      <c r="AR881" s="200"/>
      <c r="AS881" s="200"/>
      <c r="AT881" s="200"/>
      <c r="AU881" s="200"/>
      <c r="AV881" s="200"/>
      <c r="AW881" s="200"/>
      <c r="AX881" s="200"/>
      <c r="AY881" s="200"/>
      <c r="AZ881" s="200"/>
      <c r="BA881" s="200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spans="1:70" ht="13.8">
      <c r="A882" s="1"/>
      <c r="B882" s="1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  <c r="AB882" s="200"/>
      <c r="AC882" s="200"/>
      <c r="AD882" s="200"/>
      <c r="AE882" s="200"/>
      <c r="AF882" s="200"/>
      <c r="AG882" s="200"/>
      <c r="AH882" s="200"/>
      <c r="AI882" s="200"/>
      <c r="AJ882" s="200"/>
      <c r="AK882" s="200"/>
      <c r="AL882" s="200"/>
      <c r="AM882" s="200"/>
      <c r="AN882" s="200"/>
      <c r="AO882" s="200"/>
      <c r="AP882" s="200"/>
      <c r="AQ882" s="200"/>
      <c r="AR882" s="200"/>
      <c r="AS882" s="200"/>
      <c r="AT882" s="200"/>
      <c r="AU882" s="200"/>
      <c r="AV882" s="200"/>
      <c r="AW882" s="200"/>
      <c r="AX882" s="200"/>
      <c r="AY882" s="200"/>
      <c r="AZ882" s="200"/>
      <c r="BA882" s="200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spans="1:70" ht="13.8">
      <c r="A883" s="1"/>
      <c r="B883" s="1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0"/>
      <c r="AK883" s="200"/>
      <c r="AL883" s="200"/>
      <c r="AM883" s="200"/>
      <c r="AN883" s="200"/>
      <c r="AO883" s="200"/>
      <c r="AP883" s="200"/>
      <c r="AQ883" s="200"/>
      <c r="AR883" s="200"/>
      <c r="AS883" s="200"/>
      <c r="AT883" s="200"/>
      <c r="AU883" s="200"/>
      <c r="AV883" s="200"/>
      <c r="AW883" s="200"/>
      <c r="AX883" s="200"/>
      <c r="AY883" s="200"/>
      <c r="AZ883" s="200"/>
      <c r="BA883" s="200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spans="1:70" ht="13.8">
      <c r="A884" s="1"/>
      <c r="B884" s="1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  <c r="AB884" s="200"/>
      <c r="AC884" s="200"/>
      <c r="AD884" s="200"/>
      <c r="AE884" s="200"/>
      <c r="AF884" s="200"/>
      <c r="AG884" s="200"/>
      <c r="AH884" s="200"/>
      <c r="AI884" s="200"/>
      <c r="AJ884" s="200"/>
      <c r="AK884" s="200"/>
      <c r="AL884" s="200"/>
      <c r="AM884" s="200"/>
      <c r="AN884" s="200"/>
      <c r="AO884" s="200"/>
      <c r="AP884" s="200"/>
      <c r="AQ884" s="200"/>
      <c r="AR884" s="200"/>
      <c r="AS884" s="200"/>
      <c r="AT884" s="200"/>
      <c r="AU884" s="200"/>
      <c r="AV884" s="200"/>
      <c r="AW884" s="200"/>
      <c r="AX884" s="200"/>
      <c r="AY884" s="200"/>
      <c r="AZ884" s="200"/>
      <c r="BA884" s="200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spans="1:70" ht="13.8">
      <c r="A885" s="1"/>
      <c r="B885" s="1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  <c r="AB885" s="200"/>
      <c r="AC885" s="200"/>
      <c r="AD885" s="200"/>
      <c r="AE885" s="200"/>
      <c r="AF885" s="200"/>
      <c r="AG885" s="200"/>
      <c r="AH885" s="200"/>
      <c r="AI885" s="200"/>
      <c r="AJ885" s="200"/>
      <c r="AK885" s="200"/>
      <c r="AL885" s="200"/>
      <c r="AM885" s="200"/>
      <c r="AN885" s="200"/>
      <c r="AO885" s="200"/>
      <c r="AP885" s="200"/>
      <c r="AQ885" s="200"/>
      <c r="AR885" s="200"/>
      <c r="AS885" s="200"/>
      <c r="AT885" s="200"/>
      <c r="AU885" s="200"/>
      <c r="AV885" s="200"/>
      <c r="AW885" s="200"/>
      <c r="AX885" s="200"/>
      <c r="AY885" s="200"/>
      <c r="AZ885" s="200"/>
      <c r="BA885" s="200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spans="1:70" ht="13.8">
      <c r="A886" s="1"/>
      <c r="B886" s="1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  <c r="AB886" s="200"/>
      <c r="AC886" s="200"/>
      <c r="AD886" s="200"/>
      <c r="AE886" s="200"/>
      <c r="AF886" s="200"/>
      <c r="AG886" s="200"/>
      <c r="AH886" s="200"/>
      <c r="AI886" s="200"/>
      <c r="AJ886" s="200"/>
      <c r="AK886" s="200"/>
      <c r="AL886" s="200"/>
      <c r="AM886" s="200"/>
      <c r="AN886" s="200"/>
      <c r="AO886" s="200"/>
      <c r="AP886" s="200"/>
      <c r="AQ886" s="200"/>
      <c r="AR886" s="200"/>
      <c r="AS886" s="200"/>
      <c r="AT886" s="200"/>
      <c r="AU886" s="200"/>
      <c r="AV886" s="200"/>
      <c r="AW886" s="200"/>
      <c r="AX886" s="200"/>
      <c r="AY886" s="200"/>
      <c r="AZ886" s="200"/>
      <c r="BA886" s="200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spans="1:70" ht="13.8">
      <c r="A887" s="1"/>
      <c r="B887" s="1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  <c r="AH887" s="200"/>
      <c r="AI887" s="200"/>
      <c r="AJ887" s="200"/>
      <c r="AK887" s="200"/>
      <c r="AL887" s="200"/>
      <c r="AM887" s="200"/>
      <c r="AN887" s="200"/>
      <c r="AO887" s="200"/>
      <c r="AP887" s="200"/>
      <c r="AQ887" s="200"/>
      <c r="AR887" s="200"/>
      <c r="AS887" s="200"/>
      <c r="AT887" s="200"/>
      <c r="AU887" s="200"/>
      <c r="AV887" s="200"/>
      <c r="AW887" s="200"/>
      <c r="AX887" s="200"/>
      <c r="AY887" s="200"/>
      <c r="AZ887" s="200"/>
      <c r="BA887" s="200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spans="1:70" ht="13.8">
      <c r="A888" s="1"/>
      <c r="B888" s="1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  <c r="AH888" s="200"/>
      <c r="AI888" s="200"/>
      <c r="AJ888" s="200"/>
      <c r="AK888" s="200"/>
      <c r="AL888" s="200"/>
      <c r="AM888" s="200"/>
      <c r="AN888" s="200"/>
      <c r="AO888" s="200"/>
      <c r="AP888" s="200"/>
      <c r="AQ888" s="200"/>
      <c r="AR888" s="200"/>
      <c r="AS888" s="200"/>
      <c r="AT888" s="200"/>
      <c r="AU888" s="200"/>
      <c r="AV888" s="200"/>
      <c r="AW888" s="200"/>
      <c r="AX888" s="200"/>
      <c r="AY888" s="200"/>
      <c r="AZ888" s="200"/>
      <c r="BA888" s="200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spans="1:70" ht="13.8">
      <c r="A889" s="1"/>
      <c r="B889" s="1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  <c r="AB889" s="200"/>
      <c r="AC889" s="200"/>
      <c r="AD889" s="200"/>
      <c r="AE889" s="200"/>
      <c r="AF889" s="200"/>
      <c r="AG889" s="200"/>
      <c r="AH889" s="200"/>
      <c r="AI889" s="200"/>
      <c r="AJ889" s="200"/>
      <c r="AK889" s="200"/>
      <c r="AL889" s="200"/>
      <c r="AM889" s="200"/>
      <c r="AN889" s="200"/>
      <c r="AO889" s="200"/>
      <c r="AP889" s="200"/>
      <c r="AQ889" s="200"/>
      <c r="AR889" s="200"/>
      <c r="AS889" s="200"/>
      <c r="AT889" s="200"/>
      <c r="AU889" s="200"/>
      <c r="AV889" s="200"/>
      <c r="AW889" s="200"/>
      <c r="AX889" s="200"/>
      <c r="AY889" s="200"/>
      <c r="AZ889" s="200"/>
      <c r="BA889" s="200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spans="1:70" ht="13.8">
      <c r="A890" s="1"/>
      <c r="B890" s="1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  <c r="AH890" s="200"/>
      <c r="AI890" s="200"/>
      <c r="AJ890" s="200"/>
      <c r="AK890" s="200"/>
      <c r="AL890" s="200"/>
      <c r="AM890" s="200"/>
      <c r="AN890" s="200"/>
      <c r="AO890" s="200"/>
      <c r="AP890" s="200"/>
      <c r="AQ890" s="200"/>
      <c r="AR890" s="200"/>
      <c r="AS890" s="200"/>
      <c r="AT890" s="200"/>
      <c r="AU890" s="200"/>
      <c r="AV890" s="200"/>
      <c r="AW890" s="200"/>
      <c r="AX890" s="200"/>
      <c r="AY890" s="200"/>
      <c r="AZ890" s="200"/>
      <c r="BA890" s="200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spans="1:70" ht="13.8">
      <c r="A891" s="1"/>
      <c r="B891" s="1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  <c r="AB891" s="200"/>
      <c r="AC891" s="200"/>
      <c r="AD891" s="200"/>
      <c r="AE891" s="200"/>
      <c r="AF891" s="200"/>
      <c r="AG891" s="200"/>
      <c r="AH891" s="200"/>
      <c r="AI891" s="200"/>
      <c r="AJ891" s="200"/>
      <c r="AK891" s="200"/>
      <c r="AL891" s="200"/>
      <c r="AM891" s="200"/>
      <c r="AN891" s="200"/>
      <c r="AO891" s="200"/>
      <c r="AP891" s="200"/>
      <c r="AQ891" s="200"/>
      <c r="AR891" s="200"/>
      <c r="AS891" s="200"/>
      <c r="AT891" s="200"/>
      <c r="AU891" s="200"/>
      <c r="AV891" s="200"/>
      <c r="AW891" s="200"/>
      <c r="AX891" s="200"/>
      <c r="AY891" s="200"/>
      <c r="AZ891" s="200"/>
      <c r="BA891" s="200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spans="1:70" ht="13.8">
      <c r="A892" s="1"/>
      <c r="B892" s="1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  <c r="AB892" s="200"/>
      <c r="AC892" s="200"/>
      <c r="AD892" s="200"/>
      <c r="AE892" s="200"/>
      <c r="AF892" s="200"/>
      <c r="AG892" s="200"/>
      <c r="AH892" s="200"/>
      <c r="AI892" s="200"/>
      <c r="AJ892" s="200"/>
      <c r="AK892" s="200"/>
      <c r="AL892" s="200"/>
      <c r="AM892" s="200"/>
      <c r="AN892" s="200"/>
      <c r="AO892" s="200"/>
      <c r="AP892" s="200"/>
      <c r="AQ892" s="200"/>
      <c r="AR892" s="200"/>
      <c r="AS892" s="200"/>
      <c r="AT892" s="200"/>
      <c r="AU892" s="200"/>
      <c r="AV892" s="200"/>
      <c r="AW892" s="200"/>
      <c r="AX892" s="200"/>
      <c r="AY892" s="200"/>
      <c r="AZ892" s="200"/>
      <c r="BA892" s="200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spans="1:70" ht="13.8">
      <c r="A893" s="1"/>
      <c r="B893" s="1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  <c r="AB893" s="200"/>
      <c r="AC893" s="200"/>
      <c r="AD893" s="200"/>
      <c r="AE893" s="200"/>
      <c r="AF893" s="200"/>
      <c r="AG893" s="200"/>
      <c r="AH893" s="200"/>
      <c r="AI893" s="200"/>
      <c r="AJ893" s="200"/>
      <c r="AK893" s="200"/>
      <c r="AL893" s="200"/>
      <c r="AM893" s="200"/>
      <c r="AN893" s="200"/>
      <c r="AO893" s="200"/>
      <c r="AP893" s="200"/>
      <c r="AQ893" s="200"/>
      <c r="AR893" s="200"/>
      <c r="AS893" s="200"/>
      <c r="AT893" s="200"/>
      <c r="AU893" s="200"/>
      <c r="AV893" s="200"/>
      <c r="AW893" s="200"/>
      <c r="AX893" s="200"/>
      <c r="AY893" s="200"/>
      <c r="AZ893" s="200"/>
      <c r="BA893" s="200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spans="1:70" ht="13.8">
      <c r="A894" s="1"/>
      <c r="B894" s="1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  <c r="AH894" s="200"/>
      <c r="AI894" s="200"/>
      <c r="AJ894" s="200"/>
      <c r="AK894" s="200"/>
      <c r="AL894" s="200"/>
      <c r="AM894" s="200"/>
      <c r="AN894" s="200"/>
      <c r="AO894" s="200"/>
      <c r="AP894" s="200"/>
      <c r="AQ894" s="200"/>
      <c r="AR894" s="200"/>
      <c r="AS894" s="200"/>
      <c r="AT894" s="200"/>
      <c r="AU894" s="200"/>
      <c r="AV894" s="200"/>
      <c r="AW894" s="200"/>
      <c r="AX894" s="200"/>
      <c r="AY894" s="200"/>
      <c r="AZ894" s="200"/>
      <c r="BA894" s="200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spans="1:70" ht="13.8">
      <c r="A895" s="1"/>
      <c r="B895" s="1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  <c r="AB895" s="200"/>
      <c r="AC895" s="200"/>
      <c r="AD895" s="200"/>
      <c r="AE895" s="200"/>
      <c r="AF895" s="200"/>
      <c r="AG895" s="200"/>
      <c r="AH895" s="200"/>
      <c r="AI895" s="200"/>
      <c r="AJ895" s="200"/>
      <c r="AK895" s="200"/>
      <c r="AL895" s="200"/>
      <c r="AM895" s="200"/>
      <c r="AN895" s="200"/>
      <c r="AO895" s="200"/>
      <c r="AP895" s="200"/>
      <c r="AQ895" s="200"/>
      <c r="AR895" s="200"/>
      <c r="AS895" s="200"/>
      <c r="AT895" s="200"/>
      <c r="AU895" s="200"/>
      <c r="AV895" s="200"/>
      <c r="AW895" s="200"/>
      <c r="AX895" s="200"/>
      <c r="AY895" s="200"/>
      <c r="AZ895" s="200"/>
      <c r="BA895" s="200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spans="1:70" ht="13.8">
      <c r="A896" s="1"/>
      <c r="B896" s="1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  <c r="AB896" s="200"/>
      <c r="AC896" s="200"/>
      <c r="AD896" s="200"/>
      <c r="AE896" s="200"/>
      <c r="AF896" s="200"/>
      <c r="AG896" s="200"/>
      <c r="AH896" s="200"/>
      <c r="AI896" s="200"/>
      <c r="AJ896" s="200"/>
      <c r="AK896" s="200"/>
      <c r="AL896" s="200"/>
      <c r="AM896" s="200"/>
      <c r="AN896" s="200"/>
      <c r="AO896" s="200"/>
      <c r="AP896" s="200"/>
      <c r="AQ896" s="200"/>
      <c r="AR896" s="200"/>
      <c r="AS896" s="200"/>
      <c r="AT896" s="200"/>
      <c r="AU896" s="200"/>
      <c r="AV896" s="200"/>
      <c r="AW896" s="200"/>
      <c r="AX896" s="200"/>
      <c r="AY896" s="200"/>
      <c r="AZ896" s="200"/>
      <c r="BA896" s="200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spans="1:70" ht="13.8">
      <c r="A897" s="1"/>
      <c r="B897" s="1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  <c r="AB897" s="200"/>
      <c r="AC897" s="200"/>
      <c r="AD897" s="200"/>
      <c r="AE897" s="200"/>
      <c r="AF897" s="200"/>
      <c r="AG897" s="200"/>
      <c r="AH897" s="200"/>
      <c r="AI897" s="200"/>
      <c r="AJ897" s="200"/>
      <c r="AK897" s="200"/>
      <c r="AL897" s="200"/>
      <c r="AM897" s="200"/>
      <c r="AN897" s="200"/>
      <c r="AO897" s="200"/>
      <c r="AP897" s="200"/>
      <c r="AQ897" s="200"/>
      <c r="AR897" s="200"/>
      <c r="AS897" s="200"/>
      <c r="AT897" s="200"/>
      <c r="AU897" s="200"/>
      <c r="AV897" s="200"/>
      <c r="AW897" s="200"/>
      <c r="AX897" s="200"/>
      <c r="AY897" s="200"/>
      <c r="AZ897" s="200"/>
      <c r="BA897" s="200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spans="1:70" ht="13.8">
      <c r="A898" s="1"/>
      <c r="B898" s="1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  <c r="AH898" s="200"/>
      <c r="AI898" s="200"/>
      <c r="AJ898" s="200"/>
      <c r="AK898" s="200"/>
      <c r="AL898" s="200"/>
      <c r="AM898" s="200"/>
      <c r="AN898" s="200"/>
      <c r="AO898" s="200"/>
      <c r="AP898" s="200"/>
      <c r="AQ898" s="200"/>
      <c r="AR898" s="200"/>
      <c r="AS898" s="200"/>
      <c r="AT898" s="200"/>
      <c r="AU898" s="200"/>
      <c r="AV898" s="200"/>
      <c r="AW898" s="200"/>
      <c r="AX898" s="200"/>
      <c r="AY898" s="200"/>
      <c r="AZ898" s="200"/>
      <c r="BA898" s="200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spans="1:70" ht="13.8">
      <c r="A899" s="1"/>
      <c r="B899" s="1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  <c r="AH899" s="200"/>
      <c r="AI899" s="200"/>
      <c r="AJ899" s="200"/>
      <c r="AK899" s="200"/>
      <c r="AL899" s="200"/>
      <c r="AM899" s="200"/>
      <c r="AN899" s="200"/>
      <c r="AO899" s="200"/>
      <c r="AP899" s="200"/>
      <c r="AQ899" s="200"/>
      <c r="AR899" s="200"/>
      <c r="AS899" s="200"/>
      <c r="AT899" s="200"/>
      <c r="AU899" s="200"/>
      <c r="AV899" s="200"/>
      <c r="AW899" s="200"/>
      <c r="AX899" s="200"/>
      <c r="AY899" s="200"/>
      <c r="AZ899" s="200"/>
      <c r="BA899" s="200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spans="1:70" ht="13.8">
      <c r="A900" s="1"/>
      <c r="B900" s="1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  <c r="AB900" s="200"/>
      <c r="AC900" s="200"/>
      <c r="AD900" s="200"/>
      <c r="AE900" s="200"/>
      <c r="AF900" s="200"/>
      <c r="AG900" s="200"/>
      <c r="AH900" s="200"/>
      <c r="AI900" s="200"/>
      <c r="AJ900" s="200"/>
      <c r="AK900" s="200"/>
      <c r="AL900" s="200"/>
      <c r="AM900" s="200"/>
      <c r="AN900" s="200"/>
      <c r="AO900" s="200"/>
      <c r="AP900" s="200"/>
      <c r="AQ900" s="200"/>
      <c r="AR900" s="200"/>
      <c r="AS900" s="200"/>
      <c r="AT900" s="200"/>
      <c r="AU900" s="200"/>
      <c r="AV900" s="200"/>
      <c r="AW900" s="200"/>
      <c r="AX900" s="200"/>
      <c r="AY900" s="200"/>
      <c r="AZ900" s="200"/>
      <c r="BA900" s="200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spans="1:70" ht="13.8">
      <c r="A901" s="1"/>
      <c r="B901" s="1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  <c r="AH901" s="200"/>
      <c r="AI901" s="200"/>
      <c r="AJ901" s="200"/>
      <c r="AK901" s="200"/>
      <c r="AL901" s="200"/>
      <c r="AM901" s="200"/>
      <c r="AN901" s="200"/>
      <c r="AO901" s="200"/>
      <c r="AP901" s="200"/>
      <c r="AQ901" s="200"/>
      <c r="AR901" s="200"/>
      <c r="AS901" s="200"/>
      <c r="AT901" s="200"/>
      <c r="AU901" s="200"/>
      <c r="AV901" s="200"/>
      <c r="AW901" s="200"/>
      <c r="AX901" s="200"/>
      <c r="AY901" s="200"/>
      <c r="AZ901" s="200"/>
      <c r="BA901" s="200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spans="1:70" ht="13.8">
      <c r="A902" s="1"/>
      <c r="B902" s="1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  <c r="AB902" s="200"/>
      <c r="AC902" s="200"/>
      <c r="AD902" s="200"/>
      <c r="AE902" s="200"/>
      <c r="AF902" s="200"/>
      <c r="AG902" s="200"/>
      <c r="AH902" s="200"/>
      <c r="AI902" s="200"/>
      <c r="AJ902" s="200"/>
      <c r="AK902" s="200"/>
      <c r="AL902" s="200"/>
      <c r="AM902" s="200"/>
      <c r="AN902" s="200"/>
      <c r="AO902" s="200"/>
      <c r="AP902" s="200"/>
      <c r="AQ902" s="200"/>
      <c r="AR902" s="200"/>
      <c r="AS902" s="200"/>
      <c r="AT902" s="200"/>
      <c r="AU902" s="200"/>
      <c r="AV902" s="200"/>
      <c r="AW902" s="200"/>
      <c r="AX902" s="200"/>
      <c r="AY902" s="200"/>
      <c r="AZ902" s="200"/>
      <c r="BA902" s="200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spans="1:70" ht="13.8">
      <c r="A903" s="1"/>
      <c r="B903" s="1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  <c r="AB903" s="200"/>
      <c r="AC903" s="200"/>
      <c r="AD903" s="200"/>
      <c r="AE903" s="200"/>
      <c r="AF903" s="200"/>
      <c r="AG903" s="200"/>
      <c r="AH903" s="200"/>
      <c r="AI903" s="200"/>
      <c r="AJ903" s="200"/>
      <c r="AK903" s="200"/>
      <c r="AL903" s="200"/>
      <c r="AM903" s="200"/>
      <c r="AN903" s="200"/>
      <c r="AO903" s="200"/>
      <c r="AP903" s="200"/>
      <c r="AQ903" s="200"/>
      <c r="AR903" s="200"/>
      <c r="AS903" s="200"/>
      <c r="AT903" s="200"/>
      <c r="AU903" s="200"/>
      <c r="AV903" s="200"/>
      <c r="AW903" s="200"/>
      <c r="AX903" s="200"/>
      <c r="AY903" s="200"/>
      <c r="AZ903" s="200"/>
      <c r="BA903" s="200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spans="1:70" ht="13.8">
      <c r="A904" s="1"/>
      <c r="B904" s="1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  <c r="AH904" s="200"/>
      <c r="AI904" s="200"/>
      <c r="AJ904" s="200"/>
      <c r="AK904" s="200"/>
      <c r="AL904" s="200"/>
      <c r="AM904" s="200"/>
      <c r="AN904" s="200"/>
      <c r="AO904" s="200"/>
      <c r="AP904" s="200"/>
      <c r="AQ904" s="200"/>
      <c r="AR904" s="200"/>
      <c r="AS904" s="200"/>
      <c r="AT904" s="200"/>
      <c r="AU904" s="200"/>
      <c r="AV904" s="200"/>
      <c r="AW904" s="200"/>
      <c r="AX904" s="200"/>
      <c r="AY904" s="200"/>
      <c r="AZ904" s="200"/>
      <c r="BA904" s="200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spans="1:70" ht="13.8">
      <c r="A905" s="1"/>
      <c r="B905" s="1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  <c r="AH905" s="200"/>
      <c r="AI905" s="200"/>
      <c r="AJ905" s="200"/>
      <c r="AK905" s="200"/>
      <c r="AL905" s="200"/>
      <c r="AM905" s="200"/>
      <c r="AN905" s="200"/>
      <c r="AO905" s="200"/>
      <c r="AP905" s="200"/>
      <c r="AQ905" s="200"/>
      <c r="AR905" s="200"/>
      <c r="AS905" s="200"/>
      <c r="AT905" s="200"/>
      <c r="AU905" s="200"/>
      <c r="AV905" s="200"/>
      <c r="AW905" s="200"/>
      <c r="AX905" s="200"/>
      <c r="AY905" s="200"/>
      <c r="AZ905" s="200"/>
      <c r="BA905" s="200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spans="1:70" ht="13.8">
      <c r="A906" s="1"/>
      <c r="B906" s="1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  <c r="AB906" s="200"/>
      <c r="AC906" s="200"/>
      <c r="AD906" s="200"/>
      <c r="AE906" s="200"/>
      <c r="AF906" s="200"/>
      <c r="AG906" s="200"/>
      <c r="AH906" s="200"/>
      <c r="AI906" s="200"/>
      <c r="AJ906" s="200"/>
      <c r="AK906" s="200"/>
      <c r="AL906" s="200"/>
      <c r="AM906" s="200"/>
      <c r="AN906" s="200"/>
      <c r="AO906" s="200"/>
      <c r="AP906" s="200"/>
      <c r="AQ906" s="200"/>
      <c r="AR906" s="200"/>
      <c r="AS906" s="200"/>
      <c r="AT906" s="200"/>
      <c r="AU906" s="200"/>
      <c r="AV906" s="200"/>
      <c r="AW906" s="200"/>
      <c r="AX906" s="200"/>
      <c r="AY906" s="200"/>
      <c r="AZ906" s="200"/>
      <c r="BA906" s="200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spans="1:70" ht="13.8">
      <c r="A907" s="1"/>
      <c r="B907" s="1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  <c r="AB907" s="200"/>
      <c r="AC907" s="200"/>
      <c r="AD907" s="200"/>
      <c r="AE907" s="200"/>
      <c r="AF907" s="200"/>
      <c r="AG907" s="200"/>
      <c r="AH907" s="200"/>
      <c r="AI907" s="200"/>
      <c r="AJ907" s="200"/>
      <c r="AK907" s="200"/>
      <c r="AL907" s="200"/>
      <c r="AM907" s="200"/>
      <c r="AN907" s="200"/>
      <c r="AO907" s="200"/>
      <c r="AP907" s="200"/>
      <c r="AQ907" s="200"/>
      <c r="AR907" s="200"/>
      <c r="AS907" s="200"/>
      <c r="AT907" s="200"/>
      <c r="AU907" s="200"/>
      <c r="AV907" s="200"/>
      <c r="AW907" s="200"/>
      <c r="AX907" s="200"/>
      <c r="AY907" s="200"/>
      <c r="AZ907" s="200"/>
      <c r="BA907" s="200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spans="1:70" ht="13.8">
      <c r="A908" s="1"/>
      <c r="B908" s="1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  <c r="AB908" s="200"/>
      <c r="AC908" s="200"/>
      <c r="AD908" s="200"/>
      <c r="AE908" s="200"/>
      <c r="AF908" s="200"/>
      <c r="AG908" s="200"/>
      <c r="AH908" s="200"/>
      <c r="AI908" s="200"/>
      <c r="AJ908" s="200"/>
      <c r="AK908" s="200"/>
      <c r="AL908" s="200"/>
      <c r="AM908" s="200"/>
      <c r="AN908" s="200"/>
      <c r="AO908" s="200"/>
      <c r="AP908" s="200"/>
      <c r="AQ908" s="200"/>
      <c r="AR908" s="200"/>
      <c r="AS908" s="200"/>
      <c r="AT908" s="200"/>
      <c r="AU908" s="200"/>
      <c r="AV908" s="200"/>
      <c r="AW908" s="200"/>
      <c r="AX908" s="200"/>
      <c r="AY908" s="200"/>
      <c r="AZ908" s="200"/>
      <c r="BA908" s="200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spans="1:70" ht="13.8">
      <c r="A909" s="1"/>
      <c r="B909" s="1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  <c r="AB909" s="200"/>
      <c r="AC909" s="200"/>
      <c r="AD909" s="200"/>
      <c r="AE909" s="200"/>
      <c r="AF909" s="200"/>
      <c r="AG909" s="200"/>
      <c r="AH909" s="200"/>
      <c r="AI909" s="200"/>
      <c r="AJ909" s="200"/>
      <c r="AK909" s="200"/>
      <c r="AL909" s="200"/>
      <c r="AM909" s="200"/>
      <c r="AN909" s="200"/>
      <c r="AO909" s="200"/>
      <c r="AP909" s="200"/>
      <c r="AQ909" s="200"/>
      <c r="AR909" s="200"/>
      <c r="AS909" s="200"/>
      <c r="AT909" s="200"/>
      <c r="AU909" s="200"/>
      <c r="AV909" s="200"/>
      <c r="AW909" s="200"/>
      <c r="AX909" s="200"/>
      <c r="AY909" s="200"/>
      <c r="AZ909" s="200"/>
      <c r="BA909" s="200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spans="1:70" ht="13.8">
      <c r="A910" s="1"/>
      <c r="B910" s="1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0"/>
      <c r="AK910" s="200"/>
      <c r="AL910" s="200"/>
      <c r="AM910" s="200"/>
      <c r="AN910" s="200"/>
      <c r="AO910" s="200"/>
      <c r="AP910" s="200"/>
      <c r="AQ910" s="200"/>
      <c r="AR910" s="200"/>
      <c r="AS910" s="200"/>
      <c r="AT910" s="200"/>
      <c r="AU910" s="200"/>
      <c r="AV910" s="200"/>
      <c r="AW910" s="200"/>
      <c r="AX910" s="200"/>
      <c r="AY910" s="200"/>
      <c r="AZ910" s="200"/>
      <c r="BA910" s="200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spans="1:70" ht="13.8">
      <c r="A911" s="1"/>
      <c r="B911" s="1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  <c r="AB911" s="200"/>
      <c r="AC911" s="200"/>
      <c r="AD911" s="200"/>
      <c r="AE911" s="200"/>
      <c r="AF911" s="200"/>
      <c r="AG911" s="200"/>
      <c r="AH911" s="200"/>
      <c r="AI911" s="200"/>
      <c r="AJ911" s="200"/>
      <c r="AK911" s="200"/>
      <c r="AL911" s="200"/>
      <c r="AM911" s="200"/>
      <c r="AN911" s="200"/>
      <c r="AO911" s="200"/>
      <c r="AP911" s="200"/>
      <c r="AQ911" s="200"/>
      <c r="AR911" s="200"/>
      <c r="AS911" s="200"/>
      <c r="AT911" s="200"/>
      <c r="AU911" s="200"/>
      <c r="AV911" s="200"/>
      <c r="AW911" s="200"/>
      <c r="AX911" s="200"/>
      <c r="AY911" s="200"/>
      <c r="AZ911" s="200"/>
      <c r="BA911" s="200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spans="1:70" ht="13.8">
      <c r="A912" s="1"/>
      <c r="B912" s="1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  <c r="AB912" s="200"/>
      <c r="AC912" s="200"/>
      <c r="AD912" s="200"/>
      <c r="AE912" s="200"/>
      <c r="AF912" s="200"/>
      <c r="AG912" s="200"/>
      <c r="AH912" s="200"/>
      <c r="AI912" s="200"/>
      <c r="AJ912" s="200"/>
      <c r="AK912" s="200"/>
      <c r="AL912" s="200"/>
      <c r="AM912" s="200"/>
      <c r="AN912" s="200"/>
      <c r="AO912" s="200"/>
      <c r="AP912" s="200"/>
      <c r="AQ912" s="200"/>
      <c r="AR912" s="200"/>
      <c r="AS912" s="200"/>
      <c r="AT912" s="200"/>
      <c r="AU912" s="200"/>
      <c r="AV912" s="200"/>
      <c r="AW912" s="200"/>
      <c r="AX912" s="200"/>
      <c r="AY912" s="200"/>
      <c r="AZ912" s="200"/>
      <c r="BA912" s="200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spans="1:70" ht="13.8">
      <c r="A913" s="1"/>
      <c r="B913" s="1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  <c r="AB913" s="200"/>
      <c r="AC913" s="200"/>
      <c r="AD913" s="200"/>
      <c r="AE913" s="200"/>
      <c r="AF913" s="200"/>
      <c r="AG913" s="200"/>
      <c r="AH913" s="200"/>
      <c r="AI913" s="200"/>
      <c r="AJ913" s="200"/>
      <c r="AK913" s="200"/>
      <c r="AL913" s="200"/>
      <c r="AM913" s="200"/>
      <c r="AN913" s="200"/>
      <c r="AO913" s="200"/>
      <c r="AP913" s="200"/>
      <c r="AQ913" s="200"/>
      <c r="AR913" s="200"/>
      <c r="AS913" s="200"/>
      <c r="AT913" s="200"/>
      <c r="AU913" s="200"/>
      <c r="AV913" s="200"/>
      <c r="AW913" s="200"/>
      <c r="AX913" s="200"/>
      <c r="AY913" s="200"/>
      <c r="AZ913" s="200"/>
      <c r="BA913" s="200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spans="1:70" ht="13.8">
      <c r="A914" s="1"/>
      <c r="B914" s="1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  <c r="AB914" s="200"/>
      <c r="AC914" s="200"/>
      <c r="AD914" s="200"/>
      <c r="AE914" s="200"/>
      <c r="AF914" s="200"/>
      <c r="AG914" s="200"/>
      <c r="AH914" s="200"/>
      <c r="AI914" s="200"/>
      <c r="AJ914" s="200"/>
      <c r="AK914" s="200"/>
      <c r="AL914" s="200"/>
      <c r="AM914" s="200"/>
      <c r="AN914" s="200"/>
      <c r="AO914" s="200"/>
      <c r="AP914" s="200"/>
      <c r="AQ914" s="200"/>
      <c r="AR914" s="200"/>
      <c r="AS914" s="200"/>
      <c r="AT914" s="200"/>
      <c r="AU914" s="200"/>
      <c r="AV914" s="200"/>
      <c r="AW914" s="200"/>
      <c r="AX914" s="200"/>
      <c r="AY914" s="200"/>
      <c r="AZ914" s="200"/>
      <c r="BA914" s="200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spans="1:70" ht="13.8">
      <c r="A915" s="1"/>
      <c r="B915" s="1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  <c r="AB915" s="200"/>
      <c r="AC915" s="200"/>
      <c r="AD915" s="200"/>
      <c r="AE915" s="200"/>
      <c r="AF915" s="200"/>
      <c r="AG915" s="200"/>
      <c r="AH915" s="200"/>
      <c r="AI915" s="200"/>
      <c r="AJ915" s="200"/>
      <c r="AK915" s="200"/>
      <c r="AL915" s="200"/>
      <c r="AM915" s="200"/>
      <c r="AN915" s="200"/>
      <c r="AO915" s="200"/>
      <c r="AP915" s="200"/>
      <c r="AQ915" s="200"/>
      <c r="AR915" s="200"/>
      <c r="AS915" s="200"/>
      <c r="AT915" s="200"/>
      <c r="AU915" s="200"/>
      <c r="AV915" s="200"/>
      <c r="AW915" s="200"/>
      <c r="AX915" s="200"/>
      <c r="AY915" s="200"/>
      <c r="AZ915" s="200"/>
      <c r="BA915" s="200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spans="1:70" ht="13.8">
      <c r="A916" s="1"/>
      <c r="B916" s="1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  <c r="AH916" s="200"/>
      <c r="AI916" s="200"/>
      <c r="AJ916" s="200"/>
      <c r="AK916" s="200"/>
      <c r="AL916" s="200"/>
      <c r="AM916" s="200"/>
      <c r="AN916" s="200"/>
      <c r="AO916" s="200"/>
      <c r="AP916" s="200"/>
      <c r="AQ916" s="200"/>
      <c r="AR916" s="200"/>
      <c r="AS916" s="200"/>
      <c r="AT916" s="200"/>
      <c r="AU916" s="200"/>
      <c r="AV916" s="200"/>
      <c r="AW916" s="200"/>
      <c r="AX916" s="200"/>
      <c r="AY916" s="200"/>
      <c r="AZ916" s="200"/>
      <c r="BA916" s="200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spans="1:70" ht="13.8">
      <c r="A917" s="1"/>
      <c r="B917" s="1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  <c r="AB917" s="200"/>
      <c r="AC917" s="200"/>
      <c r="AD917" s="200"/>
      <c r="AE917" s="200"/>
      <c r="AF917" s="200"/>
      <c r="AG917" s="200"/>
      <c r="AH917" s="200"/>
      <c r="AI917" s="200"/>
      <c r="AJ917" s="200"/>
      <c r="AK917" s="200"/>
      <c r="AL917" s="200"/>
      <c r="AM917" s="200"/>
      <c r="AN917" s="200"/>
      <c r="AO917" s="200"/>
      <c r="AP917" s="200"/>
      <c r="AQ917" s="200"/>
      <c r="AR917" s="200"/>
      <c r="AS917" s="200"/>
      <c r="AT917" s="200"/>
      <c r="AU917" s="200"/>
      <c r="AV917" s="200"/>
      <c r="AW917" s="200"/>
      <c r="AX917" s="200"/>
      <c r="AY917" s="200"/>
      <c r="AZ917" s="200"/>
      <c r="BA917" s="200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spans="1:70" ht="13.8">
      <c r="A918" s="1"/>
      <c r="B918" s="1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  <c r="AB918" s="200"/>
      <c r="AC918" s="200"/>
      <c r="AD918" s="200"/>
      <c r="AE918" s="200"/>
      <c r="AF918" s="200"/>
      <c r="AG918" s="200"/>
      <c r="AH918" s="200"/>
      <c r="AI918" s="200"/>
      <c r="AJ918" s="200"/>
      <c r="AK918" s="200"/>
      <c r="AL918" s="200"/>
      <c r="AM918" s="200"/>
      <c r="AN918" s="200"/>
      <c r="AO918" s="200"/>
      <c r="AP918" s="200"/>
      <c r="AQ918" s="200"/>
      <c r="AR918" s="200"/>
      <c r="AS918" s="200"/>
      <c r="AT918" s="200"/>
      <c r="AU918" s="200"/>
      <c r="AV918" s="200"/>
      <c r="AW918" s="200"/>
      <c r="AX918" s="200"/>
      <c r="AY918" s="200"/>
      <c r="AZ918" s="200"/>
      <c r="BA918" s="200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spans="1:70" ht="13.8">
      <c r="A919" s="1"/>
      <c r="B919" s="1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  <c r="AB919" s="200"/>
      <c r="AC919" s="200"/>
      <c r="AD919" s="200"/>
      <c r="AE919" s="200"/>
      <c r="AF919" s="200"/>
      <c r="AG919" s="200"/>
      <c r="AH919" s="200"/>
      <c r="AI919" s="200"/>
      <c r="AJ919" s="200"/>
      <c r="AK919" s="200"/>
      <c r="AL919" s="200"/>
      <c r="AM919" s="200"/>
      <c r="AN919" s="200"/>
      <c r="AO919" s="200"/>
      <c r="AP919" s="200"/>
      <c r="AQ919" s="200"/>
      <c r="AR919" s="200"/>
      <c r="AS919" s="200"/>
      <c r="AT919" s="200"/>
      <c r="AU919" s="200"/>
      <c r="AV919" s="200"/>
      <c r="AW919" s="200"/>
      <c r="AX919" s="200"/>
      <c r="AY919" s="200"/>
      <c r="AZ919" s="200"/>
      <c r="BA919" s="200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spans="1:70" ht="13.8">
      <c r="A920" s="1"/>
      <c r="B920" s="1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  <c r="AB920" s="200"/>
      <c r="AC920" s="200"/>
      <c r="AD920" s="200"/>
      <c r="AE920" s="200"/>
      <c r="AF920" s="200"/>
      <c r="AG920" s="200"/>
      <c r="AH920" s="200"/>
      <c r="AI920" s="200"/>
      <c r="AJ920" s="200"/>
      <c r="AK920" s="200"/>
      <c r="AL920" s="200"/>
      <c r="AM920" s="200"/>
      <c r="AN920" s="200"/>
      <c r="AO920" s="200"/>
      <c r="AP920" s="200"/>
      <c r="AQ920" s="200"/>
      <c r="AR920" s="200"/>
      <c r="AS920" s="200"/>
      <c r="AT920" s="200"/>
      <c r="AU920" s="200"/>
      <c r="AV920" s="200"/>
      <c r="AW920" s="200"/>
      <c r="AX920" s="200"/>
      <c r="AY920" s="200"/>
      <c r="AZ920" s="200"/>
      <c r="BA920" s="200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spans="1:70" ht="13.8">
      <c r="A921" s="1"/>
      <c r="B921" s="1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  <c r="AB921" s="200"/>
      <c r="AC921" s="200"/>
      <c r="AD921" s="200"/>
      <c r="AE921" s="200"/>
      <c r="AF921" s="200"/>
      <c r="AG921" s="200"/>
      <c r="AH921" s="200"/>
      <c r="AI921" s="200"/>
      <c r="AJ921" s="200"/>
      <c r="AK921" s="200"/>
      <c r="AL921" s="200"/>
      <c r="AM921" s="200"/>
      <c r="AN921" s="200"/>
      <c r="AO921" s="200"/>
      <c r="AP921" s="200"/>
      <c r="AQ921" s="200"/>
      <c r="AR921" s="200"/>
      <c r="AS921" s="200"/>
      <c r="AT921" s="200"/>
      <c r="AU921" s="200"/>
      <c r="AV921" s="200"/>
      <c r="AW921" s="200"/>
      <c r="AX921" s="200"/>
      <c r="AY921" s="200"/>
      <c r="AZ921" s="200"/>
      <c r="BA921" s="200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spans="1:70" ht="13.8">
      <c r="A922" s="1"/>
      <c r="B922" s="1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  <c r="AB922" s="200"/>
      <c r="AC922" s="200"/>
      <c r="AD922" s="200"/>
      <c r="AE922" s="200"/>
      <c r="AF922" s="200"/>
      <c r="AG922" s="200"/>
      <c r="AH922" s="200"/>
      <c r="AI922" s="200"/>
      <c r="AJ922" s="200"/>
      <c r="AK922" s="200"/>
      <c r="AL922" s="200"/>
      <c r="AM922" s="200"/>
      <c r="AN922" s="200"/>
      <c r="AO922" s="200"/>
      <c r="AP922" s="200"/>
      <c r="AQ922" s="200"/>
      <c r="AR922" s="200"/>
      <c r="AS922" s="200"/>
      <c r="AT922" s="200"/>
      <c r="AU922" s="200"/>
      <c r="AV922" s="200"/>
      <c r="AW922" s="200"/>
      <c r="AX922" s="200"/>
      <c r="AY922" s="200"/>
      <c r="AZ922" s="200"/>
      <c r="BA922" s="200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spans="1:70" ht="13.8">
      <c r="A923" s="1"/>
      <c r="B923" s="1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  <c r="AB923" s="200"/>
      <c r="AC923" s="200"/>
      <c r="AD923" s="200"/>
      <c r="AE923" s="200"/>
      <c r="AF923" s="200"/>
      <c r="AG923" s="200"/>
      <c r="AH923" s="200"/>
      <c r="AI923" s="200"/>
      <c r="AJ923" s="200"/>
      <c r="AK923" s="200"/>
      <c r="AL923" s="200"/>
      <c r="AM923" s="200"/>
      <c r="AN923" s="200"/>
      <c r="AO923" s="200"/>
      <c r="AP923" s="200"/>
      <c r="AQ923" s="200"/>
      <c r="AR923" s="200"/>
      <c r="AS923" s="200"/>
      <c r="AT923" s="200"/>
      <c r="AU923" s="200"/>
      <c r="AV923" s="200"/>
      <c r="AW923" s="200"/>
      <c r="AX923" s="200"/>
      <c r="AY923" s="200"/>
      <c r="AZ923" s="200"/>
      <c r="BA923" s="200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spans="1:70" ht="13.8">
      <c r="A924" s="1"/>
      <c r="B924" s="1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  <c r="AB924" s="200"/>
      <c r="AC924" s="200"/>
      <c r="AD924" s="200"/>
      <c r="AE924" s="200"/>
      <c r="AF924" s="200"/>
      <c r="AG924" s="200"/>
      <c r="AH924" s="200"/>
      <c r="AI924" s="200"/>
      <c r="AJ924" s="200"/>
      <c r="AK924" s="200"/>
      <c r="AL924" s="200"/>
      <c r="AM924" s="200"/>
      <c r="AN924" s="200"/>
      <c r="AO924" s="200"/>
      <c r="AP924" s="200"/>
      <c r="AQ924" s="200"/>
      <c r="AR924" s="200"/>
      <c r="AS924" s="200"/>
      <c r="AT924" s="200"/>
      <c r="AU924" s="200"/>
      <c r="AV924" s="200"/>
      <c r="AW924" s="200"/>
      <c r="AX924" s="200"/>
      <c r="AY924" s="200"/>
      <c r="AZ924" s="200"/>
      <c r="BA924" s="200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spans="1:70" ht="13.8">
      <c r="A925" s="1"/>
      <c r="B925" s="1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  <c r="AB925" s="200"/>
      <c r="AC925" s="200"/>
      <c r="AD925" s="200"/>
      <c r="AE925" s="200"/>
      <c r="AF925" s="200"/>
      <c r="AG925" s="200"/>
      <c r="AH925" s="200"/>
      <c r="AI925" s="200"/>
      <c r="AJ925" s="200"/>
      <c r="AK925" s="200"/>
      <c r="AL925" s="200"/>
      <c r="AM925" s="200"/>
      <c r="AN925" s="200"/>
      <c r="AO925" s="200"/>
      <c r="AP925" s="200"/>
      <c r="AQ925" s="200"/>
      <c r="AR925" s="200"/>
      <c r="AS925" s="200"/>
      <c r="AT925" s="200"/>
      <c r="AU925" s="200"/>
      <c r="AV925" s="200"/>
      <c r="AW925" s="200"/>
      <c r="AX925" s="200"/>
      <c r="AY925" s="200"/>
      <c r="AZ925" s="200"/>
      <c r="BA925" s="200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spans="1:70" ht="13.8">
      <c r="A926" s="1"/>
      <c r="B926" s="1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0"/>
      <c r="AK926" s="200"/>
      <c r="AL926" s="200"/>
      <c r="AM926" s="200"/>
      <c r="AN926" s="200"/>
      <c r="AO926" s="200"/>
      <c r="AP926" s="200"/>
      <c r="AQ926" s="200"/>
      <c r="AR926" s="200"/>
      <c r="AS926" s="200"/>
      <c r="AT926" s="200"/>
      <c r="AU926" s="200"/>
      <c r="AV926" s="200"/>
      <c r="AW926" s="200"/>
      <c r="AX926" s="200"/>
      <c r="AY926" s="200"/>
      <c r="AZ926" s="200"/>
      <c r="BA926" s="200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spans="1:70" ht="13.8">
      <c r="A927" s="1"/>
      <c r="B927" s="1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  <c r="AB927" s="200"/>
      <c r="AC927" s="200"/>
      <c r="AD927" s="200"/>
      <c r="AE927" s="200"/>
      <c r="AF927" s="200"/>
      <c r="AG927" s="200"/>
      <c r="AH927" s="200"/>
      <c r="AI927" s="200"/>
      <c r="AJ927" s="200"/>
      <c r="AK927" s="200"/>
      <c r="AL927" s="200"/>
      <c r="AM927" s="200"/>
      <c r="AN927" s="200"/>
      <c r="AO927" s="200"/>
      <c r="AP927" s="200"/>
      <c r="AQ927" s="200"/>
      <c r="AR927" s="200"/>
      <c r="AS927" s="200"/>
      <c r="AT927" s="200"/>
      <c r="AU927" s="200"/>
      <c r="AV927" s="200"/>
      <c r="AW927" s="200"/>
      <c r="AX927" s="200"/>
      <c r="AY927" s="200"/>
      <c r="AZ927" s="200"/>
      <c r="BA927" s="200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spans="1:70" ht="13.8">
      <c r="A928" s="1"/>
      <c r="B928" s="1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  <c r="AB928" s="200"/>
      <c r="AC928" s="200"/>
      <c r="AD928" s="200"/>
      <c r="AE928" s="200"/>
      <c r="AF928" s="200"/>
      <c r="AG928" s="200"/>
      <c r="AH928" s="200"/>
      <c r="AI928" s="200"/>
      <c r="AJ928" s="200"/>
      <c r="AK928" s="200"/>
      <c r="AL928" s="200"/>
      <c r="AM928" s="200"/>
      <c r="AN928" s="200"/>
      <c r="AO928" s="200"/>
      <c r="AP928" s="200"/>
      <c r="AQ928" s="200"/>
      <c r="AR928" s="200"/>
      <c r="AS928" s="200"/>
      <c r="AT928" s="200"/>
      <c r="AU928" s="200"/>
      <c r="AV928" s="200"/>
      <c r="AW928" s="200"/>
      <c r="AX928" s="200"/>
      <c r="AY928" s="200"/>
      <c r="AZ928" s="200"/>
      <c r="BA928" s="200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spans="1:70" ht="13.8">
      <c r="A929" s="1"/>
      <c r="B929" s="1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  <c r="AH929" s="200"/>
      <c r="AI929" s="200"/>
      <c r="AJ929" s="200"/>
      <c r="AK929" s="200"/>
      <c r="AL929" s="200"/>
      <c r="AM929" s="200"/>
      <c r="AN929" s="200"/>
      <c r="AO929" s="200"/>
      <c r="AP929" s="200"/>
      <c r="AQ929" s="200"/>
      <c r="AR929" s="200"/>
      <c r="AS929" s="200"/>
      <c r="AT929" s="200"/>
      <c r="AU929" s="200"/>
      <c r="AV929" s="200"/>
      <c r="AW929" s="200"/>
      <c r="AX929" s="200"/>
      <c r="AY929" s="200"/>
      <c r="AZ929" s="200"/>
      <c r="BA929" s="200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spans="1:70" ht="13.8">
      <c r="A930" s="1"/>
      <c r="B930" s="1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  <c r="AB930" s="200"/>
      <c r="AC930" s="200"/>
      <c r="AD930" s="200"/>
      <c r="AE930" s="200"/>
      <c r="AF930" s="200"/>
      <c r="AG930" s="200"/>
      <c r="AH930" s="200"/>
      <c r="AI930" s="200"/>
      <c r="AJ930" s="200"/>
      <c r="AK930" s="200"/>
      <c r="AL930" s="200"/>
      <c r="AM930" s="200"/>
      <c r="AN930" s="200"/>
      <c r="AO930" s="200"/>
      <c r="AP930" s="200"/>
      <c r="AQ930" s="200"/>
      <c r="AR930" s="200"/>
      <c r="AS930" s="200"/>
      <c r="AT930" s="200"/>
      <c r="AU930" s="200"/>
      <c r="AV930" s="200"/>
      <c r="AW930" s="200"/>
      <c r="AX930" s="200"/>
      <c r="AY930" s="200"/>
      <c r="AZ930" s="200"/>
      <c r="BA930" s="200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spans="1:70" ht="13.8">
      <c r="A931" s="1"/>
      <c r="B931" s="1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  <c r="AB931" s="200"/>
      <c r="AC931" s="200"/>
      <c r="AD931" s="200"/>
      <c r="AE931" s="200"/>
      <c r="AF931" s="200"/>
      <c r="AG931" s="200"/>
      <c r="AH931" s="200"/>
      <c r="AI931" s="200"/>
      <c r="AJ931" s="200"/>
      <c r="AK931" s="200"/>
      <c r="AL931" s="200"/>
      <c r="AM931" s="200"/>
      <c r="AN931" s="200"/>
      <c r="AO931" s="200"/>
      <c r="AP931" s="200"/>
      <c r="AQ931" s="200"/>
      <c r="AR931" s="200"/>
      <c r="AS931" s="200"/>
      <c r="AT931" s="200"/>
      <c r="AU931" s="200"/>
      <c r="AV931" s="200"/>
      <c r="AW931" s="200"/>
      <c r="AX931" s="200"/>
      <c r="AY931" s="200"/>
      <c r="AZ931" s="200"/>
      <c r="BA931" s="200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spans="1:70" ht="13.8">
      <c r="A932" s="1"/>
      <c r="B932" s="1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  <c r="AB932" s="200"/>
      <c r="AC932" s="200"/>
      <c r="AD932" s="200"/>
      <c r="AE932" s="200"/>
      <c r="AF932" s="200"/>
      <c r="AG932" s="200"/>
      <c r="AH932" s="200"/>
      <c r="AI932" s="200"/>
      <c r="AJ932" s="200"/>
      <c r="AK932" s="200"/>
      <c r="AL932" s="200"/>
      <c r="AM932" s="200"/>
      <c r="AN932" s="200"/>
      <c r="AO932" s="200"/>
      <c r="AP932" s="200"/>
      <c r="AQ932" s="200"/>
      <c r="AR932" s="200"/>
      <c r="AS932" s="200"/>
      <c r="AT932" s="200"/>
      <c r="AU932" s="200"/>
      <c r="AV932" s="200"/>
      <c r="AW932" s="200"/>
      <c r="AX932" s="200"/>
      <c r="AY932" s="200"/>
      <c r="AZ932" s="200"/>
      <c r="BA932" s="200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spans="1:70" ht="13.8">
      <c r="A933" s="1"/>
      <c r="B933" s="1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  <c r="AB933" s="200"/>
      <c r="AC933" s="200"/>
      <c r="AD933" s="200"/>
      <c r="AE933" s="200"/>
      <c r="AF933" s="200"/>
      <c r="AG933" s="200"/>
      <c r="AH933" s="200"/>
      <c r="AI933" s="200"/>
      <c r="AJ933" s="200"/>
      <c r="AK933" s="200"/>
      <c r="AL933" s="200"/>
      <c r="AM933" s="200"/>
      <c r="AN933" s="200"/>
      <c r="AO933" s="200"/>
      <c r="AP933" s="200"/>
      <c r="AQ933" s="200"/>
      <c r="AR933" s="200"/>
      <c r="AS933" s="200"/>
      <c r="AT933" s="200"/>
      <c r="AU933" s="200"/>
      <c r="AV933" s="200"/>
      <c r="AW933" s="200"/>
      <c r="AX933" s="200"/>
      <c r="AY933" s="200"/>
      <c r="AZ933" s="200"/>
      <c r="BA933" s="200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spans="1:70" ht="13.8">
      <c r="A934" s="1"/>
      <c r="B934" s="1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  <c r="AB934" s="200"/>
      <c r="AC934" s="200"/>
      <c r="AD934" s="200"/>
      <c r="AE934" s="200"/>
      <c r="AF934" s="200"/>
      <c r="AG934" s="200"/>
      <c r="AH934" s="200"/>
      <c r="AI934" s="200"/>
      <c r="AJ934" s="200"/>
      <c r="AK934" s="200"/>
      <c r="AL934" s="200"/>
      <c r="AM934" s="200"/>
      <c r="AN934" s="200"/>
      <c r="AO934" s="200"/>
      <c r="AP934" s="200"/>
      <c r="AQ934" s="200"/>
      <c r="AR934" s="200"/>
      <c r="AS934" s="200"/>
      <c r="AT934" s="200"/>
      <c r="AU934" s="200"/>
      <c r="AV934" s="200"/>
      <c r="AW934" s="200"/>
      <c r="AX934" s="200"/>
      <c r="AY934" s="200"/>
      <c r="AZ934" s="200"/>
      <c r="BA934" s="200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spans="1:70" ht="13.8">
      <c r="A935" s="1"/>
      <c r="B935" s="1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  <c r="AB935" s="200"/>
      <c r="AC935" s="200"/>
      <c r="AD935" s="200"/>
      <c r="AE935" s="200"/>
      <c r="AF935" s="200"/>
      <c r="AG935" s="200"/>
      <c r="AH935" s="200"/>
      <c r="AI935" s="200"/>
      <c r="AJ935" s="200"/>
      <c r="AK935" s="200"/>
      <c r="AL935" s="200"/>
      <c r="AM935" s="200"/>
      <c r="AN935" s="200"/>
      <c r="AO935" s="200"/>
      <c r="AP935" s="200"/>
      <c r="AQ935" s="200"/>
      <c r="AR935" s="200"/>
      <c r="AS935" s="200"/>
      <c r="AT935" s="200"/>
      <c r="AU935" s="200"/>
      <c r="AV935" s="200"/>
      <c r="AW935" s="200"/>
      <c r="AX935" s="200"/>
      <c r="AY935" s="200"/>
      <c r="AZ935" s="200"/>
      <c r="BA935" s="200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spans="1:70" ht="13.8">
      <c r="A936" s="1"/>
      <c r="B936" s="1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  <c r="AB936" s="200"/>
      <c r="AC936" s="200"/>
      <c r="AD936" s="200"/>
      <c r="AE936" s="200"/>
      <c r="AF936" s="200"/>
      <c r="AG936" s="200"/>
      <c r="AH936" s="200"/>
      <c r="AI936" s="200"/>
      <c r="AJ936" s="200"/>
      <c r="AK936" s="200"/>
      <c r="AL936" s="200"/>
      <c r="AM936" s="200"/>
      <c r="AN936" s="200"/>
      <c r="AO936" s="200"/>
      <c r="AP936" s="200"/>
      <c r="AQ936" s="200"/>
      <c r="AR936" s="200"/>
      <c r="AS936" s="200"/>
      <c r="AT936" s="200"/>
      <c r="AU936" s="200"/>
      <c r="AV936" s="200"/>
      <c r="AW936" s="200"/>
      <c r="AX936" s="200"/>
      <c r="AY936" s="200"/>
      <c r="AZ936" s="200"/>
      <c r="BA936" s="200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spans="1:70" ht="13.8">
      <c r="A937" s="1"/>
      <c r="B937" s="1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  <c r="AB937" s="200"/>
      <c r="AC937" s="200"/>
      <c r="AD937" s="200"/>
      <c r="AE937" s="200"/>
      <c r="AF937" s="200"/>
      <c r="AG937" s="200"/>
      <c r="AH937" s="200"/>
      <c r="AI937" s="200"/>
      <c r="AJ937" s="200"/>
      <c r="AK937" s="200"/>
      <c r="AL937" s="200"/>
      <c r="AM937" s="200"/>
      <c r="AN937" s="200"/>
      <c r="AO937" s="200"/>
      <c r="AP937" s="200"/>
      <c r="AQ937" s="200"/>
      <c r="AR937" s="200"/>
      <c r="AS937" s="200"/>
      <c r="AT937" s="200"/>
      <c r="AU937" s="200"/>
      <c r="AV937" s="200"/>
      <c r="AW937" s="200"/>
      <c r="AX937" s="200"/>
      <c r="AY937" s="200"/>
      <c r="AZ937" s="200"/>
      <c r="BA937" s="200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spans="1:70" ht="13.8">
      <c r="A938" s="1"/>
      <c r="B938" s="1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  <c r="AB938" s="200"/>
      <c r="AC938" s="200"/>
      <c r="AD938" s="200"/>
      <c r="AE938" s="200"/>
      <c r="AF938" s="200"/>
      <c r="AG938" s="200"/>
      <c r="AH938" s="200"/>
      <c r="AI938" s="200"/>
      <c r="AJ938" s="200"/>
      <c r="AK938" s="200"/>
      <c r="AL938" s="200"/>
      <c r="AM938" s="200"/>
      <c r="AN938" s="200"/>
      <c r="AO938" s="200"/>
      <c r="AP938" s="200"/>
      <c r="AQ938" s="200"/>
      <c r="AR938" s="200"/>
      <c r="AS938" s="200"/>
      <c r="AT938" s="200"/>
      <c r="AU938" s="200"/>
      <c r="AV938" s="200"/>
      <c r="AW938" s="200"/>
      <c r="AX938" s="200"/>
      <c r="AY938" s="200"/>
      <c r="AZ938" s="200"/>
      <c r="BA938" s="200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spans="1:70" ht="13.8">
      <c r="A939" s="1"/>
      <c r="B939" s="1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  <c r="AB939" s="200"/>
      <c r="AC939" s="200"/>
      <c r="AD939" s="200"/>
      <c r="AE939" s="200"/>
      <c r="AF939" s="200"/>
      <c r="AG939" s="200"/>
      <c r="AH939" s="200"/>
      <c r="AI939" s="200"/>
      <c r="AJ939" s="200"/>
      <c r="AK939" s="200"/>
      <c r="AL939" s="200"/>
      <c r="AM939" s="200"/>
      <c r="AN939" s="200"/>
      <c r="AO939" s="200"/>
      <c r="AP939" s="200"/>
      <c r="AQ939" s="200"/>
      <c r="AR939" s="200"/>
      <c r="AS939" s="200"/>
      <c r="AT939" s="200"/>
      <c r="AU939" s="200"/>
      <c r="AV939" s="200"/>
      <c r="AW939" s="200"/>
      <c r="AX939" s="200"/>
      <c r="AY939" s="200"/>
      <c r="AZ939" s="200"/>
      <c r="BA939" s="200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spans="1:70" ht="13.8">
      <c r="A940" s="1"/>
      <c r="B940" s="1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  <c r="AB940" s="200"/>
      <c r="AC940" s="200"/>
      <c r="AD940" s="200"/>
      <c r="AE940" s="200"/>
      <c r="AF940" s="200"/>
      <c r="AG940" s="200"/>
      <c r="AH940" s="200"/>
      <c r="AI940" s="200"/>
      <c r="AJ940" s="200"/>
      <c r="AK940" s="200"/>
      <c r="AL940" s="200"/>
      <c r="AM940" s="200"/>
      <c r="AN940" s="200"/>
      <c r="AO940" s="200"/>
      <c r="AP940" s="200"/>
      <c r="AQ940" s="200"/>
      <c r="AR940" s="200"/>
      <c r="AS940" s="200"/>
      <c r="AT940" s="200"/>
      <c r="AU940" s="200"/>
      <c r="AV940" s="200"/>
      <c r="AW940" s="200"/>
      <c r="AX940" s="200"/>
      <c r="AY940" s="200"/>
      <c r="AZ940" s="200"/>
      <c r="BA940" s="200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spans="1:70" ht="13.8">
      <c r="A941" s="1"/>
      <c r="B941" s="1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  <c r="AB941" s="200"/>
      <c r="AC941" s="200"/>
      <c r="AD941" s="200"/>
      <c r="AE941" s="200"/>
      <c r="AF941" s="200"/>
      <c r="AG941" s="200"/>
      <c r="AH941" s="200"/>
      <c r="AI941" s="200"/>
      <c r="AJ941" s="200"/>
      <c r="AK941" s="200"/>
      <c r="AL941" s="200"/>
      <c r="AM941" s="200"/>
      <c r="AN941" s="200"/>
      <c r="AO941" s="200"/>
      <c r="AP941" s="200"/>
      <c r="AQ941" s="200"/>
      <c r="AR941" s="200"/>
      <c r="AS941" s="200"/>
      <c r="AT941" s="200"/>
      <c r="AU941" s="200"/>
      <c r="AV941" s="200"/>
      <c r="AW941" s="200"/>
      <c r="AX941" s="200"/>
      <c r="AY941" s="200"/>
      <c r="AZ941" s="200"/>
      <c r="BA941" s="200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spans="1:70" ht="13.8">
      <c r="A942" s="1"/>
      <c r="B942" s="1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  <c r="AB942" s="200"/>
      <c r="AC942" s="200"/>
      <c r="AD942" s="200"/>
      <c r="AE942" s="200"/>
      <c r="AF942" s="200"/>
      <c r="AG942" s="200"/>
      <c r="AH942" s="200"/>
      <c r="AI942" s="200"/>
      <c r="AJ942" s="200"/>
      <c r="AK942" s="200"/>
      <c r="AL942" s="200"/>
      <c r="AM942" s="200"/>
      <c r="AN942" s="200"/>
      <c r="AO942" s="200"/>
      <c r="AP942" s="200"/>
      <c r="AQ942" s="200"/>
      <c r="AR942" s="200"/>
      <c r="AS942" s="200"/>
      <c r="AT942" s="200"/>
      <c r="AU942" s="200"/>
      <c r="AV942" s="200"/>
      <c r="AW942" s="200"/>
      <c r="AX942" s="200"/>
      <c r="AY942" s="200"/>
      <c r="AZ942" s="200"/>
      <c r="BA942" s="200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spans="1:70" ht="13.8">
      <c r="A943" s="1"/>
      <c r="B943" s="1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  <c r="AB943" s="200"/>
      <c r="AC943" s="200"/>
      <c r="AD943" s="200"/>
      <c r="AE943" s="200"/>
      <c r="AF943" s="200"/>
      <c r="AG943" s="200"/>
      <c r="AH943" s="200"/>
      <c r="AI943" s="200"/>
      <c r="AJ943" s="200"/>
      <c r="AK943" s="200"/>
      <c r="AL943" s="200"/>
      <c r="AM943" s="200"/>
      <c r="AN943" s="200"/>
      <c r="AO943" s="200"/>
      <c r="AP943" s="200"/>
      <c r="AQ943" s="200"/>
      <c r="AR943" s="200"/>
      <c r="AS943" s="200"/>
      <c r="AT943" s="200"/>
      <c r="AU943" s="200"/>
      <c r="AV943" s="200"/>
      <c r="AW943" s="200"/>
      <c r="AX943" s="200"/>
      <c r="AY943" s="200"/>
      <c r="AZ943" s="200"/>
      <c r="BA943" s="200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spans="1:70" ht="13.8">
      <c r="A944" s="1"/>
      <c r="B944" s="1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  <c r="AH944" s="200"/>
      <c r="AI944" s="200"/>
      <c r="AJ944" s="200"/>
      <c r="AK944" s="200"/>
      <c r="AL944" s="200"/>
      <c r="AM944" s="200"/>
      <c r="AN944" s="200"/>
      <c r="AO944" s="200"/>
      <c r="AP944" s="200"/>
      <c r="AQ944" s="200"/>
      <c r="AR944" s="200"/>
      <c r="AS944" s="200"/>
      <c r="AT944" s="200"/>
      <c r="AU944" s="200"/>
      <c r="AV944" s="200"/>
      <c r="AW944" s="200"/>
      <c r="AX944" s="200"/>
      <c r="AY944" s="200"/>
      <c r="AZ944" s="200"/>
      <c r="BA944" s="200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spans="1:70" ht="13.8">
      <c r="A945" s="1"/>
      <c r="B945" s="1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  <c r="AB945" s="200"/>
      <c r="AC945" s="200"/>
      <c r="AD945" s="200"/>
      <c r="AE945" s="200"/>
      <c r="AF945" s="200"/>
      <c r="AG945" s="200"/>
      <c r="AH945" s="200"/>
      <c r="AI945" s="200"/>
      <c r="AJ945" s="200"/>
      <c r="AK945" s="200"/>
      <c r="AL945" s="200"/>
      <c r="AM945" s="200"/>
      <c r="AN945" s="200"/>
      <c r="AO945" s="200"/>
      <c r="AP945" s="200"/>
      <c r="AQ945" s="200"/>
      <c r="AR945" s="200"/>
      <c r="AS945" s="200"/>
      <c r="AT945" s="200"/>
      <c r="AU945" s="200"/>
      <c r="AV945" s="200"/>
      <c r="AW945" s="200"/>
      <c r="AX945" s="200"/>
      <c r="AY945" s="200"/>
      <c r="AZ945" s="200"/>
      <c r="BA945" s="200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spans="1:70" ht="13.8">
      <c r="A946" s="1"/>
      <c r="B946" s="1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  <c r="AB946" s="200"/>
      <c r="AC946" s="200"/>
      <c r="AD946" s="200"/>
      <c r="AE946" s="200"/>
      <c r="AF946" s="200"/>
      <c r="AG946" s="200"/>
      <c r="AH946" s="200"/>
      <c r="AI946" s="200"/>
      <c r="AJ946" s="200"/>
      <c r="AK946" s="200"/>
      <c r="AL946" s="200"/>
      <c r="AM946" s="200"/>
      <c r="AN946" s="200"/>
      <c r="AO946" s="200"/>
      <c r="AP946" s="200"/>
      <c r="AQ946" s="200"/>
      <c r="AR946" s="200"/>
      <c r="AS946" s="200"/>
      <c r="AT946" s="200"/>
      <c r="AU946" s="200"/>
      <c r="AV946" s="200"/>
      <c r="AW946" s="200"/>
      <c r="AX946" s="200"/>
      <c r="AY946" s="200"/>
      <c r="AZ946" s="200"/>
      <c r="BA946" s="200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spans="1:70" ht="13.8">
      <c r="A947" s="1"/>
      <c r="B947" s="1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  <c r="AB947" s="200"/>
      <c r="AC947" s="200"/>
      <c r="AD947" s="200"/>
      <c r="AE947" s="200"/>
      <c r="AF947" s="200"/>
      <c r="AG947" s="200"/>
      <c r="AH947" s="200"/>
      <c r="AI947" s="200"/>
      <c r="AJ947" s="200"/>
      <c r="AK947" s="200"/>
      <c r="AL947" s="200"/>
      <c r="AM947" s="200"/>
      <c r="AN947" s="200"/>
      <c r="AO947" s="200"/>
      <c r="AP947" s="200"/>
      <c r="AQ947" s="200"/>
      <c r="AR947" s="200"/>
      <c r="AS947" s="200"/>
      <c r="AT947" s="200"/>
      <c r="AU947" s="200"/>
      <c r="AV947" s="200"/>
      <c r="AW947" s="200"/>
      <c r="AX947" s="200"/>
      <c r="AY947" s="200"/>
      <c r="AZ947" s="200"/>
      <c r="BA947" s="200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spans="1:70" ht="13.8">
      <c r="A948" s="1"/>
      <c r="B948" s="1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  <c r="AB948" s="200"/>
      <c r="AC948" s="200"/>
      <c r="AD948" s="200"/>
      <c r="AE948" s="200"/>
      <c r="AF948" s="200"/>
      <c r="AG948" s="200"/>
      <c r="AH948" s="200"/>
      <c r="AI948" s="200"/>
      <c r="AJ948" s="200"/>
      <c r="AK948" s="200"/>
      <c r="AL948" s="200"/>
      <c r="AM948" s="200"/>
      <c r="AN948" s="200"/>
      <c r="AO948" s="200"/>
      <c r="AP948" s="200"/>
      <c r="AQ948" s="200"/>
      <c r="AR948" s="200"/>
      <c r="AS948" s="200"/>
      <c r="AT948" s="200"/>
      <c r="AU948" s="200"/>
      <c r="AV948" s="200"/>
      <c r="AW948" s="200"/>
      <c r="AX948" s="200"/>
      <c r="AY948" s="200"/>
      <c r="AZ948" s="200"/>
      <c r="BA948" s="200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spans="1:70" ht="13.8">
      <c r="A949" s="1"/>
      <c r="B949" s="1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  <c r="AB949" s="200"/>
      <c r="AC949" s="200"/>
      <c r="AD949" s="200"/>
      <c r="AE949" s="200"/>
      <c r="AF949" s="200"/>
      <c r="AG949" s="200"/>
      <c r="AH949" s="200"/>
      <c r="AI949" s="200"/>
      <c r="AJ949" s="200"/>
      <c r="AK949" s="200"/>
      <c r="AL949" s="200"/>
      <c r="AM949" s="200"/>
      <c r="AN949" s="200"/>
      <c r="AO949" s="200"/>
      <c r="AP949" s="200"/>
      <c r="AQ949" s="200"/>
      <c r="AR949" s="200"/>
      <c r="AS949" s="200"/>
      <c r="AT949" s="200"/>
      <c r="AU949" s="200"/>
      <c r="AV949" s="200"/>
      <c r="AW949" s="200"/>
      <c r="AX949" s="200"/>
      <c r="AY949" s="200"/>
      <c r="AZ949" s="200"/>
      <c r="BA949" s="200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spans="1:70" ht="13.8">
      <c r="A950" s="1"/>
      <c r="B950" s="1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  <c r="AB950" s="200"/>
      <c r="AC950" s="200"/>
      <c r="AD950" s="200"/>
      <c r="AE950" s="200"/>
      <c r="AF950" s="200"/>
      <c r="AG950" s="200"/>
      <c r="AH950" s="200"/>
      <c r="AI950" s="200"/>
      <c r="AJ950" s="200"/>
      <c r="AK950" s="200"/>
      <c r="AL950" s="200"/>
      <c r="AM950" s="200"/>
      <c r="AN950" s="200"/>
      <c r="AO950" s="200"/>
      <c r="AP950" s="200"/>
      <c r="AQ950" s="200"/>
      <c r="AR950" s="200"/>
      <c r="AS950" s="200"/>
      <c r="AT950" s="200"/>
      <c r="AU950" s="200"/>
      <c r="AV950" s="200"/>
      <c r="AW950" s="200"/>
      <c r="AX950" s="200"/>
      <c r="AY950" s="200"/>
      <c r="AZ950" s="200"/>
      <c r="BA950" s="200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spans="1:70" ht="13.8">
      <c r="A951" s="1"/>
      <c r="B951" s="1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  <c r="AB951" s="200"/>
      <c r="AC951" s="200"/>
      <c r="AD951" s="200"/>
      <c r="AE951" s="200"/>
      <c r="AF951" s="200"/>
      <c r="AG951" s="200"/>
      <c r="AH951" s="200"/>
      <c r="AI951" s="200"/>
      <c r="AJ951" s="200"/>
      <c r="AK951" s="200"/>
      <c r="AL951" s="200"/>
      <c r="AM951" s="200"/>
      <c r="AN951" s="200"/>
      <c r="AO951" s="200"/>
      <c r="AP951" s="200"/>
      <c r="AQ951" s="200"/>
      <c r="AR951" s="200"/>
      <c r="AS951" s="200"/>
      <c r="AT951" s="200"/>
      <c r="AU951" s="200"/>
      <c r="AV951" s="200"/>
      <c r="AW951" s="200"/>
      <c r="AX951" s="200"/>
      <c r="AY951" s="200"/>
      <c r="AZ951" s="200"/>
      <c r="BA951" s="200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spans="1:70" ht="13.8">
      <c r="A952" s="1"/>
      <c r="B952" s="1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  <c r="AB952" s="200"/>
      <c r="AC952" s="200"/>
      <c r="AD952" s="200"/>
      <c r="AE952" s="200"/>
      <c r="AF952" s="200"/>
      <c r="AG952" s="200"/>
      <c r="AH952" s="200"/>
      <c r="AI952" s="200"/>
      <c r="AJ952" s="200"/>
      <c r="AK952" s="200"/>
      <c r="AL952" s="200"/>
      <c r="AM952" s="200"/>
      <c r="AN952" s="200"/>
      <c r="AO952" s="200"/>
      <c r="AP952" s="200"/>
      <c r="AQ952" s="200"/>
      <c r="AR952" s="200"/>
      <c r="AS952" s="200"/>
      <c r="AT952" s="200"/>
      <c r="AU952" s="200"/>
      <c r="AV952" s="200"/>
      <c r="AW952" s="200"/>
      <c r="AX952" s="200"/>
      <c r="AY952" s="200"/>
      <c r="AZ952" s="200"/>
      <c r="BA952" s="200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spans="1:70" ht="13.8">
      <c r="A953" s="1"/>
      <c r="B953" s="1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  <c r="AB953" s="200"/>
      <c r="AC953" s="200"/>
      <c r="AD953" s="200"/>
      <c r="AE953" s="200"/>
      <c r="AF953" s="200"/>
      <c r="AG953" s="200"/>
      <c r="AH953" s="200"/>
      <c r="AI953" s="200"/>
      <c r="AJ953" s="200"/>
      <c r="AK953" s="200"/>
      <c r="AL953" s="200"/>
      <c r="AM953" s="200"/>
      <c r="AN953" s="200"/>
      <c r="AO953" s="200"/>
      <c r="AP953" s="200"/>
      <c r="AQ953" s="200"/>
      <c r="AR953" s="200"/>
      <c r="AS953" s="200"/>
      <c r="AT953" s="200"/>
      <c r="AU953" s="200"/>
      <c r="AV953" s="200"/>
      <c r="AW953" s="200"/>
      <c r="AX953" s="200"/>
      <c r="AY953" s="200"/>
      <c r="AZ953" s="200"/>
      <c r="BA953" s="200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spans="1:70" ht="13.8">
      <c r="A954" s="1"/>
      <c r="B954" s="1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  <c r="AB954" s="200"/>
      <c r="AC954" s="200"/>
      <c r="AD954" s="200"/>
      <c r="AE954" s="200"/>
      <c r="AF954" s="200"/>
      <c r="AG954" s="200"/>
      <c r="AH954" s="200"/>
      <c r="AI954" s="200"/>
      <c r="AJ954" s="200"/>
      <c r="AK954" s="200"/>
      <c r="AL954" s="200"/>
      <c r="AM954" s="200"/>
      <c r="AN954" s="200"/>
      <c r="AO954" s="200"/>
      <c r="AP954" s="200"/>
      <c r="AQ954" s="200"/>
      <c r="AR954" s="200"/>
      <c r="AS954" s="200"/>
      <c r="AT954" s="200"/>
      <c r="AU954" s="200"/>
      <c r="AV954" s="200"/>
      <c r="AW954" s="200"/>
      <c r="AX954" s="200"/>
      <c r="AY954" s="200"/>
      <c r="AZ954" s="200"/>
      <c r="BA954" s="200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spans="1:70" ht="13.8">
      <c r="A955" s="1"/>
      <c r="B955" s="1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  <c r="AB955" s="200"/>
      <c r="AC955" s="200"/>
      <c r="AD955" s="200"/>
      <c r="AE955" s="200"/>
      <c r="AF955" s="200"/>
      <c r="AG955" s="200"/>
      <c r="AH955" s="200"/>
      <c r="AI955" s="200"/>
      <c r="AJ955" s="200"/>
      <c r="AK955" s="200"/>
      <c r="AL955" s="200"/>
      <c r="AM955" s="200"/>
      <c r="AN955" s="200"/>
      <c r="AO955" s="200"/>
      <c r="AP955" s="200"/>
      <c r="AQ955" s="200"/>
      <c r="AR955" s="200"/>
      <c r="AS955" s="200"/>
      <c r="AT955" s="200"/>
      <c r="AU955" s="200"/>
      <c r="AV955" s="200"/>
      <c r="AW955" s="200"/>
      <c r="AX955" s="200"/>
      <c r="AY955" s="200"/>
      <c r="AZ955" s="200"/>
      <c r="BA955" s="200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spans="1:70" ht="13.8">
      <c r="A956" s="1"/>
      <c r="B956" s="1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  <c r="AB956" s="200"/>
      <c r="AC956" s="200"/>
      <c r="AD956" s="200"/>
      <c r="AE956" s="200"/>
      <c r="AF956" s="200"/>
      <c r="AG956" s="200"/>
      <c r="AH956" s="200"/>
      <c r="AI956" s="200"/>
      <c r="AJ956" s="200"/>
      <c r="AK956" s="200"/>
      <c r="AL956" s="200"/>
      <c r="AM956" s="200"/>
      <c r="AN956" s="200"/>
      <c r="AO956" s="200"/>
      <c r="AP956" s="200"/>
      <c r="AQ956" s="200"/>
      <c r="AR956" s="200"/>
      <c r="AS956" s="200"/>
      <c r="AT956" s="200"/>
      <c r="AU956" s="200"/>
      <c r="AV956" s="200"/>
      <c r="AW956" s="200"/>
      <c r="AX956" s="200"/>
      <c r="AY956" s="200"/>
      <c r="AZ956" s="200"/>
      <c r="BA956" s="200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spans="1:70" ht="13.8">
      <c r="A957" s="1"/>
      <c r="B957" s="1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  <c r="AB957" s="200"/>
      <c r="AC957" s="200"/>
      <c r="AD957" s="200"/>
      <c r="AE957" s="200"/>
      <c r="AF957" s="200"/>
      <c r="AG957" s="200"/>
      <c r="AH957" s="200"/>
      <c r="AI957" s="200"/>
      <c r="AJ957" s="200"/>
      <c r="AK957" s="200"/>
      <c r="AL957" s="200"/>
      <c r="AM957" s="200"/>
      <c r="AN957" s="200"/>
      <c r="AO957" s="200"/>
      <c r="AP957" s="200"/>
      <c r="AQ957" s="200"/>
      <c r="AR957" s="200"/>
      <c r="AS957" s="200"/>
      <c r="AT957" s="200"/>
      <c r="AU957" s="200"/>
      <c r="AV957" s="200"/>
      <c r="AW957" s="200"/>
      <c r="AX957" s="200"/>
      <c r="AY957" s="200"/>
      <c r="AZ957" s="200"/>
      <c r="BA957" s="200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spans="1:70" ht="13.8">
      <c r="A958" s="1"/>
      <c r="B958" s="1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  <c r="AB958" s="200"/>
      <c r="AC958" s="200"/>
      <c r="AD958" s="200"/>
      <c r="AE958" s="200"/>
      <c r="AF958" s="200"/>
      <c r="AG958" s="200"/>
      <c r="AH958" s="200"/>
      <c r="AI958" s="200"/>
      <c r="AJ958" s="200"/>
      <c r="AK958" s="200"/>
      <c r="AL958" s="200"/>
      <c r="AM958" s="200"/>
      <c r="AN958" s="200"/>
      <c r="AO958" s="200"/>
      <c r="AP958" s="200"/>
      <c r="AQ958" s="200"/>
      <c r="AR958" s="200"/>
      <c r="AS958" s="200"/>
      <c r="AT958" s="200"/>
      <c r="AU958" s="200"/>
      <c r="AV958" s="200"/>
      <c r="AW958" s="200"/>
      <c r="AX958" s="200"/>
      <c r="AY958" s="200"/>
      <c r="AZ958" s="200"/>
      <c r="BA958" s="200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spans="1:70" ht="13.8">
      <c r="A959" s="1"/>
      <c r="B959" s="1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  <c r="AB959" s="200"/>
      <c r="AC959" s="200"/>
      <c r="AD959" s="200"/>
      <c r="AE959" s="200"/>
      <c r="AF959" s="200"/>
      <c r="AG959" s="200"/>
      <c r="AH959" s="200"/>
      <c r="AI959" s="200"/>
      <c r="AJ959" s="200"/>
      <c r="AK959" s="200"/>
      <c r="AL959" s="200"/>
      <c r="AM959" s="200"/>
      <c r="AN959" s="200"/>
      <c r="AO959" s="200"/>
      <c r="AP959" s="200"/>
      <c r="AQ959" s="200"/>
      <c r="AR959" s="200"/>
      <c r="AS959" s="200"/>
      <c r="AT959" s="200"/>
      <c r="AU959" s="200"/>
      <c r="AV959" s="200"/>
      <c r="AW959" s="200"/>
      <c r="AX959" s="200"/>
      <c r="AY959" s="200"/>
      <c r="AZ959" s="200"/>
      <c r="BA959" s="200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spans="1:70" ht="13.8">
      <c r="A960" s="1"/>
      <c r="B960" s="1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  <c r="AB960" s="200"/>
      <c r="AC960" s="200"/>
      <c r="AD960" s="200"/>
      <c r="AE960" s="200"/>
      <c r="AF960" s="200"/>
      <c r="AG960" s="200"/>
      <c r="AH960" s="200"/>
      <c r="AI960" s="200"/>
      <c r="AJ960" s="200"/>
      <c r="AK960" s="200"/>
      <c r="AL960" s="200"/>
      <c r="AM960" s="200"/>
      <c r="AN960" s="200"/>
      <c r="AO960" s="200"/>
      <c r="AP960" s="200"/>
      <c r="AQ960" s="200"/>
      <c r="AR960" s="200"/>
      <c r="AS960" s="200"/>
      <c r="AT960" s="200"/>
      <c r="AU960" s="200"/>
      <c r="AV960" s="200"/>
      <c r="AW960" s="200"/>
      <c r="AX960" s="200"/>
      <c r="AY960" s="200"/>
      <c r="AZ960" s="200"/>
      <c r="BA960" s="200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spans="1:70" ht="13.8">
      <c r="A961" s="1"/>
      <c r="B961" s="1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  <c r="AB961" s="200"/>
      <c r="AC961" s="200"/>
      <c r="AD961" s="200"/>
      <c r="AE961" s="200"/>
      <c r="AF961" s="200"/>
      <c r="AG961" s="200"/>
      <c r="AH961" s="200"/>
      <c r="AI961" s="200"/>
      <c r="AJ961" s="200"/>
      <c r="AK961" s="200"/>
      <c r="AL961" s="200"/>
      <c r="AM961" s="200"/>
      <c r="AN961" s="200"/>
      <c r="AO961" s="200"/>
      <c r="AP961" s="200"/>
      <c r="AQ961" s="200"/>
      <c r="AR961" s="200"/>
      <c r="AS961" s="200"/>
      <c r="AT961" s="200"/>
      <c r="AU961" s="200"/>
      <c r="AV961" s="200"/>
      <c r="AW961" s="200"/>
      <c r="AX961" s="200"/>
      <c r="AY961" s="200"/>
      <c r="AZ961" s="200"/>
      <c r="BA961" s="200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spans="1:70" ht="13.8">
      <c r="A962" s="1"/>
      <c r="B962" s="1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  <c r="AB962" s="200"/>
      <c r="AC962" s="200"/>
      <c r="AD962" s="200"/>
      <c r="AE962" s="200"/>
      <c r="AF962" s="200"/>
      <c r="AG962" s="200"/>
      <c r="AH962" s="200"/>
      <c r="AI962" s="200"/>
      <c r="AJ962" s="200"/>
      <c r="AK962" s="200"/>
      <c r="AL962" s="200"/>
      <c r="AM962" s="200"/>
      <c r="AN962" s="200"/>
      <c r="AO962" s="200"/>
      <c r="AP962" s="200"/>
      <c r="AQ962" s="200"/>
      <c r="AR962" s="200"/>
      <c r="AS962" s="200"/>
      <c r="AT962" s="200"/>
      <c r="AU962" s="200"/>
      <c r="AV962" s="200"/>
      <c r="AW962" s="200"/>
      <c r="AX962" s="200"/>
      <c r="AY962" s="200"/>
      <c r="AZ962" s="200"/>
      <c r="BA962" s="200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spans="1:70" ht="13.8">
      <c r="A963" s="1"/>
      <c r="B963" s="1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  <c r="AB963" s="200"/>
      <c r="AC963" s="200"/>
      <c r="AD963" s="200"/>
      <c r="AE963" s="200"/>
      <c r="AF963" s="200"/>
      <c r="AG963" s="200"/>
      <c r="AH963" s="200"/>
      <c r="AI963" s="200"/>
      <c r="AJ963" s="200"/>
      <c r="AK963" s="200"/>
      <c r="AL963" s="200"/>
      <c r="AM963" s="200"/>
      <c r="AN963" s="200"/>
      <c r="AO963" s="200"/>
      <c r="AP963" s="200"/>
      <c r="AQ963" s="200"/>
      <c r="AR963" s="200"/>
      <c r="AS963" s="200"/>
      <c r="AT963" s="200"/>
      <c r="AU963" s="200"/>
      <c r="AV963" s="200"/>
      <c r="AW963" s="200"/>
      <c r="AX963" s="200"/>
      <c r="AY963" s="200"/>
      <c r="AZ963" s="200"/>
      <c r="BA963" s="200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spans="1:70" ht="13.8">
      <c r="A964" s="1"/>
      <c r="B964" s="1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  <c r="AB964" s="200"/>
      <c r="AC964" s="200"/>
      <c r="AD964" s="200"/>
      <c r="AE964" s="200"/>
      <c r="AF964" s="200"/>
      <c r="AG964" s="200"/>
      <c r="AH964" s="200"/>
      <c r="AI964" s="200"/>
      <c r="AJ964" s="200"/>
      <c r="AK964" s="200"/>
      <c r="AL964" s="200"/>
      <c r="AM964" s="200"/>
      <c r="AN964" s="200"/>
      <c r="AO964" s="200"/>
      <c r="AP964" s="200"/>
      <c r="AQ964" s="200"/>
      <c r="AR964" s="200"/>
      <c r="AS964" s="200"/>
      <c r="AT964" s="200"/>
      <c r="AU964" s="200"/>
      <c r="AV964" s="200"/>
      <c r="AW964" s="200"/>
      <c r="AX964" s="200"/>
      <c r="AY964" s="200"/>
      <c r="AZ964" s="200"/>
      <c r="BA964" s="200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spans="1:70" ht="13.8">
      <c r="A965" s="1"/>
      <c r="B965" s="1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  <c r="AB965" s="200"/>
      <c r="AC965" s="200"/>
      <c r="AD965" s="200"/>
      <c r="AE965" s="200"/>
      <c r="AF965" s="200"/>
      <c r="AG965" s="200"/>
      <c r="AH965" s="200"/>
      <c r="AI965" s="200"/>
      <c r="AJ965" s="200"/>
      <c r="AK965" s="200"/>
      <c r="AL965" s="200"/>
      <c r="AM965" s="200"/>
      <c r="AN965" s="200"/>
      <c r="AO965" s="200"/>
      <c r="AP965" s="200"/>
      <c r="AQ965" s="200"/>
      <c r="AR965" s="200"/>
      <c r="AS965" s="200"/>
      <c r="AT965" s="200"/>
      <c r="AU965" s="200"/>
      <c r="AV965" s="200"/>
      <c r="AW965" s="200"/>
      <c r="AX965" s="200"/>
      <c r="AY965" s="200"/>
      <c r="AZ965" s="200"/>
      <c r="BA965" s="200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spans="1:70" ht="13.8">
      <c r="A966" s="1"/>
      <c r="B966" s="1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  <c r="AB966" s="200"/>
      <c r="AC966" s="200"/>
      <c r="AD966" s="200"/>
      <c r="AE966" s="200"/>
      <c r="AF966" s="200"/>
      <c r="AG966" s="200"/>
      <c r="AH966" s="200"/>
      <c r="AI966" s="200"/>
      <c r="AJ966" s="200"/>
      <c r="AK966" s="200"/>
      <c r="AL966" s="200"/>
      <c r="AM966" s="200"/>
      <c r="AN966" s="200"/>
      <c r="AO966" s="200"/>
      <c r="AP966" s="200"/>
      <c r="AQ966" s="200"/>
      <c r="AR966" s="200"/>
      <c r="AS966" s="200"/>
      <c r="AT966" s="200"/>
      <c r="AU966" s="200"/>
      <c r="AV966" s="200"/>
      <c r="AW966" s="200"/>
      <c r="AX966" s="200"/>
      <c r="AY966" s="200"/>
      <c r="AZ966" s="200"/>
      <c r="BA966" s="200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spans="1:70" ht="13.8">
      <c r="A967" s="1"/>
      <c r="B967" s="1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  <c r="AB967" s="200"/>
      <c r="AC967" s="200"/>
      <c r="AD967" s="200"/>
      <c r="AE967" s="200"/>
      <c r="AF967" s="200"/>
      <c r="AG967" s="200"/>
      <c r="AH967" s="200"/>
      <c r="AI967" s="200"/>
      <c r="AJ967" s="200"/>
      <c r="AK967" s="200"/>
      <c r="AL967" s="200"/>
      <c r="AM967" s="200"/>
      <c r="AN967" s="200"/>
      <c r="AO967" s="200"/>
      <c r="AP967" s="200"/>
      <c r="AQ967" s="200"/>
      <c r="AR967" s="200"/>
      <c r="AS967" s="200"/>
      <c r="AT967" s="200"/>
      <c r="AU967" s="200"/>
      <c r="AV967" s="200"/>
      <c r="AW967" s="200"/>
      <c r="AX967" s="200"/>
      <c r="AY967" s="200"/>
      <c r="AZ967" s="200"/>
      <c r="BA967" s="200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spans="1:70" ht="13.8">
      <c r="A968" s="1"/>
      <c r="B968" s="1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  <c r="AB968" s="200"/>
      <c r="AC968" s="200"/>
      <c r="AD968" s="200"/>
      <c r="AE968" s="200"/>
      <c r="AF968" s="200"/>
      <c r="AG968" s="200"/>
      <c r="AH968" s="200"/>
      <c r="AI968" s="200"/>
      <c r="AJ968" s="200"/>
      <c r="AK968" s="200"/>
      <c r="AL968" s="200"/>
      <c r="AM968" s="200"/>
      <c r="AN968" s="200"/>
      <c r="AO968" s="200"/>
      <c r="AP968" s="200"/>
      <c r="AQ968" s="200"/>
      <c r="AR968" s="200"/>
      <c r="AS968" s="200"/>
      <c r="AT968" s="200"/>
      <c r="AU968" s="200"/>
      <c r="AV968" s="200"/>
      <c r="AW968" s="200"/>
      <c r="AX968" s="200"/>
      <c r="AY968" s="200"/>
      <c r="AZ968" s="200"/>
      <c r="BA968" s="200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spans="1:70" ht="13.8">
      <c r="A969" s="1"/>
      <c r="B969" s="1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  <c r="AB969" s="200"/>
      <c r="AC969" s="200"/>
      <c r="AD969" s="200"/>
      <c r="AE969" s="200"/>
      <c r="AF969" s="200"/>
      <c r="AG969" s="200"/>
      <c r="AH969" s="200"/>
      <c r="AI969" s="200"/>
      <c r="AJ969" s="200"/>
      <c r="AK969" s="200"/>
      <c r="AL969" s="200"/>
      <c r="AM969" s="200"/>
      <c r="AN969" s="200"/>
      <c r="AO969" s="200"/>
      <c r="AP969" s="200"/>
      <c r="AQ969" s="200"/>
      <c r="AR969" s="200"/>
      <c r="AS969" s="200"/>
      <c r="AT969" s="200"/>
      <c r="AU969" s="200"/>
      <c r="AV969" s="200"/>
      <c r="AW969" s="200"/>
      <c r="AX969" s="200"/>
      <c r="AY969" s="200"/>
      <c r="AZ969" s="200"/>
      <c r="BA969" s="200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spans="1:70" ht="13.8">
      <c r="A970" s="1"/>
      <c r="B970" s="1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  <c r="AB970" s="200"/>
      <c r="AC970" s="200"/>
      <c r="AD970" s="200"/>
      <c r="AE970" s="200"/>
      <c r="AF970" s="200"/>
      <c r="AG970" s="200"/>
      <c r="AH970" s="200"/>
      <c r="AI970" s="200"/>
      <c r="AJ970" s="200"/>
      <c r="AK970" s="200"/>
      <c r="AL970" s="200"/>
      <c r="AM970" s="200"/>
      <c r="AN970" s="200"/>
      <c r="AO970" s="200"/>
      <c r="AP970" s="200"/>
      <c r="AQ970" s="200"/>
      <c r="AR970" s="200"/>
      <c r="AS970" s="200"/>
      <c r="AT970" s="200"/>
      <c r="AU970" s="200"/>
      <c r="AV970" s="200"/>
      <c r="AW970" s="200"/>
      <c r="AX970" s="200"/>
      <c r="AY970" s="200"/>
      <c r="AZ970" s="200"/>
      <c r="BA970" s="200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spans="1:70" ht="13.8">
      <c r="A971" s="1"/>
      <c r="B971" s="1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  <c r="AB971" s="200"/>
      <c r="AC971" s="200"/>
      <c r="AD971" s="200"/>
      <c r="AE971" s="200"/>
      <c r="AF971" s="200"/>
      <c r="AG971" s="200"/>
      <c r="AH971" s="200"/>
      <c r="AI971" s="200"/>
      <c r="AJ971" s="200"/>
      <c r="AK971" s="200"/>
      <c r="AL971" s="200"/>
      <c r="AM971" s="200"/>
      <c r="AN971" s="200"/>
      <c r="AO971" s="200"/>
      <c r="AP971" s="200"/>
      <c r="AQ971" s="200"/>
      <c r="AR971" s="200"/>
      <c r="AS971" s="200"/>
      <c r="AT971" s="200"/>
      <c r="AU971" s="200"/>
      <c r="AV971" s="200"/>
      <c r="AW971" s="200"/>
      <c r="AX971" s="200"/>
      <c r="AY971" s="200"/>
      <c r="AZ971" s="200"/>
      <c r="BA971" s="200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spans="1:70" ht="13.8">
      <c r="A972" s="1"/>
      <c r="B972" s="1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  <c r="AB972" s="200"/>
      <c r="AC972" s="200"/>
      <c r="AD972" s="200"/>
      <c r="AE972" s="200"/>
      <c r="AF972" s="200"/>
      <c r="AG972" s="200"/>
      <c r="AH972" s="200"/>
      <c r="AI972" s="200"/>
      <c r="AJ972" s="200"/>
      <c r="AK972" s="200"/>
      <c r="AL972" s="200"/>
      <c r="AM972" s="200"/>
      <c r="AN972" s="200"/>
      <c r="AO972" s="200"/>
      <c r="AP972" s="200"/>
      <c r="AQ972" s="200"/>
      <c r="AR972" s="200"/>
      <c r="AS972" s="200"/>
      <c r="AT972" s="200"/>
      <c r="AU972" s="200"/>
      <c r="AV972" s="200"/>
      <c r="AW972" s="200"/>
      <c r="AX972" s="200"/>
      <c r="AY972" s="200"/>
      <c r="AZ972" s="200"/>
      <c r="BA972" s="200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spans="1:70" ht="13.8">
      <c r="A973" s="1"/>
      <c r="B973" s="1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  <c r="AB973" s="200"/>
      <c r="AC973" s="200"/>
      <c r="AD973" s="200"/>
      <c r="AE973" s="200"/>
      <c r="AF973" s="200"/>
      <c r="AG973" s="200"/>
      <c r="AH973" s="200"/>
      <c r="AI973" s="200"/>
      <c r="AJ973" s="200"/>
      <c r="AK973" s="200"/>
      <c r="AL973" s="200"/>
      <c r="AM973" s="200"/>
      <c r="AN973" s="200"/>
      <c r="AO973" s="200"/>
      <c r="AP973" s="200"/>
      <c r="AQ973" s="200"/>
      <c r="AR973" s="200"/>
      <c r="AS973" s="200"/>
      <c r="AT973" s="200"/>
      <c r="AU973" s="200"/>
      <c r="AV973" s="200"/>
      <c r="AW973" s="200"/>
      <c r="AX973" s="200"/>
      <c r="AY973" s="200"/>
      <c r="AZ973" s="200"/>
      <c r="BA973" s="200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spans="1:70" ht="13.8">
      <c r="A974" s="1"/>
      <c r="B974" s="1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  <c r="AB974" s="200"/>
      <c r="AC974" s="200"/>
      <c r="AD974" s="200"/>
      <c r="AE974" s="200"/>
      <c r="AF974" s="200"/>
      <c r="AG974" s="200"/>
      <c r="AH974" s="200"/>
      <c r="AI974" s="200"/>
      <c r="AJ974" s="200"/>
      <c r="AK974" s="200"/>
      <c r="AL974" s="200"/>
      <c r="AM974" s="200"/>
      <c r="AN974" s="200"/>
      <c r="AO974" s="200"/>
      <c r="AP974" s="200"/>
      <c r="AQ974" s="200"/>
      <c r="AR974" s="200"/>
      <c r="AS974" s="200"/>
      <c r="AT974" s="200"/>
      <c r="AU974" s="200"/>
      <c r="AV974" s="200"/>
      <c r="AW974" s="200"/>
      <c r="AX974" s="200"/>
      <c r="AY974" s="200"/>
      <c r="AZ974" s="200"/>
      <c r="BA974" s="200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spans="1:70" ht="13.8">
      <c r="A975" s="1"/>
      <c r="B975" s="1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  <c r="AB975" s="200"/>
      <c r="AC975" s="200"/>
      <c r="AD975" s="200"/>
      <c r="AE975" s="200"/>
      <c r="AF975" s="200"/>
      <c r="AG975" s="200"/>
      <c r="AH975" s="200"/>
      <c r="AI975" s="200"/>
      <c r="AJ975" s="200"/>
      <c r="AK975" s="200"/>
      <c r="AL975" s="200"/>
      <c r="AM975" s="200"/>
      <c r="AN975" s="200"/>
      <c r="AO975" s="200"/>
      <c r="AP975" s="200"/>
      <c r="AQ975" s="200"/>
      <c r="AR975" s="200"/>
      <c r="AS975" s="200"/>
      <c r="AT975" s="200"/>
      <c r="AU975" s="200"/>
      <c r="AV975" s="200"/>
      <c r="AW975" s="200"/>
      <c r="AX975" s="200"/>
      <c r="AY975" s="200"/>
      <c r="AZ975" s="200"/>
      <c r="BA975" s="200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spans="1:70" ht="13.8">
      <c r="A976" s="1"/>
      <c r="B976" s="1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  <c r="AB976" s="200"/>
      <c r="AC976" s="200"/>
      <c r="AD976" s="200"/>
      <c r="AE976" s="200"/>
      <c r="AF976" s="200"/>
      <c r="AG976" s="200"/>
      <c r="AH976" s="200"/>
      <c r="AI976" s="200"/>
      <c r="AJ976" s="200"/>
      <c r="AK976" s="200"/>
      <c r="AL976" s="200"/>
      <c r="AM976" s="200"/>
      <c r="AN976" s="200"/>
      <c r="AO976" s="200"/>
      <c r="AP976" s="200"/>
      <c r="AQ976" s="200"/>
      <c r="AR976" s="200"/>
      <c r="AS976" s="200"/>
      <c r="AT976" s="200"/>
      <c r="AU976" s="200"/>
      <c r="AV976" s="200"/>
      <c r="AW976" s="200"/>
      <c r="AX976" s="200"/>
      <c r="AY976" s="200"/>
      <c r="AZ976" s="200"/>
      <c r="BA976" s="200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spans="1:70" ht="13.8">
      <c r="A977" s="1"/>
      <c r="B977" s="1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  <c r="AB977" s="200"/>
      <c r="AC977" s="200"/>
      <c r="AD977" s="200"/>
      <c r="AE977" s="200"/>
      <c r="AF977" s="200"/>
      <c r="AG977" s="200"/>
      <c r="AH977" s="200"/>
      <c r="AI977" s="200"/>
      <c r="AJ977" s="200"/>
      <c r="AK977" s="200"/>
      <c r="AL977" s="200"/>
      <c r="AM977" s="200"/>
      <c r="AN977" s="200"/>
      <c r="AO977" s="200"/>
      <c r="AP977" s="200"/>
      <c r="AQ977" s="200"/>
      <c r="AR977" s="200"/>
      <c r="AS977" s="200"/>
      <c r="AT977" s="200"/>
      <c r="AU977" s="200"/>
      <c r="AV977" s="200"/>
      <c r="AW977" s="200"/>
      <c r="AX977" s="200"/>
      <c r="AY977" s="200"/>
      <c r="AZ977" s="200"/>
      <c r="BA977" s="200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spans="1:70" ht="13.8">
      <c r="A978" s="1"/>
      <c r="B978" s="1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  <c r="AB978" s="200"/>
      <c r="AC978" s="200"/>
      <c r="AD978" s="200"/>
      <c r="AE978" s="200"/>
      <c r="AF978" s="200"/>
      <c r="AG978" s="200"/>
      <c r="AH978" s="200"/>
      <c r="AI978" s="200"/>
      <c r="AJ978" s="200"/>
      <c r="AK978" s="200"/>
      <c r="AL978" s="200"/>
      <c r="AM978" s="200"/>
      <c r="AN978" s="200"/>
      <c r="AO978" s="200"/>
      <c r="AP978" s="200"/>
      <c r="AQ978" s="200"/>
      <c r="AR978" s="200"/>
      <c r="AS978" s="200"/>
      <c r="AT978" s="200"/>
      <c r="AU978" s="200"/>
      <c r="AV978" s="200"/>
      <c r="AW978" s="200"/>
      <c r="AX978" s="200"/>
      <c r="AY978" s="200"/>
      <c r="AZ978" s="200"/>
      <c r="BA978" s="200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spans="1:70" ht="13.8">
      <c r="A979" s="1"/>
      <c r="B979" s="1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  <c r="AB979" s="200"/>
      <c r="AC979" s="200"/>
      <c r="AD979" s="200"/>
      <c r="AE979" s="200"/>
      <c r="AF979" s="200"/>
      <c r="AG979" s="200"/>
      <c r="AH979" s="200"/>
      <c r="AI979" s="200"/>
      <c r="AJ979" s="200"/>
      <c r="AK979" s="200"/>
      <c r="AL979" s="200"/>
      <c r="AM979" s="200"/>
      <c r="AN979" s="200"/>
      <c r="AO979" s="200"/>
      <c r="AP979" s="200"/>
      <c r="AQ979" s="200"/>
      <c r="AR979" s="200"/>
      <c r="AS979" s="200"/>
      <c r="AT979" s="200"/>
      <c r="AU979" s="200"/>
      <c r="AV979" s="200"/>
      <c r="AW979" s="200"/>
      <c r="AX979" s="200"/>
      <c r="AY979" s="200"/>
      <c r="AZ979" s="200"/>
      <c r="BA979" s="200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spans="1:70" ht="13.8">
      <c r="A980" s="1"/>
      <c r="B980" s="1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  <c r="AB980" s="200"/>
      <c r="AC980" s="200"/>
      <c r="AD980" s="200"/>
      <c r="AE980" s="200"/>
      <c r="AF980" s="200"/>
      <c r="AG980" s="200"/>
      <c r="AH980" s="200"/>
      <c r="AI980" s="200"/>
      <c r="AJ980" s="200"/>
      <c r="AK980" s="200"/>
      <c r="AL980" s="200"/>
      <c r="AM980" s="200"/>
      <c r="AN980" s="200"/>
      <c r="AO980" s="200"/>
      <c r="AP980" s="200"/>
      <c r="AQ980" s="200"/>
      <c r="AR980" s="200"/>
      <c r="AS980" s="200"/>
      <c r="AT980" s="200"/>
      <c r="AU980" s="200"/>
      <c r="AV980" s="200"/>
      <c r="AW980" s="200"/>
      <c r="AX980" s="200"/>
      <c r="AY980" s="200"/>
      <c r="AZ980" s="200"/>
      <c r="BA980" s="200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spans="1:70" ht="13.8">
      <c r="A981" s="1"/>
      <c r="B981" s="1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  <c r="AB981" s="200"/>
      <c r="AC981" s="200"/>
      <c r="AD981" s="200"/>
      <c r="AE981" s="200"/>
      <c r="AF981" s="200"/>
      <c r="AG981" s="200"/>
      <c r="AH981" s="200"/>
      <c r="AI981" s="200"/>
      <c r="AJ981" s="200"/>
      <c r="AK981" s="200"/>
      <c r="AL981" s="200"/>
      <c r="AM981" s="200"/>
      <c r="AN981" s="200"/>
      <c r="AO981" s="200"/>
      <c r="AP981" s="200"/>
      <c r="AQ981" s="200"/>
      <c r="AR981" s="200"/>
      <c r="AS981" s="200"/>
      <c r="AT981" s="200"/>
      <c r="AU981" s="200"/>
      <c r="AV981" s="200"/>
      <c r="AW981" s="200"/>
      <c r="AX981" s="200"/>
      <c r="AY981" s="200"/>
      <c r="AZ981" s="200"/>
      <c r="BA981" s="200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spans="1:70" ht="13.8">
      <c r="A982" s="1"/>
      <c r="B982" s="1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  <c r="AB982" s="200"/>
      <c r="AC982" s="200"/>
      <c r="AD982" s="200"/>
      <c r="AE982" s="200"/>
      <c r="AF982" s="200"/>
      <c r="AG982" s="200"/>
      <c r="AH982" s="200"/>
      <c r="AI982" s="200"/>
      <c r="AJ982" s="200"/>
      <c r="AK982" s="200"/>
      <c r="AL982" s="200"/>
      <c r="AM982" s="200"/>
      <c r="AN982" s="200"/>
      <c r="AO982" s="200"/>
      <c r="AP982" s="200"/>
      <c r="AQ982" s="200"/>
      <c r="AR982" s="200"/>
      <c r="AS982" s="200"/>
      <c r="AT982" s="200"/>
      <c r="AU982" s="200"/>
      <c r="AV982" s="200"/>
      <c r="AW982" s="200"/>
      <c r="AX982" s="200"/>
      <c r="AY982" s="200"/>
      <c r="AZ982" s="200"/>
      <c r="BA982" s="200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spans="1:70" ht="13.8">
      <c r="A983" s="1"/>
      <c r="B983" s="1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  <c r="AB983" s="200"/>
      <c r="AC983" s="200"/>
      <c r="AD983" s="200"/>
      <c r="AE983" s="200"/>
      <c r="AF983" s="200"/>
      <c r="AG983" s="200"/>
      <c r="AH983" s="200"/>
      <c r="AI983" s="200"/>
      <c r="AJ983" s="200"/>
      <c r="AK983" s="200"/>
      <c r="AL983" s="200"/>
      <c r="AM983" s="200"/>
      <c r="AN983" s="200"/>
      <c r="AO983" s="200"/>
      <c r="AP983" s="200"/>
      <c r="AQ983" s="200"/>
      <c r="AR983" s="200"/>
      <c r="AS983" s="200"/>
      <c r="AT983" s="200"/>
      <c r="AU983" s="200"/>
      <c r="AV983" s="200"/>
      <c r="AW983" s="200"/>
      <c r="AX983" s="200"/>
      <c r="AY983" s="200"/>
      <c r="AZ983" s="200"/>
      <c r="BA983" s="200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spans="1:70" ht="13.8">
      <c r="A984" s="1"/>
      <c r="B984" s="1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  <c r="AB984" s="200"/>
      <c r="AC984" s="200"/>
      <c r="AD984" s="200"/>
      <c r="AE984" s="200"/>
      <c r="AF984" s="200"/>
      <c r="AG984" s="200"/>
      <c r="AH984" s="200"/>
      <c r="AI984" s="200"/>
      <c r="AJ984" s="200"/>
      <c r="AK984" s="200"/>
      <c r="AL984" s="200"/>
      <c r="AM984" s="200"/>
      <c r="AN984" s="200"/>
      <c r="AO984" s="200"/>
      <c r="AP984" s="200"/>
      <c r="AQ984" s="200"/>
      <c r="AR984" s="200"/>
      <c r="AS984" s="200"/>
      <c r="AT984" s="200"/>
      <c r="AU984" s="200"/>
      <c r="AV984" s="200"/>
      <c r="AW984" s="200"/>
      <c r="AX984" s="200"/>
      <c r="AY984" s="200"/>
      <c r="AZ984" s="200"/>
      <c r="BA984" s="200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spans="1:70" ht="13.8">
      <c r="A985" s="1"/>
      <c r="B985" s="1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  <c r="AB985" s="200"/>
      <c r="AC985" s="200"/>
      <c r="AD985" s="200"/>
      <c r="AE985" s="200"/>
      <c r="AF985" s="200"/>
      <c r="AG985" s="200"/>
      <c r="AH985" s="200"/>
      <c r="AI985" s="200"/>
      <c r="AJ985" s="200"/>
      <c r="AK985" s="200"/>
      <c r="AL985" s="200"/>
      <c r="AM985" s="200"/>
      <c r="AN985" s="200"/>
      <c r="AO985" s="200"/>
      <c r="AP985" s="200"/>
      <c r="AQ985" s="200"/>
      <c r="AR985" s="200"/>
      <c r="AS985" s="200"/>
      <c r="AT985" s="200"/>
      <c r="AU985" s="200"/>
      <c r="AV985" s="200"/>
      <c r="AW985" s="200"/>
      <c r="AX985" s="200"/>
      <c r="AY985" s="200"/>
      <c r="AZ985" s="200"/>
      <c r="BA985" s="200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spans="1:70" ht="13.8">
      <c r="A986" s="1"/>
      <c r="B986" s="1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  <c r="AB986" s="200"/>
      <c r="AC986" s="200"/>
      <c r="AD986" s="200"/>
      <c r="AE986" s="200"/>
      <c r="AF986" s="200"/>
      <c r="AG986" s="200"/>
      <c r="AH986" s="200"/>
      <c r="AI986" s="200"/>
      <c r="AJ986" s="200"/>
      <c r="AK986" s="200"/>
      <c r="AL986" s="200"/>
      <c r="AM986" s="200"/>
      <c r="AN986" s="200"/>
      <c r="AO986" s="200"/>
      <c r="AP986" s="200"/>
      <c r="AQ986" s="200"/>
      <c r="AR986" s="200"/>
      <c r="AS986" s="200"/>
      <c r="AT986" s="200"/>
      <c r="AU986" s="200"/>
      <c r="AV986" s="200"/>
      <c r="AW986" s="200"/>
      <c r="AX986" s="200"/>
      <c r="AY986" s="200"/>
      <c r="AZ986" s="200"/>
      <c r="BA986" s="200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spans="1:70" ht="13.8">
      <c r="A987" s="1"/>
      <c r="B987" s="1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  <c r="AA987" s="200"/>
      <c r="AB987" s="200"/>
      <c r="AC987" s="200"/>
      <c r="AD987" s="200"/>
      <c r="AE987" s="200"/>
      <c r="AF987" s="200"/>
      <c r="AG987" s="200"/>
      <c r="AH987" s="200"/>
      <c r="AI987" s="200"/>
      <c r="AJ987" s="200"/>
      <c r="AK987" s="200"/>
      <c r="AL987" s="200"/>
      <c r="AM987" s="200"/>
      <c r="AN987" s="200"/>
      <c r="AO987" s="200"/>
      <c r="AP987" s="200"/>
      <c r="AQ987" s="200"/>
      <c r="AR987" s="200"/>
      <c r="AS987" s="200"/>
      <c r="AT987" s="200"/>
      <c r="AU987" s="200"/>
      <c r="AV987" s="200"/>
      <c r="AW987" s="200"/>
      <c r="AX987" s="200"/>
      <c r="AY987" s="200"/>
      <c r="AZ987" s="200"/>
      <c r="BA987" s="200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spans="1:70" ht="13.8">
      <c r="A988" s="1"/>
      <c r="B988" s="1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  <c r="AA988" s="200"/>
      <c r="AB988" s="200"/>
      <c r="AC988" s="200"/>
      <c r="AD988" s="200"/>
      <c r="AE988" s="200"/>
      <c r="AF988" s="200"/>
      <c r="AG988" s="200"/>
      <c r="AH988" s="200"/>
      <c r="AI988" s="200"/>
      <c r="AJ988" s="200"/>
      <c r="AK988" s="200"/>
      <c r="AL988" s="200"/>
      <c r="AM988" s="200"/>
      <c r="AN988" s="200"/>
      <c r="AO988" s="200"/>
      <c r="AP988" s="200"/>
      <c r="AQ988" s="200"/>
      <c r="AR988" s="200"/>
      <c r="AS988" s="200"/>
      <c r="AT988" s="200"/>
      <c r="AU988" s="200"/>
      <c r="AV988" s="200"/>
      <c r="AW988" s="200"/>
      <c r="AX988" s="200"/>
      <c r="AY988" s="200"/>
      <c r="AZ988" s="200"/>
      <c r="BA988" s="200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spans="1:70" ht="13.8">
      <c r="A989" s="1"/>
      <c r="B989" s="1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  <c r="AA989" s="200"/>
      <c r="AB989" s="200"/>
      <c r="AC989" s="200"/>
      <c r="AD989" s="200"/>
      <c r="AE989" s="200"/>
      <c r="AF989" s="200"/>
      <c r="AG989" s="200"/>
      <c r="AH989" s="200"/>
      <c r="AI989" s="200"/>
      <c r="AJ989" s="200"/>
      <c r="AK989" s="200"/>
      <c r="AL989" s="200"/>
      <c r="AM989" s="200"/>
      <c r="AN989" s="200"/>
      <c r="AO989" s="200"/>
      <c r="AP989" s="200"/>
      <c r="AQ989" s="200"/>
      <c r="AR989" s="200"/>
      <c r="AS989" s="200"/>
      <c r="AT989" s="200"/>
      <c r="AU989" s="200"/>
      <c r="AV989" s="200"/>
      <c r="AW989" s="200"/>
      <c r="AX989" s="200"/>
      <c r="AY989" s="200"/>
      <c r="AZ989" s="200"/>
      <c r="BA989" s="200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spans="1:70" ht="13.8">
      <c r="A990" s="1"/>
      <c r="B990" s="1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  <c r="AA990" s="200"/>
      <c r="AB990" s="200"/>
      <c r="AC990" s="200"/>
      <c r="AD990" s="200"/>
      <c r="AE990" s="200"/>
      <c r="AF990" s="200"/>
      <c r="AG990" s="200"/>
      <c r="AH990" s="200"/>
      <c r="AI990" s="200"/>
      <c r="AJ990" s="200"/>
      <c r="AK990" s="200"/>
      <c r="AL990" s="200"/>
      <c r="AM990" s="200"/>
      <c r="AN990" s="200"/>
      <c r="AO990" s="200"/>
      <c r="AP990" s="200"/>
      <c r="AQ990" s="200"/>
      <c r="AR990" s="200"/>
      <c r="AS990" s="200"/>
      <c r="AT990" s="200"/>
      <c r="AU990" s="200"/>
      <c r="AV990" s="200"/>
      <c r="AW990" s="200"/>
      <c r="AX990" s="200"/>
      <c r="AY990" s="200"/>
      <c r="AZ990" s="200"/>
      <c r="BA990" s="200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spans="1:70" ht="13.8">
      <c r="A991" s="1"/>
      <c r="B991" s="1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  <c r="AA991" s="200"/>
      <c r="AB991" s="200"/>
      <c r="AC991" s="200"/>
      <c r="AD991" s="200"/>
      <c r="AE991" s="200"/>
      <c r="AF991" s="200"/>
      <c r="AG991" s="200"/>
      <c r="AH991" s="200"/>
      <c r="AI991" s="200"/>
      <c r="AJ991" s="200"/>
      <c r="AK991" s="200"/>
      <c r="AL991" s="200"/>
      <c r="AM991" s="200"/>
      <c r="AN991" s="200"/>
      <c r="AO991" s="200"/>
      <c r="AP991" s="200"/>
      <c r="AQ991" s="200"/>
      <c r="AR991" s="200"/>
      <c r="AS991" s="200"/>
      <c r="AT991" s="200"/>
      <c r="AU991" s="200"/>
      <c r="AV991" s="200"/>
      <c r="AW991" s="200"/>
      <c r="AX991" s="200"/>
      <c r="AY991" s="200"/>
      <c r="AZ991" s="200"/>
      <c r="BA991" s="200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spans="1:70" ht="13.8">
      <c r="A992" s="1"/>
      <c r="B992" s="1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  <c r="AA992" s="200"/>
      <c r="AB992" s="200"/>
      <c r="AC992" s="200"/>
      <c r="AD992" s="200"/>
      <c r="AE992" s="200"/>
      <c r="AF992" s="200"/>
      <c r="AG992" s="200"/>
      <c r="AH992" s="200"/>
      <c r="AI992" s="200"/>
      <c r="AJ992" s="200"/>
      <c r="AK992" s="200"/>
      <c r="AL992" s="200"/>
      <c r="AM992" s="200"/>
      <c r="AN992" s="200"/>
      <c r="AO992" s="200"/>
      <c r="AP992" s="200"/>
      <c r="AQ992" s="200"/>
      <c r="AR992" s="200"/>
      <c r="AS992" s="200"/>
      <c r="AT992" s="200"/>
      <c r="AU992" s="200"/>
      <c r="AV992" s="200"/>
      <c r="AW992" s="200"/>
      <c r="AX992" s="200"/>
      <c r="AY992" s="200"/>
      <c r="AZ992" s="200"/>
      <c r="BA992" s="200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spans="1:70" ht="13.8">
      <c r="A993" s="1"/>
      <c r="B993" s="1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  <c r="AA993" s="200"/>
      <c r="AB993" s="200"/>
      <c r="AC993" s="200"/>
      <c r="AD993" s="200"/>
      <c r="AE993" s="200"/>
      <c r="AF993" s="200"/>
      <c r="AG993" s="200"/>
      <c r="AH993" s="200"/>
      <c r="AI993" s="200"/>
      <c r="AJ993" s="200"/>
      <c r="AK993" s="200"/>
      <c r="AL993" s="200"/>
      <c r="AM993" s="200"/>
      <c r="AN993" s="200"/>
      <c r="AO993" s="200"/>
      <c r="AP993" s="200"/>
      <c r="AQ993" s="200"/>
      <c r="AR993" s="200"/>
      <c r="AS993" s="200"/>
      <c r="AT993" s="200"/>
      <c r="AU993" s="200"/>
      <c r="AV993" s="200"/>
      <c r="AW993" s="200"/>
      <c r="AX993" s="200"/>
      <c r="AY993" s="200"/>
      <c r="AZ993" s="200"/>
      <c r="BA993" s="200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spans="1:70" ht="13.8">
      <c r="A994" s="1"/>
      <c r="B994" s="1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  <c r="AA994" s="200"/>
      <c r="AB994" s="200"/>
      <c r="AC994" s="200"/>
      <c r="AD994" s="200"/>
      <c r="AE994" s="200"/>
      <c r="AF994" s="200"/>
      <c r="AG994" s="200"/>
      <c r="AH994" s="200"/>
      <c r="AI994" s="200"/>
      <c r="AJ994" s="200"/>
      <c r="AK994" s="200"/>
      <c r="AL994" s="200"/>
      <c r="AM994" s="200"/>
      <c r="AN994" s="200"/>
      <c r="AO994" s="200"/>
      <c r="AP994" s="200"/>
      <c r="AQ994" s="200"/>
      <c r="AR994" s="200"/>
      <c r="AS994" s="200"/>
      <c r="AT994" s="200"/>
      <c r="AU994" s="200"/>
      <c r="AV994" s="200"/>
      <c r="AW994" s="200"/>
      <c r="AX994" s="200"/>
      <c r="AY994" s="200"/>
      <c r="AZ994" s="200"/>
      <c r="BA994" s="200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spans="1:70" ht="13.8">
      <c r="A995" s="1"/>
      <c r="B995" s="1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  <c r="AA995" s="200"/>
      <c r="AB995" s="200"/>
      <c r="AC995" s="200"/>
      <c r="AD995" s="200"/>
      <c r="AE995" s="200"/>
      <c r="AF995" s="200"/>
      <c r="AG995" s="200"/>
      <c r="AH995" s="200"/>
      <c r="AI995" s="200"/>
      <c r="AJ995" s="200"/>
      <c r="AK995" s="200"/>
      <c r="AL995" s="200"/>
      <c r="AM995" s="200"/>
      <c r="AN995" s="200"/>
      <c r="AO995" s="200"/>
      <c r="AP995" s="200"/>
      <c r="AQ995" s="200"/>
      <c r="AR995" s="200"/>
      <c r="AS995" s="200"/>
      <c r="AT995" s="200"/>
      <c r="AU995" s="200"/>
      <c r="AV995" s="200"/>
      <c r="AW995" s="200"/>
      <c r="AX995" s="200"/>
      <c r="AY995" s="200"/>
      <c r="AZ995" s="200"/>
      <c r="BA995" s="200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spans="1:70" ht="13.8">
      <c r="A996" s="1"/>
      <c r="B996" s="1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  <c r="AA996" s="200"/>
      <c r="AB996" s="200"/>
      <c r="AC996" s="200"/>
      <c r="AD996" s="200"/>
      <c r="AE996" s="200"/>
      <c r="AF996" s="200"/>
      <c r="AG996" s="200"/>
      <c r="AH996" s="200"/>
      <c r="AI996" s="200"/>
      <c r="AJ996" s="200"/>
      <c r="AK996" s="200"/>
      <c r="AL996" s="200"/>
      <c r="AM996" s="200"/>
      <c r="AN996" s="200"/>
      <c r="AO996" s="200"/>
      <c r="AP996" s="200"/>
      <c r="AQ996" s="200"/>
      <c r="AR996" s="200"/>
      <c r="AS996" s="200"/>
      <c r="AT996" s="200"/>
      <c r="AU996" s="200"/>
      <c r="AV996" s="200"/>
      <c r="AW996" s="200"/>
      <c r="AX996" s="200"/>
      <c r="AY996" s="200"/>
      <c r="AZ996" s="200"/>
      <c r="BA996" s="200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spans="1:70" ht="13.8">
      <c r="A997" s="1"/>
      <c r="B997" s="1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  <c r="AA997" s="200"/>
      <c r="AB997" s="200"/>
      <c r="AC997" s="200"/>
      <c r="AD997" s="200"/>
      <c r="AE997" s="200"/>
      <c r="AF997" s="200"/>
      <c r="AG997" s="200"/>
      <c r="AH997" s="200"/>
      <c r="AI997" s="200"/>
      <c r="AJ997" s="200"/>
      <c r="AK997" s="200"/>
      <c r="AL997" s="200"/>
      <c r="AM997" s="200"/>
      <c r="AN997" s="200"/>
      <c r="AO997" s="200"/>
      <c r="AP997" s="200"/>
      <c r="AQ997" s="200"/>
      <c r="AR997" s="200"/>
      <c r="AS997" s="200"/>
      <c r="AT997" s="200"/>
      <c r="AU997" s="200"/>
      <c r="AV997" s="200"/>
      <c r="AW997" s="200"/>
      <c r="AX997" s="200"/>
      <c r="AY997" s="200"/>
      <c r="AZ997" s="200"/>
      <c r="BA997" s="200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spans="1:70" ht="13.8">
      <c r="A998" s="1"/>
      <c r="B998" s="1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  <c r="AA998" s="200"/>
      <c r="AB998" s="200"/>
      <c r="AC998" s="200"/>
      <c r="AD998" s="200"/>
      <c r="AE998" s="200"/>
      <c r="AF998" s="200"/>
      <c r="AG998" s="200"/>
      <c r="AH998" s="200"/>
      <c r="AI998" s="200"/>
      <c r="AJ998" s="200"/>
      <c r="AK998" s="200"/>
      <c r="AL998" s="200"/>
      <c r="AM998" s="200"/>
      <c r="AN998" s="200"/>
      <c r="AO998" s="200"/>
      <c r="AP998" s="200"/>
      <c r="AQ998" s="200"/>
      <c r="AR998" s="200"/>
      <c r="AS998" s="200"/>
      <c r="AT998" s="200"/>
      <c r="AU998" s="200"/>
      <c r="AV998" s="200"/>
      <c r="AW998" s="200"/>
      <c r="AX998" s="200"/>
      <c r="AY998" s="200"/>
      <c r="AZ998" s="200"/>
      <c r="BA998" s="200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spans="1:70" ht="13.8">
      <c r="A999" s="1"/>
      <c r="B999" s="1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  <c r="AA999" s="200"/>
      <c r="AB999" s="200"/>
      <c r="AC999" s="200"/>
      <c r="AD999" s="200"/>
      <c r="AE999" s="200"/>
      <c r="AF999" s="200"/>
      <c r="AG999" s="200"/>
      <c r="AH999" s="200"/>
      <c r="AI999" s="200"/>
      <c r="AJ999" s="200"/>
      <c r="AK999" s="200"/>
      <c r="AL999" s="200"/>
      <c r="AM999" s="200"/>
      <c r="AN999" s="200"/>
      <c r="AO999" s="200"/>
      <c r="AP999" s="200"/>
      <c r="AQ999" s="200"/>
      <c r="AR999" s="200"/>
      <c r="AS999" s="200"/>
      <c r="AT999" s="200"/>
      <c r="AU999" s="200"/>
      <c r="AV999" s="200"/>
      <c r="AW999" s="200"/>
      <c r="AX999" s="200"/>
      <c r="AY999" s="200"/>
      <c r="AZ999" s="200"/>
      <c r="BA999" s="200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spans="1:70" ht="13.8">
      <c r="A1000" s="1"/>
      <c r="B1000" s="1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  <c r="AA1000" s="200"/>
      <c r="AB1000" s="200"/>
      <c r="AC1000" s="200"/>
      <c r="AD1000" s="200"/>
      <c r="AE1000" s="200"/>
      <c r="AF1000" s="200"/>
      <c r="AG1000" s="200"/>
      <c r="AH1000" s="200"/>
      <c r="AI1000" s="200"/>
      <c r="AJ1000" s="200"/>
      <c r="AK1000" s="200"/>
      <c r="AL1000" s="200"/>
      <c r="AM1000" s="200"/>
      <c r="AN1000" s="200"/>
      <c r="AO1000" s="200"/>
      <c r="AP1000" s="200"/>
      <c r="AQ1000" s="200"/>
      <c r="AR1000" s="200"/>
      <c r="AS1000" s="200"/>
      <c r="AT1000" s="200"/>
      <c r="AU1000" s="200"/>
      <c r="AV1000" s="200"/>
      <c r="AW1000" s="200"/>
      <c r="AX1000" s="200"/>
      <c r="AY1000" s="200"/>
      <c r="AZ1000" s="200"/>
      <c r="BA1000" s="200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spans="1:70" ht="13.8">
      <c r="A1001" s="1"/>
      <c r="B1001" s="1"/>
      <c r="C1001" s="200"/>
      <c r="D1001" s="200"/>
      <c r="E1001" s="200"/>
      <c r="F1001" s="200"/>
      <c r="G1001" s="200"/>
      <c r="H1001" s="200"/>
      <c r="I1001" s="200"/>
      <c r="J1001" s="200"/>
      <c r="K1001" s="200"/>
      <c r="L1001" s="200"/>
      <c r="M1001" s="200"/>
      <c r="N1001" s="200"/>
      <c r="O1001" s="200"/>
      <c r="P1001" s="200"/>
      <c r="Q1001" s="200"/>
      <c r="R1001" s="200"/>
      <c r="S1001" s="200"/>
      <c r="T1001" s="200"/>
      <c r="U1001" s="200"/>
      <c r="V1001" s="200"/>
      <c r="W1001" s="200"/>
      <c r="X1001" s="200"/>
      <c r="Y1001" s="200"/>
      <c r="Z1001" s="200"/>
      <c r="AA1001" s="200"/>
      <c r="AB1001" s="200"/>
      <c r="AC1001" s="200"/>
      <c r="AD1001" s="200"/>
      <c r="AE1001" s="200"/>
      <c r="AF1001" s="200"/>
      <c r="AG1001" s="200"/>
      <c r="AH1001" s="200"/>
      <c r="AI1001" s="200"/>
      <c r="AJ1001" s="200"/>
      <c r="AK1001" s="200"/>
      <c r="AL1001" s="200"/>
      <c r="AM1001" s="200"/>
      <c r="AN1001" s="200"/>
      <c r="AO1001" s="200"/>
      <c r="AP1001" s="200"/>
      <c r="AQ1001" s="200"/>
      <c r="AR1001" s="200"/>
      <c r="AS1001" s="200"/>
      <c r="AT1001" s="200"/>
      <c r="AU1001" s="200"/>
      <c r="AV1001" s="200"/>
      <c r="AW1001" s="200"/>
      <c r="AX1001" s="200"/>
      <c r="AY1001" s="200"/>
      <c r="AZ1001" s="200"/>
      <c r="BA1001" s="200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spans="1:70" ht="13.8">
      <c r="A1002" s="1"/>
      <c r="B1002" s="1"/>
      <c r="C1002" s="200"/>
      <c r="D1002" s="200"/>
      <c r="E1002" s="200"/>
      <c r="F1002" s="200"/>
      <c r="G1002" s="200"/>
      <c r="H1002" s="200"/>
      <c r="I1002" s="200"/>
      <c r="J1002" s="200"/>
      <c r="K1002" s="200"/>
      <c r="L1002" s="200"/>
      <c r="M1002" s="200"/>
      <c r="N1002" s="200"/>
      <c r="O1002" s="200"/>
      <c r="P1002" s="200"/>
      <c r="Q1002" s="200"/>
      <c r="R1002" s="200"/>
      <c r="S1002" s="200"/>
      <c r="T1002" s="200"/>
      <c r="U1002" s="200"/>
      <c r="V1002" s="200"/>
      <c r="W1002" s="200"/>
      <c r="X1002" s="200"/>
      <c r="Y1002" s="200"/>
      <c r="Z1002" s="200"/>
      <c r="AA1002" s="200"/>
      <c r="AB1002" s="200"/>
      <c r="AC1002" s="200"/>
      <c r="AD1002" s="200"/>
      <c r="AE1002" s="200"/>
      <c r="AF1002" s="200"/>
      <c r="AG1002" s="200"/>
      <c r="AH1002" s="200"/>
      <c r="AI1002" s="200"/>
      <c r="AJ1002" s="200"/>
      <c r="AK1002" s="200"/>
      <c r="AL1002" s="200"/>
      <c r="AM1002" s="200"/>
      <c r="AN1002" s="200"/>
      <c r="AO1002" s="200"/>
      <c r="AP1002" s="200"/>
      <c r="AQ1002" s="200"/>
      <c r="AR1002" s="200"/>
      <c r="AS1002" s="200"/>
      <c r="AT1002" s="200"/>
      <c r="AU1002" s="200"/>
      <c r="AV1002" s="200"/>
      <c r="AW1002" s="200"/>
      <c r="AX1002" s="200"/>
      <c r="AY1002" s="200"/>
      <c r="AZ1002" s="200"/>
      <c r="BA1002" s="200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spans="1:70" ht="13.8">
      <c r="A1003" s="1"/>
      <c r="B1003" s="1"/>
      <c r="C1003" s="200"/>
      <c r="D1003" s="200"/>
      <c r="E1003" s="200"/>
      <c r="F1003" s="200"/>
      <c r="G1003" s="200"/>
      <c r="H1003" s="200"/>
      <c r="I1003" s="200"/>
      <c r="J1003" s="200"/>
      <c r="K1003" s="200"/>
      <c r="L1003" s="200"/>
      <c r="M1003" s="200"/>
      <c r="N1003" s="200"/>
      <c r="O1003" s="200"/>
      <c r="P1003" s="200"/>
      <c r="Q1003" s="200"/>
      <c r="R1003" s="200"/>
      <c r="S1003" s="200"/>
      <c r="T1003" s="200"/>
      <c r="U1003" s="200"/>
      <c r="V1003" s="200"/>
      <c r="W1003" s="200"/>
      <c r="X1003" s="200"/>
      <c r="Y1003" s="200"/>
      <c r="Z1003" s="200"/>
      <c r="AA1003" s="200"/>
      <c r="AB1003" s="200"/>
      <c r="AC1003" s="200"/>
      <c r="AD1003" s="200"/>
      <c r="AE1003" s="200"/>
      <c r="AF1003" s="200"/>
      <c r="AG1003" s="200"/>
      <c r="AH1003" s="200"/>
      <c r="AI1003" s="200"/>
      <c r="AJ1003" s="200"/>
      <c r="AK1003" s="200"/>
      <c r="AL1003" s="200"/>
      <c r="AM1003" s="200"/>
      <c r="AN1003" s="200"/>
      <c r="AO1003" s="200"/>
      <c r="AP1003" s="200"/>
      <c r="AQ1003" s="200"/>
      <c r="AR1003" s="200"/>
      <c r="AS1003" s="200"/>
      <c r="AT1003" s="200"/>
      <c r="AU1003" s="200"/>
      <c r="AV1003" s="200"/>
      <c r="AW1003" s="200"/>
      <c r="AX1003" s="200"/>
      <c r="AY1003" s="200"/>
      <c r="AZ1003" s="200"/>
      <c r="BA1003" s="200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spans="1:70" ht="13.8">
      <c r="A1004" s="1"/>
      <c r="B1004" s="1"/>
      <c r="C1004" s="200"/>
      <c r="D1004" s="200"/>
      <c r="E1004" s="200"/>
      <c r="F1004" s="200"/>
      <c r="G1004" s="200"/>
      <c r="H1004" s="200"/>
      <c r="I1004" s="200"/>
      <c r="J1004" s="200"/>
      <c r="K1004" s="200"/>
      <c r="L1004" s="200"/>
      <c r="M1004" s="200"/>
      <c r="N1004" s="200"/>
      <c r="O1004" s="200"/>
      <c r="P1004" s="200"/>
      <c r="Q1004" s="200"/>
      <c r="R1004" s="200"/>
      <c r="S1004" s="200"/>
      <c r="T1004" s="200"/>
      <c r="U1004" s="200"/>
      <c r="V1004" s="200"/>
      <c r="W1004" s="200"/>
      <c r="X1004" s="200"/>
      <c r="Y1004" s="200"/>
      <c r="Z1004" s="200"/>
      <c r="AA1004" s="200"/>
      <c r="AB1004" s="200"/>
      <c r="AC1004" s="200"/>
      <c r="AD1004" s="200"/>
      <c r="AE1004" s="200"/>
      <c r="AF1004" s="200"/>
      <c r="AG1004" s="200"/>
      <c r="AH1004" s="200"/>
      <c r="AI1004" s="200"/>
      <c r="AJ1004" s="200"/>
      <c r="AK1004" s="200"/>
      <c r="AL1004" s="200"/>
      <c r="AM1004" s="200"/>
      <c r="AN1004" s="200"/>
      <c r="AO1004" s="200"/>
      <c r="AP1004" s="200"/>
      <c r="AQ1004" s="200"/>
      <c r="AR1004" s="200"/>
      <c r="AS1004" s="200"/>
      <c r="AT1004" s="200"/>
      <c r="AU1004" s="200"/>
      <c r="AV1004" s="200"/>
      <c r="AW1004" s="200"/>
      <c r="AX1004" s="200"/>
      <c r="AY1004" s="200"/>
      <c r="AZ1004" s="200"/>
      <c r="BA1004" s="200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spans="1:70" ht="13.8">
      <c r="A1005" s="1"/>
      <c r="B1005" s="1"/>
      <c r="C1005" s="200"/>
      <c r="D1005" s="200"/>
      <c r="E1005" s="200"/>
      <c r="F1005" s="200"/>
      <c r="G1005" s="200"/>
      <c r="H1005" s="200"/>
      <c r="I1005" s="200"/>
      <c r="J1005" s="200"/>
      <c r="K1005" s="200"/>
      <c r="L1005" s="200"/>
      <c r="M1005" s="200"/>
      <c r="N1005" s="200"/>
      <c r="O1005" s="200"/>
      <c r="P1005" s="200"/>
      <c r="Q1005" s="200"/>
      <c r="R1005" s="200"/>
      <c r="S1005" s="200"/>
      <c r="T1005" s="200"/>
      <c r="U1005" s="200"/>
      <c r="V1005" s="200"/>
      <c r="W1005" s="200"/>
      <c r="X1005" s="200"/>
      <c r="Y1005" s="200"/>
      <c r="Z1005" s="200"/>
      <c r="AA1005" s="200"/>
      <c r="AB1005" s="200"/>
      <c r="AC1005" s="200"/>
      <c r="AD1005" s="200"/>
      <c r="AE1005" s="200"/>
      <c r="AF1005" s="200"/>
      <c r="AG1005" s="200"/>
      <c r="AH1005" s="200"/>
      <c r="AI1005" s="200"/>
      <c r="AJ1005" s="200"/>
      <c r="AK1005" s="200"/>
      <c r="AL1005" s="200"/>
      <c r="AM1005" s="200"/>
      <c r="AN1005" s="200"/>
      <c r="AO1005" s="200"/>
      <c r="AP1005" s="200"/>
      <c r="AQ1005" s="200"/>
      <c r="AR1005" s="200"/>
      <c r="AS1005" s="200"/>
      <c r="AT1005" s="200"/>
      <c r="AU1005" s="200"/>
      <c r="AV1005" s="200"/>
      <c r="AW1005" s="200"/>
      <c r="AX1005" s="200"/>
      <c r="AY1005" s="200"/>
      <c r="AZ1005" s="200"/>
      <c r="BA1005" s="200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spans="1:70" ht="13.8">
      <c r="A1006" s="1"/>
      <c r="B1006" s="1"/>
      <c r="C1006" s="200"/>
      <c r="D1006" s="200"/>
      <c r="E1006" s="200"/>
      <c r="F1006" s="200"/>
      <c r="G1006" s="200"/>
      <c r="H1006" s="200"/>
      <c r="I1006" s="200"/>
      <c r="J1006" s="200"/>
      <c r="K1006" s="200"/>
      <c r="L1006" s="200"/>
      <c r="M1006" s="200"/>
      <c r="N1006" s="200"/>
      <c r="O1006" s="200"/>
      <c r="P1006" s="200"/>
      <c r="Q1006" s="200"/>
      <c r="R1006" s="200"/>
      <c r="S1006" s="200"/>
      <c r="T1006" s="200"/>
      <c r="U1006" s="200"/>
      <c r="V1006" s="200"/>
      <c r="W1006" s="200"/>
      <c r="X1006" s="200"/>
      <c r="Y1006" s="200"/>
      <c r="Z1006" s="200"/>
      <c r="AA1006" s="200"/>
      <c r="AB1006" s="200"/>
      <c r="AC1006" s="200"/>
      <c r="AD1006" s="200"/>
      <c r="AE1006" s="200"/>
      <c r="AF1006" s="200"/>
      <c r="AG1006" s="200"/>
      <c r="AH1006" s="200"/>
      <c r="AI1006" s="200"/>
      <c r="AJ1006" s="200"/>
      <c r="AK1006" s="200"/>
      <c r="AL1006" s="200"/>
      <c r="AM1006" s="200"/>
      <c r="AN1006" s="200"/>
      <c r="AO1006" s="200"/>
      <c r="AP1006" s="200"/>
      <c r="AQ1006" s="200"/>
      <c r="AR1006" s="200"/>
      <c r="AS1006" s="200"/>
      <c r="AT1006" s="200"/>
      <c r="AU1006" s="200"/>
      <c r="AV1006" s="200"/>
      <c r="AW1006" s="200"/>
      <c r="AX1006" s="200"/>
      <c r="AY1006" s="200"/>
      <c r="AZ1006" s="200"/>
      <c r="BA1006" s="200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spans="1:70" ht="13.8">
      <c r="A1007" s="1"/>
      <c r="B1007" s="1"/>
      <c r="C1007" s="200"/>
      <c r="D1007" s="200"/>
      <c r="E1007" s="200"/>
      <c r="F1007" s="200"/>
      <c r="G1007" s="200"/>
      <c r="H1007" s="200"/>
      <c r="I1007" s="200"/>
      <c r="J1007" s="200"/>
      <c r="K1007" s="200"/>
      <c r="L1007" s="200"/>
      <c r="M1007" s="200"/>
      <c r="N1007" s="200"/>
      <c r="O1007" s="200"/>
      <c r="P1007" s="200"/>
      <c r="Q1007" s="200"/>
      <c r="R1007" s="200"/>
      <c r="S1007" s="200"/>
      <c r="T1007" s="200"/>
      <c r="U1007" s="200"/>
      <c r="V1007" s="200"/>
      <c r="W1007" s="200"/>
      <c r="X1007" s="200"/>
      <c r="Y1007" s="200"/>
      <c r="Z1007" s="200"/>
      <c r="AA1007" s="200"/>
      <c r="AB1007" s="200"/>
      <c r="AC1007" s="200"/>
      <c r="AD1007" s="200"/>
      <c r="AE1007" s="200"/>
      <c r="AF1007" s="200"/>
      <c r="AG1007" s="200"/>
      <c r="AH1007" s="200"/>
      <c r="AI1007" s="200"/>
      <c r="AJ1007" s="200"/>
      <c r="AK1007" s="200"/>
      <c r="AL1007" s="200"/>
      <c r="AM1007" s="200"/>
      <c r="AN1007" s="200"/>
      <c r="AO1007" s="200"/>
      <c r="AP1007" s="200"/>
      <c r="AQ1007" s="200"/>
      <c r="AR1007" s="200"/>
      <c r="AS1007" s="200"/>
      <c r="AT1007" s="200"/>
      <c r="AU1007" s="200"/>
      <c r="AV1007" s="200"/>
      <c r="AW1007" s="200"/>
      <c r="AX1007" s="200"/>
      <c r="AY1007" s="200"/>
      <c r="AZ1007" s="200"/>
      <c r="BA1007" s="200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spans="1:70" ht="13.8">
      <c r="A1008" s="1"/>
      <c r="B1008" s="1"/>
      <c r="C1008" s="200"/>
      <c r="D1008" s="200"/>
      <c r="E1008" s="200"/>
      <c r="F1008" s="200"/>
      <c r="G1008" s="200"/>
      <c r="H1008" s="200"/>
      <c r="I1008" s="200"/>
      <c r="J1008" s="200"/>
      <c r="K1008" s="200"/>
      <c r="L1008" s="200"/>
      <c r="M1008" s="200"/>
      <c r="N1008" s="200"/>
      <c r="O1008" s="200"/>
      <c r="P1008" s="200"/>
      <c r="Q1008" s="200"/>
      <c r="R1008" s="200"/>
      <c r="S1008" s="200"/>
      <c r="T1008" s="200"/>
      <c r="U1008" s="200"/>
      <c r="V1008" s="200"/>
      <c r="W1008" s="200"/>
      <c r="X1008" s="200"/>
      <c r="Y1008" s="200"/>
      <c r="Z1008" s="200"/>
      <c r="AA1008" s="200"/>
      <c r="AB1008" s="200"/>
      <c r="AC1008" s="200"/>
      <c r="AD1008" s="200"/>
      <c r="AE1008" s="200"/>
      <c r="AF1008" s="200"/>
      <c r="AG1008" s="200"/>
      <c r="AH1008" s="200"/>
      <c r="AI1008" s="200"/>
      <c r="AJ1008" s="200"/>
      <c r="AK1008" s="200"/>
      <c r="AL1008" s="200"/>
      <c r="AM1008" s="200"/>
      <c r="AN1008" s="200"/>
      <c r="AO1008" s="200"/>
      <c r="AP1008" s="200"/>
      <c r="AQ1008" s="200"/>
      <c r="AR1008" s="200"/>
      <c r="AS1008" s="200"/>
      <c r="AT1008" s="200"/>
      <c r="AU1008" s="200"/>
      <c r="AV1008" s="200"/>
      <c r="AW1008" s="200"/>
      <c r="AX1008" s="200"/>
      <c r="AY1008" s="200"/>
      <c r="AZ1008" s="200"/>
      <c r="BA1008" s="200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spans="1:70" ht="13.8">
      <c r="A1009" s="1"/>
      <c r="B1009" s="1"/>
      <c r="C1009" s="200"/>
      <c r="D1009" s="200"/>
      <c r="E1009" s="200"/>
      <c r="F1009" s="200"/>
      <c r="G1009" s="200"/>
      <c r="H1009" s="200"/>
      <c r="I1009" s="200"/>
      <c r="J1009" s="200"/>
      <c r="K1009" s="200"/>
      <c r="L1009" s="200"/>
      <c r="M1009" s="200"/>
      <c r="N1009" s="200"/>
      <c r="O1009" s="200"/>
      <c r="P1009" s="200"/>
      <c r="Q1009" s="200"/>
      <c r="R1009" s="200"/>
      <c r="S1009" s="200"/>
      <c r="T1009" s="200"/>
      <c r="U1009" s="200"/>
      <c r="V1009" s="200"/>
      <c r="W1009" s="200"/>
      <c r="X1009" s="200"/>
      <c r="Y1009" s="200"/>
      <c r="Z1009" s="200"/>
      <c r="AA1009" s="200"/>
      <c r="AB1009" s="200"/>
      <c r="AC1009" s="200"/>
      <c r="AD1009" s="200"/>
      <c r="AE1009" s="200"/>
      <c r="AF1009" s="200"/>
      <c r="AG1009" s="200"/>
      <c r="AH1009" s="200"/>
      <c r="AI1009" s="200"/>
      <c r="AJ1009" s="200"/>
      <c r="AK1009" s="200"/>
      <c r="AL1009" s="200"/>
      <c r="AM1009" s="200"/>
      <c r="AN1009" s="200"/>
      <c r="AO1009" s="200"/>
      <c r="AP1009" s="200"/>
      <c r="AQ1009" s="200"/>
      <c r="AR1009" s="200"/>
      <c r="AS1009" s="200"/>
      <c r="AT1009" s="200"/>
      <c r="AU1009" s="200"/>
      <c r="AV1009" s="200"/>
      <c r="AW1009" s="200"/>
      <c r="AX1009" s="200"/>
      <c r="AY1009" s="200"/>
      <c r="AZ1009" s="200"/>
      <c r="BA1009" s="200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  <row r="1010" spans="1:70" ht="13.8">
      <c r="A1010" s="1"/>
      <c r="B1010" s="1"/>
      <c r="C1010" s="200"/>
      <c r="D1010" s="200"/>
      <c r="E1010" s="200"/>
      <c r="F1010" s="200"/>
      <c r="G1010" s="200"/>
      <c r="H1010" s="200"/>
      <c r="I1010" s="200"/>
      <c r="J1010" s="200"/>
      <c r="K1010" s="200"/>
      <c r="L1010" s="200"/>
      <c r="M1010" s="200"/>
      <c r="N1010" s="200"/>
      <c r="O1010" s="200"/>
      <c r="P1010" s="200"/>
      <c r="Q1010" s="200"/>
      <c r="R1010" s="200"/>
      <c r="S1010" s="200"/>
      <c r="T1010" s="200"/>
      <c r="U1010" s="200"/>
      <c r="V1010" s="200"/>
      <c r="W1010" s="200"/>
      <c r="X1010" s="200"/>
      <c r="Y1010" s="200"/>
      <c r="Z1010" s="200"/>
      <c r="AA1010" s="200"/>
      <c r="AB1010" s="200"/>
      <c r="AC1010" s="200"/>
      <c r="AD1010" s="200"/>
      <c r="AE1010" s="200"/>
      <c r="AF1010" s="200"/>
      <c r="AG1010" s="200"/>
      <c r="AH1010" s="200"/>
      <c r="AI1010" s="200"/>
      <c r="AJ1010" s="200"/>
      <c r="AK1010" s="200"/>
      <c r="AL1010" s="200"/>
      <c r="AM1010" s="200"/>
      <c r="AN1010" s="200"/>
      <c r="AO1010" s="200"/>
      <c r="AP1010" s="200"/>
      <c r="AQ1010" s="200"/>
      <c r="AR1010" s="200"/>
      <c r="AS1010" s="200"/>
      <c r="AT1010" s="200"/>
      <c r="AU1010" s="200"/>
      <c r="AV1010" s="200"/>
      <c r="AW1010" s="200"/>
      <c r="AX1010" s="200"/>
      <c r="AY1010" s="200"/>
      <c r="AZ1010" s="200"/>
      <c r="BA1010" s="200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</row>
    <row r="1011" spans="1:70" ht="13.8">
      <c r="A1011" s="1"/>
      <c r="B1011" s="1"/>
      <c r="C1011" s="200"/>
      <c r="D1011" s="200"/>
      <c r="E1011" s="200"/>
      <c r="F1011" s="200"/>
      <c r="G1011" s="200"/>
      <c r="H1011" s="200"/>
      <c r="I1011" s="200"/>
      <c r="J1011" s="200"/>
      <c r="K1011" s="200"/>
      <c r="L1011" s="200"/>
      <c r="M1011" s="200"/>
      <c r="N1011" s="200"/>
      <c r="O1011" s="200"/>
      <c r="P1011" s="200"/>
      <c r="Q1011" s="200"/>
      <c r="R1011" s="200"/>
      <c r="S1011" s="200"/>
      <c r="T1011" s="200"/>
      <c r="U1011" s="200"/>
      <c r="V1011" s="200"/>
      <c r="W1011" s="200"/>
      <c r="X1011" s="200"/>
      <c r="Y1011" s="200"/>
      <c r="Z1011" s="200"/>
      <c r="AA1011" s="200"/>
      <c r="AB1011" s="200"/>
      <c r="AC1011" s="200"/>
      <c r="AD1011" s="200"/>
      <c r="AE1011" s="200"/>
      <c r="AF1011" s="200"/>
      <c r="AG1011" s="200"/>
      <c r="AH1011" s="200"/>
      <c r="AI1011" s="200"/>
      <c r="AJ1011" s="200"/>
      <c r="AK1011" s="200"/>
      <c r="AL1011" s="200"/>
      <c r="AM1011" s="200"/>
      <c r="AN1011" s="200"/>
      <c r="AO1011" s="200"/>
      <c r="AP1011" s="200"/>
      <c r="AQ1011" s="200"/>
      <c r="AR1011" s="200"/>
      <c r="AS1011" s="200"/>
      <c r="AT1011" s="200"/>
      <c r="AU1011" s="200"/>
      <c r="AV1011" s="200"/>
      <c r="AW1011" s="200"/>
      <c r="AX1011" s="200"/>
      <c r="AY1011" s="200"/>
      <c r="AZ1011" s="200"/>
      <c r="BA1011" s="200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</row>
    <row r="1012" spans="1:70" ht="13.8">
      <c r="A1012" s="1"/>
      <c r="B1012" s="1"/>
      <c r="C1012" s="200"/>
      <c r="D1012" s="200"/>
      <c r="E1012" s="200"/>
      <c r="F1012" s="200"/>
      <c r="G1012" s="200"/>
      <c r="H1012" s="200"/>
      <c r="I1012" s="200"/>
      <c r="J1012" s="200"/>
      <c r="K1012" s="200"/>
      <c r="L1012" s="200"/>
      <c r="M1012" s="200"/>
      <c r="N1012" s="200"/>
      <c r="O1012" s="200"/>
      <c r="P1012" s="200"/>
      <c r="Q1012" s="200"/>
      <c r="R1012" s="200"/>
      <c r="S1012" s="200"/>
      <c r="T1012" s="200"/>
      <c r="U1012" s="200"/>
      <c r="V1012" s="200"/>
      <c r="W1012" s="200"/>
      <c r="X1012" s="200"/>
      <c r="Y1012" s="200"/>
      <c r="Z1012" s="200"/>
      <c r="AA1012" s="200"/>
      <c r="AB1012" s="200"/>
      <c r="AC1012" s="200"/>
      <c r="AD1012" s="200"/>
      <c r="AE1012" s="200"/>
      <c r="AF1012" s="200"/>
      <c r="AG1012" s="200"/>
      <c r="AH1012" s="200"/>
      <c r="AI1012" s="200"/>
      <c r="AJ1012" s="200"/>
      <c r="AK1012" s="200"/>
      <c r="AL1012" s="200"/>
      <c r="AM1012" s="200"/>
      <c r="AN1012" s="200"/>
      <c r="AO1012" s="200"/>
      <c r="AP1012" s="200"/>
      <c r="AQ1012" s="200"/>
      <c r="AR1012" s="200"/>
      <c r="AS1012" s="200"/>
      <c r="AT1012" s="200"/>
      <c r="AU1012" s="200"/>
      <c r="AV1012" s="200"/>
      <c r="AW1012" s="200"/>
      <c r="AX1012" s="200"/>
      <c r="AY1012" s="200"/>
      <c r="AZ1012" s="200"/>
      <c r="BA1012" s="200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</row>
    <row r="1013" spans="1:70" ht="13.8">
      <c r="A1013" s="1"/>
      <c r="B1013" s="1"/>
      <c r="C1013" s="200"/>
      <c r="D1013" s="200"/>
      <c r="E1013" s="200"/>
      <c r="F1013" s="200"/>
      <c r="G1013" s="200"/>
      <c r="H1013" s="200"/>
      <c r="I1013" s="200"/>
      <c r="J1013" s="200"/>
      <c r="K1013" s="200"/>
      <c r="L1013" s="200"/>
      <c r="M1013" s="200"/>
      <c r="N1013" s="200"/>
      <c r="O1013" s="200"/>
      <c r="P1013" s="200"/>
      <c r="Q1013" s="200"/>
      <c r="R1013" s="200"/>
      <c r="S1013" s="200"/>
      <c r="T1013" s="200"/>
      <c r="U1013" s="200"/>
      <c r="V1013" s="200"/>
      <c r="W1013" s="200"/>
      <c r="X1013" s="200"/>
      <c r="Y1013" s="200"/>
      <c r="Z1013" s="200"/>
      <c r="AA1013" s="200"/>
      <c r="AB1013" s="200"/>
      <c r="AC1013" s="200"/>
      <c r="AD1013" s="200"/>
      <c r="AE1013" s="200"/>
      <c r="AF1013" s="200"/>
      <c r="AG1013" s="200"/>
      <c r="AH1013" s="200"/>
      <c r="AI1013" s="200"/>
      <c r="AJ1013" s="200"/>
      <c r="AK1013" s="200"/>
      <c r="AL1013" s="200"/>
      <c r="AM1013" s="200"/>
      <c r="AN1013" s="200"/>
      <c r="AO1013" s="200"/>
      <c r="AP1013" s="200"/>
      <c r="AQ1013" s="200"/>
      <c r="AR1013" s="200"/>
      <c r="AS1013" s="200"/>
      <c r="AT1013" s="200"/>
      <c r="AU1013" s="200"/>
      <c r="AV1013" s="200"/>
      <c r="AW1013" s="200"/>
      <c r="AX1013" s="200"/>
      <c r="AY1013" s="200"/>
      <c r="AZ1013" s="200"/>
      <c r="BA1013" s="200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</row>
    <row r="1014" spans="1:70" ht="13.8">
      <c r="A1014" s="1"/>
      <c r="B1014" s="1"/>
      <c r="C1014" s="200"/>
      <c r="D1014" s="200"/>
      <c r="E1014" s="200"/>
      <c r="F1014" s="200"/>
      <c r="G1014" s="200"/>
      <c r="H1014" s="200"/>
      <c r="I1014" s="200"/>
      <c r="J1014" s="200"/>
      <c r="K1014" s="200"/>
      <c r="L1014" s="200"/>
      <c r="M1014" s="200"/>
      <c r="N1014" s="200"/>
      <c r="O1014" s="200"/>
      <c r="P1014" s="200"/>
      <c r="Q1014" s="200"/>
      <c r="R1014" s="200"/>
      <c r="S1014" s="200"/>
      <c r="T1014" s="200"/>
      <c r="U1014" s="200"/>
      <c r="V1014" s="200"/>
      <c r="W1014" s="200"/>
      <c r="X1014" s="200"/>
      <c r="Y1014" s="200"/>
      <c r="Z1014" s="200"/>
      <c r="AA1014" s="200"/>
      <c r="AB1014" s="200"/>
      <c r="AC1014" s="200"/>
      <c r="AD1014" s="200"/>
      <c r="AE1014" s="200"/>
      <c r="AF1014" s="200"/>
      <c r="AG1014" s="200"/>
      <c r="AH1014" s="200"/>
      <c r="AI1014" s="200"/>
      <c r="AJ1014" s="200"/>
      <c r="AK1014" s="200"/>
      <c r="AL1014" s="200"/>
      <c r="AM1014" s="200"/>
      <c r="AN1014" s="200"/>
      <c r="AO1014" s="200"/>
      <c r="AP1014" s="200"/>
      <c r="AQ1014" s="200"/>
      <c r="AR1014" s="200"/>
      <c r="AS1014" s="200"/>
      <c r="AT1014" s="200"/>
      <c r="AU1014" s="200"/>
      <c r="AV1014" s="200"/>
      <c r="AW1014" s="200"/>
      <c r="AX1014" s="200"/>
      <c r="AY1014" s="200"/>
      <c r="AZ1014" s="200"/>
      <c r="BA1014" s="200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</row>
    <row r="1015" spans="1:70" ht="13.8">
      <c r="A1015" s="1"/>
      <c r="B1015" s="1"/>
      <c r="C1015" s="200"/>
      <c r="D1015" s="200"/>
      <c r="E1015" s="200"/>
      <c r="F1015" s="200"/>
      <c r="G1015" s="200"/>
      <c r="H1015" s="200"/>
      <c r="I1015" s="200"/>
      <c r="J1015" s="200"/>
      <c r="K1015" s="200"/>
      <c r="L1015" s="200"/>
      <c r="M1015" s="200"/>
      <c r="N1015" s="200"/>
      <c r="O1015" s="200"/>
      <c r="P1015" s="200"/>
      <c r="Q1015" s="200"/>
      <c r="R1015" s="200"/>
      <c r="S1015" s="200"/>
      <c r="T1015" s="200"/>
      <c r="U1015" s="200"/>
      <c r="V1015" s="200"/>
      <c r="W1015" s="200"/>
      <c r="X1015" s="200"/>
      <c r="Y1015" s="200"/>
      <c r="Z1015" s="200"/>
      <c r="AA1015" s="200"/>
      <c r="AB1015" s="200"/>
      <c r="AC1015" s="200"/>
      <c r="AD1015" s="200"/>
      <c r="AE1015" s="200"/>
      <c r="AF1015" s="200"/>
      <c r="AG1015" s="200"/>
      <c r="AH1015" s="200"/>
      <c r="AI1015" s="200"/>
      <c r="AJ1015" s="200"/>
      <c r="AK1015" s="200"/>
      <c r="AL1015" s="200"/>
      <c r="AM1015" s="200"/>
      <c r="AN1015" s="200"/>
      <c r="AO1015" s="200"/>
      <c r="AP1015" s="200"/>
      <c r="AQ1015" s="200"/>
      <c r="AR1015" s="200"/>
      <c r="AS1015" s="200"/>
      <c r="AT1015" s="200"/>
      <c r="AU1015" s="200"/>
      <c r="AV1015" s="200"/>
      <c r="AW1015" s="200"/>
      <c r="AX1015" s="200"/>
      <c r="AY1015" s="200"/>
      <c r="AZ1015" s="200"/>
      <c r="BA1015" s="200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</row>
    <row r="1016" spans="1:70" ht="13.8">
      <c r="A1016" s="1"/>
      <c r="B1016" s="1"/>
      <c r="C1016" s="200"/>
      <c r="D1016" s="200"/>
      <c r="E1016" s="200"/>
      <c r="F1016" s="200"/>
      <c r="G1016" s="200"/>
      <c r="H1016" s="200"/>
      <c r="I1016" s="200"/>
      <c r="J1016" s="200"/>
      <c r="K1016" s="200"/>
      <c r="L1016" s="200"/>
      <c r="M1016" s="200"/>
      <c r="N1016" s="200"/>
      <c r="O1016" s="200"/>
      <c r="P1016" s="200"/>
      <c r="Q1016" s="200"/>
      <c r="R1016" s="200"/>
      <c r="S1016" s="200"/>
      <c r="T1016" s="200"/>
      <c r="U1016" s="200"/>
      <c r="V1016" s="200"/>
      <c r="W1016" s="200"/>
      <c r="X1016" s="200"/>
      <c r="Y1016" s="200"/>
      <c r="Z1016" s="200"/>
      <c r="AA1016" s="200"/>
      <c r="AB1016" s="200"/>
      <c r="AC1016" s="200"/>
      <c r="AD1016" s="200"/>
      <c r="AE1016" s="200"/>
      <c r="AF1016" s="200"/>
      <c r="AG1016" s="200"/>
      <c r="AH1016" s="200"/>
      <c r="AI1016" s="200"/>
      <c r="AJ1016" s="200"/>
      <c r="AK1016" s="200"/>
      <c r="AL1016" s="200"/>
      <c r="AM1016" s="200"/>
      <c r="AN1016" s="200"/>
      <c r="AO1016" s="200"/>
      <c r="AP1016" s="200"/>
      <c r="AQ1016" s="200"/>
      <c r="AR1016" s="200"/>
      <c r="AS1016" s="200"/>
      <c r="AT1016" s="200"/>
      <c r="AU1016" s="200"/>
      <c r="AV1016" s="200"/>
      <c r="AW1016" s="200"/>
      <c r="AX1016" s="200"/>
      <c r="AY1016" s="200"/>
      <c r="AZ1016" s="200"/>
      <c r="BA1016" s="200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</row>
    <row r="1017" spans="1:70" ht="13.8">
      <c r="A1017" s="1"/>
      <c r="B1017" s="1"/>
      <c r="C1017" s="200"/>
      <c r="D1017" s="200"/>
      <c r="E1017" s="200"/>
      <c r="F1017" s="200"/>
      <c r="G1017" s="200"/>
      <c r="H1017" s="200"/>
      <c r="I1017" s="200"/>
      <c r="J1017" s="200"/>
      <c r="K1017" s="200"/>
      <c r="L1017" s="200"/>
      <c r="M1017" s="200"/>
      <c r="N1017" s="200"/>
      <c r="O1017" s="200"/>
      <c r="P1017" s="200"/>
      <c r="Q1017" s="200"/>
      <c r="R1017" s="200"/>
      <c r="S1017" s="200"/>
      <c r="T1017" s="200"/>
      <c r="U1017" s="200"/>
      <c r="V1017" s="200"/>
      <c r="W1017" s="200"/>
      <c r="X1017" s="200"/>
      <c r="Y1017" s="200"/>
      <c r="Z1017" s="200"/>
      <c r="AA1017" s="200"/>
      <c r="AB1017" s="200"/>
      <c r="AC1017" s="200"/>
      <c r="AD1017" s="200"/>
      <c r="AE1017" s="200"/>
      <c r="AF1017" s="200"/>
      <c r="AG1017" s="200"/>
      <c r="AH1017" s="200"/>
      <c r="AI1017" s="200"/>
      <c r="AJ1017" s="200"/>
      <c r="AK1017" s="200"/>
      <c r="AL1017" s="200"/>
      <c r="AM1017" s="200"/>
      <c r="AN1017" s="200"/>
      <c r="AO1017" s="200"/>
      <c r="AP1017" s="200"/>
      <c r="AQ1017" s="200"/>
      <c r="AR1017" s="200"/>
      <c r="AS1017" s="200"/>
      <c r="AT1017" s="200"/>
      <c r="AU1017" s="200"/>
      <c r="AV1017" s="200"/>
      <c r="AW1017" s="200"/>
      <c r="AX1017" s="200"/>
      <c r="AY1017" s="200"/>
      <c r="AZ1017" s="200"/>
      <c r="BA1017" s="200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</row>
    <row r="1018" spans="1:70" ht="13.8">
      <c r="A1018" s="1"/>
      <c r="B1018" s="1"/>
      <c r="C1018" s="200"/>
      <c r="D1018" s="200"/>
      <c r="E1018" s="200"/>
      <c r="F1018" s="200"/>
      <c r="G1018" s="200"/>
      <c r="H1018" s="200"/>
      <c r="I1018" s="200"/>
      <c r="J1018" s="200"/>
      <c r="K1018" s="200"/>
      <c r="L1018" s="200"/>
      <c r="M1018" s="200"/>
      <c r="N1018" s="200"/>
      <c r="O1018" s="200"/>
      <c r="P1018" s="200"/>
      <c r="Q1018" s="200"/>
      <c r="R1018" s="200"/>
      <c r="S1018" s="200"/>
      <c r="T1018" s="200"/>
      <c r="U1018" s="200"/>
      <c r="V1018" s="200"/>
      <c r="W1018" s="200"/>
      <c r="X1018" s="200"/>
      <c r="Y1018" s="200"/>
      <c r="Z1018" s="200"/>
      <c r="AA1018" s="200"/>
      <c r="AB1018" s="200"/>
      <c r="AC1018" s="200"/>
      <c r="AD1018" s="200"/>
      <c r="AE1018" s="200"/>
      <c r="AF1018" s="200"/>
      <c r="AG1018" s="200"/>
      <c r="AH1018" s="200"/>
      <c r="AI1018" s="200"/>
      <c r="AJ1018" s="200"/>
      <c r="AK1018" s="200"/>
      <c r="AL1018" s="200"/>
      <c r="AM1018" s="200"/>
      <c r="AN1018" s="200"/>
      <c r="AO1018" s="200"/>
      <c r="AP1018" s="200"/>
      <c r="AQ1018" s="200"/>
      <c r="AR1018" s="200"/>
      <c r="AS1018" s="200"/>
      <c r="AT1018" s="200"/>
      <c r="AU1018" s="200"/>
      <c r="AV1018" s="200"/>
      <c r="AW1018" s="200"/>
      <c r="AX1018" s="200"/>
      <c r="AY1018" s="200"/>
      <c r="AZ1018" s="200"/>
      <c r="BA1018" s="200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</row>
    <row r="1019" spans="1:70" ht="13.8">
      <c r="A1019" s="1"/>
      <c r="B1019" s="1"/>
      <c r="C1019" s="200"/>
      <c r="D1019" s="200"/>
      <c r="E1019" s="200"/>
      <c r="F1019" s="200"/>
      <c r="G1019" s="200"/>
      <c r="H1019" s="200"/>
      <c r="I1019" s="200"/>
      <c r="J1019" s="200"/>
      <c r="K1019" s="200"/>
      <c r="L1019" s="200"/>
      <c r="M1019" s="200"/>
      <c r="N1019" s="200"/>
      <c r="O1019" s="200"/>
      <c r="P1019" s="200"/>
      <c r="Q1019" s="200"/>
      <c r="R1019" s="200"/>
      <c r="S1019" s="200"/>
      <c r="T1019" s="200"/>
      <c r="U1019" s="200"/>
      <c r="V1019" s="200"/>
      <c r="W1019" s="200"/>
      <c r="X1019" s="200"/>
      <c r="Y1019" s="200"/>
      <c r="Z1019" s="200"/>
      <c r="AA1019" s="200"/>
      <c r="AB1019" s="200"/>
      <c r="AC1019" s="200"/>
      <c r="AD1019" s="200"/>
      <c r="AE1019" s="200"/>
      <c r="AF1019" s="200"/>
      <c r="AG1019" s="200"/>
      <c r="AH1019" s="200"/>
      <c r="AI1019" s="200"/>
      <c r="AJ1019" s="200"/>
      <c r="AK1019" s="200"/>
      <c r="AL1019" s="200"/>
      <c r="AM1019" s="200"/>
      <c r="AN1019" s="200"/>
      <c r="AO1019" s="200"/>
      <c r="AP1019" s="200"/>
      <c r="AQ1019" s="200"/>
      <c r="AR1019" s="200"/>
      <c r="AS1019" s="200"/>
      <c r="AT1019" s="200"/>
      <c r="AU1019" s="200"/>
      <c r="AV1019" s="200"/>
      <c r="AW1019" s="200"/>
      <c r="AX1019" s="200"/>
      <c r="AY1019" s="200"/>
      <c r="AZ1019" s="200"/>
      <c r="BA1019" s="200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</row>
    <row r="1020" spans="1:70" ht="13.8">
      <c r="A1020" s="1"/>
      <c r="B1020" s="1"/>
      <c r="C1020" s="200"/>
      <c r="D1020" s="200"/>
      <c r="E1020" s="200"/>
      <c r="F1020" s="200"/>
      <c r="G1020" s="200"/>
      <c r="H1020" s="200"/>
      <c r="I1020" s="200"/>
      <c r="J1020" s="200"/>
      <c r="K1020" s="200"/>
      <c r="L1020" s="200"/>
      <c r="M1020" s="200"/>
      <c r="N1020" s="200"/>
      <c r="O1020" s="200"/>
      <c r="P1020" s="200"/>
      <c r="Q1020" s="200"/>
      <c r="R1020" s="200"/>
      <c r="S1020" s="200"/>
      <c r="T1020" s="200"/>
      <c r="U1020" s="200"/>
      <c r="V1020" s="200"/>
      <c r="W1020" s="200"/>
      <c r="X1020" s="200"/>
      <c r="Y1020" s="200"/>
      <c r="Z1020" s="200"/>
      <c r="AA1020" s="200"/>
      <c r="AB1020" s="200"/>
      <c r="AC1020" s="200"/>
      <c r="AD1020" s="200"/>
      <c r="AE1020" s="200"/>
      <c r="AF1020" s="200"/>
      <c r="AG1020" s="200"/>
      <c r="AH1020" s="200"/>
      <c r="AI1020" s="200"/>
      <c r="AJ1020" s="200"/>
      <c r="AK1020" s="200"/>
      <c r="AL1020" s="200"/>
      <c r="AM1020" s="200"/>
      <c r="AN1020" s="200"/>
      <c r="AO1020" s="200"/>
      <c r="AP1020" s="200"/>
      <c r="AQ1020" s="200"/>
      <c r="AR1020" s="200"/>
      <c r="AS1020" s="200"/>
      <c r="AT1020" s="200"/>
      <c r="AU1020" s="200"/>
      <c r="AV1020" s="200"/>
      <c r="AW1020" s="200"/>
      <c r="AX1020" s="200"/>
      <c r="AY1020" s="200"/>
      <c r="AZ1020" s="200"/>
      <c r="BA1020" s="200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</row>
    <row r="1021" spans="1:70" ht="13.8">
      <c r="A1021" s="1"/>
      <c r="B1021" s="1"/>
      <c r="C1021" s="200"/>
      <c r="D1021" s="200"/>
      <c r="E1021" s="200"/>
      <c r="F1021" s="200"/>
      <c r="G1021" s="200"/>
      <c r="H1021" s="200"/>
      <c r="I1021" s="200"/>
      <c r="J1021" s="200"/>
      <c r="K1021" s="200"/>
      <c r="L1021" s="200"/>
      <c r="M1021" s="200"/>
      <c r="N1021" s="200"/>
      <c r="O1021" s="200"/>
      <c r="P1021" s="200"/>
      <c r="Q1021" s="200"/>
      <c r="R1021" s="200"/>
      <c r="S1021" s="200"/>
      <c r="T1021" s="200"/>
      <c r="U1021" s="200"/>
      <c r="V1021" s="200"/>
      <c r="W1021" s="200"/>
      <c r="X1021" s="200"/>
      <c r="Y1021" s="200"/>
      <c r="Z1021" s="200"/>
      <c r="AA1021" s="200"/>
      <c r="AB1021" s="200"/>
      <c r="AC1021" s="200"/>
      <c r="AD1021" s="200"/>
      <c r="AE1021" s="200"/>
      <c r="AF1021" s="200"/>
      <c r="AG1021" s="200"/>
      <c r="AH1021" s="200"/>
      <c r="AI1021" s="200"/>
      <c r="AJ1021" s="200"/>
      <c r="AK1021" s="200"/>
      <c r="AL1021" s="200"/>
      <c r="AM1021" s="200"/>
      <c r="AN1021" s="200"/>
      <c r="AO1021" s="200"/>
      <c r="AP1021" s="200"/>
      <c r="AQ1021" s="200"/>
      <c r="AR1021" s="200"/>
      <c r="AS1021" s="200"/>
      <c r="AT1021" s="200"/>
      <c r="AU1021" s="200"/>
      <c r="AV1021" s="200"/>
      <c r="AW1021" s="200"/>
      <c r="AX1021" s="200"/>
      <c r="AY1021" s="200"/>
      <c r="AZ1021" s="200"/>
      <c r="BA1021" s="200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</row>
    <row r="1022" spans="1:70" ht="13.8">
      <c r="A1022" s="1"/>
      <c r="B1022" s="1"/>
      <c r="C1022" s="200"/>
      <c r="D1022" s="200"/>
      <c r="E1022" s="200"/>
      <c r="F1022" s="200"/>
      <c r="G1022" s="200"/>
      <c r="H1022" s="200"/>
      <c r="I1022" s="200"/>
      <c r="J1022" s="200"/>
      <c r="K1022" s="200"/>
      <c r="L1022" s="200"/>
      <c r="M1022" s="200"/>
      <c r="N1022" s="200"/>
      <c r="O1022" s="200"/>
      <c r="P1022" s="200"/>
      <c r="Q1022" s="200"/>
      <c r="R1022" s="200"/>
      <c r="S1022" s="200"/>
      <c r="T1022" s="200"/>
      <c r="U1022" s="200"/>
      <c r="V1022" s="200"/>
      <c r="W1022" s="200"/>
      <c r="X1022" s="200"/>
      <c r="Y1022" s="200"/>
      <c r="Z1022" s="200"/>
      <c r="AA1022" s="200"/>
      <c r="AB1022" s="200"/>
      <c r="AC1022" s="200"/>
      <c r="AD1022" s="200"/>
      <c r="AE1022" s="200"/>
      <c r="AF1022" s="200"/>
      <c r="AG1022" s="200"/>
      <c r="AH1022" s="200"/>
      <c r="AI1022" s="200"/>
      <c r="AJ1022" s="200"/>
      <c r="AK1022" s="200"/>
      <c r="AL1022" s="200"/>
      <c r="AM1022" s="200"/>
      <c r="AN1022" s="200"/>
      <c r="AO1022" s="200"/>
      <c r="AP1022" s="200"/>
      <c r="AQ1022" s="200"/>
      <c r="AR1022" s="200"/>
      <c r="AS1022" s="200"/>
      <c r="AT1022" s="200"/>
      <c r="AU1022" s="200"/>
      <c r="AV1022" s="200"/>
      <c r="AW1022" s="200"/>
      <c r="AX1022" s="200"/>
      <c r="AY1022" s="200"/>
      <c r="AZ1022" s="200"/>
      <c r="BA1022" s="200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</row>
    <row r="1023" spans="1:70" ht="13.8">
      <c r="A1023" s="1"/>
      <c r="B1023" s="1"/>
      <c r="C1023" s="200"/>
      <c r="D1023" s="200"/>
      <c r="E1023" s="200"/>
      <c r="F1023" s="200"/>
      <c r="G1023" s="200"/>
      <c r="H1023" s="200"/>
      <c r="I1023" s="200"/>
      <c r="J1023" s="200"/>
      <c r="K1023" s="200"/>
      <c r="L1023" s="200"/>
      <c r="M1023" s="200"/>
      <c r="N1023" s="200"/>
      <c r="O1023" s="200"/>
      <c r="P1023" s="200"/>
      <c r="Q1023" s="200"/>
      <c r="R1023" s="200"/>
      <c r="S1023" s="200"/>
      <c r="T1023" s="200"/>
      <c r="U1023" s="200"/>
      <c r="V1023" s="200"/>
      <c r="W1023" s="200"/>
      <c r="X1023" s="200"/>
      <c r="Y1023" s="200"/>
      <c r="Z1023" s="200"/>
      <c r="AA1023" s="200"/>
      <c r="AB1023" s="200"/>
      <c r="AC1023" s="200"/>
      <c r="AD1023" s="200"/>
      <c r="AE1023" s="200"/>
      <c r="AF1023" s="200"/>
      <c r="AG1023" s="200"/>
      <c r="AH1023" s="200"/>
      <c r="AI1023" s="200"/>
      <c r="AJ1023" s="200"/>
      <c r="AK1023" s="200"/>
      <c r="AL1023" s="200"/>
      <c r="AM1023" s="200"/>
      <c r="AN1023" s="200"/>
      <c r="AO1023" s="200"/>
      <c r="AP1023" s="200"/>
      <c r="AQ1023" s="200"/>
      <c r="AR1023" s="200"/>
      <c r="AS1023" s="200"/>
      <c r="AT1023" s="200"/>
      <c r="AU1023" s="200"/>
      <c r="AV1023" s="200"/>
      <c r="AW1023" s="200"/>
      <c r="AX1023" s="200"/>
      <c r="AY1023" s="200"/>
      <c r="AZ1023" s="200"/>
      <c r="BA1023" s="200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</row>
    <row r="1024" spans="1:70" ht="13.8">
      <c r="A1024" s="1"/>
      <c r="B1024" s="1"/>
      <c r="C1024" s="200"/>
      <c r="D1024" s="200"/>
      <c r="E1024" s="200"/>
      <c r="F1024" s="200"/>
      <c r="G1024" s="200"/>
      <c r="H1024" s="200"/>
      <c r="I1024" s="200"/>
      <c r="J1024" s="200"/>
      <c r="K1024" s="200"/>
      <c r="L1024" s="200"/>
      <c r="M1024" s="200"/>
      <c r="N1024" s="200"/>
      <c r="O1024" s="200"/>
      <c r="P1024" s="200"/>
      <c r="Q1024" s="200"/>
      <c r="R1024" s="200"/>
      <c r="S1024" s="200"/>
      <c r="T1024" s="200"/>
      <c r="U1024" s="200"/>
      <c r="V1024" s="200"/>
      <c r="W1024" s="200"/>
      <c r="X1024" s="200"/>
      <c r="Y1024" s="200"/>
      <c r="Z1024" s="200"/>
      <c r="AA1024" s="200"/>
      <c r="AB1024" s="200"/>
      <c r="AC1024" s="200"/>
      <c r="AD1024" s="200"/>
      <c r="AE1024" s="200"/>
      <c r="AF1024" s="200"/>
      <c r="AG1024" s="200"/>
      <c r="AH1024" s="200"/>
      <c r="AI1024" s="200"/>
      <c r="AJ1024" s="200"/>
      <c r="AK1024" s="200"/>
      <c r="AL1024" s="200"/>
      <c r="AM1024" s="200"/>
      <c r="AN1024" s="200"/>
      <c r="AO1024" s="200"/>
      <c r="AP1024" s="200"/>
      <c r="AQ1024" s="200"/>
      <c r="AR1024" s="200"/>
      <c r="AS1024" s="200"/>
      <c r="AT1024" s="200"/>
      <c r="AU1024" s="200"/>
      <c r="AV1024" s="200"/>
      <c r="AW1024" s="200"/>
      <c r="AX1024" s="200"/>
      <c r="AY1024" s="200"/>
      <c r="AZ1024" s="200"/>
      <c r="BA1024" s="200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</row>
    <row r="1025" spans="1:70" ht="13.8">
      <c r="A1025" s="1"/>
      <c r="B1025" s="1"/>
      <c r="C1025" s="200"/>
      <c r="D1025" s="200"/>
      <c r="E1025" s="200"/>
      <c r="F1025" s="200"/>
      <c r="G1025" s="200"/>
      <c r="H1025" s="200"/>
      <c r="I1025" s="200"/>
      <c r="J1025" s="200"/>
      <c r="K1025" s="200"/>
      <c r="L1025" s="200"/>
      <c r="M1025" s="200"/>
      <c r="N1025" s="200"/>
      <c r="O1025" s="200"/>
      <c r="P1025" s="200"/>
      <c r="Q1025" s="200"/>
      <c r="R1025" s="200"/>
      <c r="S1025" s="200"/>
      <c r="T1025" s="200"/>
      <c r="U1025" s="200"/>
      <c r="V1025" s="200"/>
      <c r="W1025" s="200"/>
      <c r="X1025" s="200"/>
      <c r="Y1025" s="200"/>
      <c r="Z1025" s="200"/>
      <c r="AA1025" s="200"/>
      <c r="AB1025" s="200"/>
      <c r="AC1025" s="200"/>
      <c r="AD1025" s="200"/>
      <c r="AE1025" s="200"/>
      <c r="AF1025" s="200"/>
      <c r="AG1025" s="200"/>
      <c r="AH1025" s="200"/>
      <c r="AI1025" s="200"/>
      <c r="AJ1025" s="200"/>
      <c r="AK1025" s="200"/>
      <c r="AL1025" s="200"/>
      <c r="AM1025" s="200"/>
      <c r="AN1025" s="200"/>
      <c r="AO1025" s="200"/>
      <c r="AP1025" s="200"/>
      <c r="AQ1025" s="200"/>
      <c r="AR1025" s="200"/>
      <c r="AS1025" s="200"/>
      <c r="AT1025" s="200"/>
      <c r="AU1025" s="200"/>
      <c r="AV1025" s="200"/>
      <c r="AW1025" s="200"/>
      <c r="AX1025" s="200"/>
      <c r="AY1025" s="200"/>
      <c r="AZ1025" s="200"/>
      <c r="BA1025" s="200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</row>
    <row r="1026" spans="1:70" ht="13.8">
      <c r="A1026" s="1"/>
      <c r="B1026" s="1"/>
      <c r="C1026" s="200"/>
      <c r="D1026" s="200"/>
      <c r="E1026" s="200"/>
      <c r="F1026" s="200"/>
      <c r="G1026" s="200"/>
      <c r="H1026" s="200"/>
      <c r="I1026" s="200"/>
      <c r="J1026" s="200"/>
      <c r="K1026" s="200"/>
      <c r="L1026" s="200"/>
      <c r="M1026" s="200"/>
      <c r="N1026" s="200"/>
      <c r="O1026" s="200"/>
      <c r="P1026" s="200"/>
      <c r="Q1026" s="200"/>
      <c r="R1026" s="200"/>
      <c r="S1026" s="200"/>
      <c r="T1026" s="200"/>
      <c r="U1026" s="200"/>
      <c r="V1026" s="200"/>
      <c r="W1026" s="200"/>
      <c r="X1026" s="200"/>
      <c r="Y1026" s="200"/>
      <c r="Z1026" s="200"/>
      <c r="AA1026" s="200"/>
      <c r="AB1026" s="200"/>
      <c r="AC1026" s="200"/>
      <c r="AD1026" s="200"/>
      <c r="AE1026" s="200"/>
      <c r="AF1026" s="200"/>
      <c r="AG1026" s="200"/>
      <c r="AH1026" s="200"/>
      <c r="AI1026" s="200"/>
      <c r="AJ1026" s="200"/>
      <c r="AK1026" s="200"/>
      <c r="AL1026" s="200"/>
      <c r="AM1026" s="200"/>
      <c r="AN1026" s="200"/>
      <c r="AO1026" s="200"/>
      <c r="AP1026" s="200"/>
      <c r="AQ1026" s="200"/>
      <c r="AR1026" s="200"/>
      <c r="AS1026" s="200"/>
      <c r="AT1026" s="200"/>
      <c r="AU1026" s="200"/>
      <c r="AV1026" s="200"/>
      <c r="AW1026" s="200"/>
      <c r="AX1026" s="200"/>
      <c r="AY1026" s="200"/>
      <c r="AZ1026" s="200"/>
      <c r="BA1026" s="200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</row>
    <row r="1027" spans="1:70" ht="13.8">
      <c r="A1027" s="1"/>
      <c r="B1027" s="1"/>
      <c r="C1027" s="200"/>
      <c r="D1027" s="200"/>
      <c r="E1027" s="200"/>
      <c r="F1027" s="200"/>
      <c r="G1027" s="200"/>
      <c r="H1027" s="200"/>
      <c r="I1027" s="200"/>
      <c r="J1027" s="200"/>
      <c r="K1027" s="200"/>
      <c r="L1027" s="200"/>
      <c r="M1027" s="200"/>
      <c r="N1027" s="200"/>
      <c r="O1027" s="200"/>
      <c r="P1027" s="200"/>
      <c r="Q1027" s="200"/>
      <c r="R1027" s="200"/>
      <c r="S1027" s="200"/>
      <c r="T1027" s="200"/>
      <c r="U1027" s="200"/>
      <c r="V1027" s="200"/>
      <c r="W1027" s="200"/>
      <c r="X1027" s="200"/>
      <c r="Y1027" s="200"/>
      <c r="Z1027" s="200"/>
      <c r="AA1027" s="200"/>
      <c r="AB1027" s="200"/>
      <c r="AC1027" s="200"/>
      <c r="AD1027" s="200"/>
      <c r="AE1027" s="200"/>
      <c r="AF1027" s="200"/>
      <c r="AG1027" s="200"/>
      <c r="AH1027" s="200"/>
      <c r="AI1027" s="200"/>
      <c r="AJ1027" s="200"/>
      <c r="AK1027" s="200"/>
      <c r="AL1027" s="200"/>
      <c r="AM1027" s="200"/>
      <c r="AN1027" s="200"/>
      <c r="AO1027" s="200"/>
      <c r="AP1027" s="200"/>
      <c r="AQ1027" s="200"/>
      <c r="AR1027" s="200"/>
      <c r="AS1027" s="200"/>
      <c r="AT1027" s="200"/>
      <c r="AU1027" s="200"/>
      <c r="AV1027" s="200"/>
      <c r="AW1027" s="200"/>
      <c r="AX1027" s="200"/>
      <c r="AY1027" s="200"/>
      <c r="AZ1027" s="200"/>
      <c r="BA1027" s="200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</row>
    <row r="1028" spans="1:70" ht="13.8">
      <c r="A1028" s="1"/>
      <c r="B1028" s="1"/>
      <c r="C1028" s="200"/>
      <c r="D1028" s="200"/>
      <c r="E1028" s="200"/>
      <c r="F1028" s="200"/>
      <c r="G1028" s="200"/>
      <c r="H1028" s="200"/>
      <c r="I1028" s="200"/>
      <c r="J1028" s="200"/>
      <c r="K1028" s="200"/>
      <c r="L1028" s="200"/>
      <c r="M1028" s="200"/>
      <c r="N1028" s="200"/>
      <c r="O1028" s="200"/>
      <c r="P1028" s="200"/>
      <c r="Q1028" s="200"/>
      <c r="R1028" s="200"/>
      <c r="S1028" s="200"/>
      <c r="T1028" s="200"/>
      <c r="U1028" s="200"/>
      <c r="V1028" s="200"/>
      <c r="W1028" s="200"/>
      <c r="X1028" s="200"/>
      <c r="Y1028" s="200"/>
      <c r="Z1028" s="200"/>
      <c r="AA1028" s="200"/>
      <c r="AB1028" s="200"/>
      <c r="AC1028" s="200"/>
      <c r="AD1028" s="200"/>
      <c r="AE1028" s="200"/>
      <c r="AF1028" s="200"/>
      <c r="AG1028" s="200"/>
      <c r="AH1028" s="200"/>
      <c r="AI1028" s="200"/>
      <c r="AJ1028" s="200"/>
      <c r="AK1028" s="200"/>
      <c r="AL1028" s="200"/>
      <c r="AM1028" s="200"/>
      <c r="AN1028" s="200"/>
      <c r="AO1028" s="200"/>
      <c r="AP1028" s="200"/>
      <c r="AQ1028" s="200"/>
      <c r="AR1028" s="200"/>
      <c r="AS1028" s="200"/>
      <c r="AT1028" s="200"/>
      <c r="AU1028" s="200"/>
      <c r="AV1028" s="200"/>
      <c r="AW1028" s="200"/>
      <c r="AX1028" s="200"/>
      <c r="AY1028" s="200"/>
      <c r="AZ1028" s="200"/>
      <c r="BA1028" s="200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</row>
    <row r="1029" spans="1:70" ht="13.8">
      <c r="A1029" s="1"/>
      <c r="B1029" s="1"/>
      <c r="C1029" s="200"/>
      <c r="D1029" s="200"/>
      <c r="E1029" s="200"/>
      <c r="F1029" s="200"/>
      <c r="G1029" s="200"/>
      <c r="H1029" s="200"/>
      <c r="I1029" s="200"/>
      <c r="J1029" s="200"/>
      <c r="K1029" s="200"/>
      <c r="L1029" s="200"/>
      <c r="M1029" s="200"/>
      <c r="N1029" s="200"/>
      <c r="O1029" s="200"/>
      <c r="P1029" s="200"/>
      <c r="Q1029" s="200"/>
      <c r="R1029" s="200"/>
      <c r="S1029" s="200"/>
      <c r="T1029" s="200"/>
      <c r="U1029" s="200"/>
      <c r="V1029" s="200"/>
      <c r="W1029" s="200"/>
      <c r="X1029" s="200"/>
      <c r="Y1029" s="200"/>
      <c r="Z1029" s="200"/>
      <c r="AA1029" s="200"/>
      <c r="AB1029" s="200"/>
      <c r="AC1029" s="200"/>
      <c r="AD1029" s="200"/>
      <c r="AE1029" s="200"/>
      <c r="AF1029" s="200"/>
      <c r="AG1029" s="200"/>
      <c r="AH1029" s="200"/>
      <c r="AI1029" s="200"/>
      <c r="AJ1029" s="200"/>
      <c r="AK1029" s="200"/>
      <c r="AL1029" s="200"/>
      <c r="AM1029" s="200"/>
      <c r="AN1029" s="200"/>
      <c r="AO1029" s="200"/>
      <c r="AP1029" s="200"/>
      <c r="AQ1029" s="200"/>
      <c r="AR1029" s="200"/>
      <c r="AS1029" s="200"/>
      <c r="AT1029" s="200"/>
      <c r="AU1029" s="200"/>
      <c r="AV1029" s="200"/>
      <c r="AW1029" s="200"/>
      <c r="AX1029" s="200"/>
      <c r="AY1029" s="200"/>
      <c r="AZ1029" s="200"/>
      <c r="BA1029" s="200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</row>
    <row r="1030" spans="1:70" ht="13.8">
      <c r="A1030" s="1"/>
      <c r="B1030" s="1"/>
      <c r="C1030" s="200"/>
      <c r="D1030" s="200"/>
      <c r="E1030" s="200"/>
      <c r="F1030" s="200"/>
      <c r="G1030" s="200"/>
      <c r="H1030" s="200"/>
      <c r="I1030" s="200"/>
      <c r="J1030" s="200"/>
      <c r="K1030" s="200"/>
      <c r="L1030" s="200"/>
      <c r="M1030" s="200"/>
      <c r="N1030" s="200"/>
      <c r="O1030" s="200"/>
      <c r="P1030" s="200"/>
      <c r="Q1030" s="200"/>
      <c r="R1030" s="200"/>
      <c r="S1030" s="200"/>
      <c r="T1030" s="200"/>
      <c r="U1030" s="200"/>
      <c r="V1030" s="200"/>
      <c r="W1030" s="200"/>
      <c r="X1030" s="200"/>
      <c r="Y1030" s="200"/>
      <c r="Z1030" s="200"/>
      <c r="AA1030" s="200"/>
      <c r="AB1030" s="200"/>
      <c r="AC1030" s="200"/>
      <c r="AD1030" s="200"/>
      <c r="AE1030" s="200"/>
      <c r="AF1030" s="200"/>
      <c r="AG1030" s="200"/>
      <c r="AH1030" s="200"/>
      <c r="AI1030" s="200"/>
      <c r="AJ1030" s="200"/>
      <c r="AK1030" s="200"/>
      <c r="AL1030" s="200"/>
      <c r="AM1030" s="200"/>
      <c r="AN1030" s="200"/>
      <c r="AO1030" s="200"/>
      <c r="AP1030" s="200"/>
      <c r="AQ1030" s="200"/>
      <c r="AR1030" s="200"/>
      <c r="AS1030" s="200"/>
      <c r="AT1030" s="200"/>
      <c r="AU1030" s="200"/>
      <c r="AV1030" s="200"/>
      <c r="AW1030" s="200"/>
      <c r="AX1030" s="200"/>
      <c r="AY1030" s="200"/>
      <c r="AZ1030" s="200"/>
      <c r="BA1030" s="200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</row>
    <row r="1031" spans="1:70" ht="13.8">
      <c r="A1031" s="1"/>
      <c r="B1031" s="1"/>
      <c r="C1031" s="200"/>
      <c r="D1031" s="200"/>
      <c r="E1031" s="200"/>
      <c r="F1031" s="200"/>
      <c r="G1031" s="200"/>
      <c r="H1031" s="200"/>
      <c r="I1031" s="200"/>
      <c r="J1031" s="200"/>
      <c r="K1031" s="200"/>
      <c r="L1031" s="200"/>
      <c r="M1031" s="200"/>
      <c r="N1031" s="200"/>
      <c r="O1031" s="200"/>
      <c r="P1031" s="200"/>
      <c r="Q1031" s="200"/>
      <c r="R1031" s="200"/>
      <c r="S1031" s="200"/>
      <c r="T1031" s="200"/>
      <c r="U1031" s="200"/>
      <c r="V1031" s="200"/>
      <c r="W1031" s="200"/>
      <c r="X1031" s="200"/>
      <c r="Y1031" s="200"/>
      <c r="Z1031" s="200"/>
      <c r="AA1031" s="200"/>
      <c r="AB1031" s="200"/>
      <c r="AC1031" s="200"/>
      <c r="AD1031" s="200"/>
      <c r="AE1031" s="200"/>
      <c r="AF1031" s="200"/>
      <c r="AG1031" s="200"/>
      <c r="AH1031" s="200"/>
      <c r="AI1031" s="200"/>
      <c r="AJ1031" s="200"/>
      <c r="AK1031" s="200"/>
      <c r="AL1031" s="200"/>
      <c r="AM1031" s="200"/>
      <c r="AN1031" s="200"/>
      <c r="AO1031" s="200"/>
      <c r="AP1031" s="200"/>
      <c r="AQ1031" s="200"/>
      <c r="AR1031" s="200"/>
      <c r="AS1031" s="200"/>
      <c r="AT1031" s="200"/>
      <c r="AU1031" s="200"/>
      <c r="AV1031" s="200"/>
      <c r="AW1031" s="200"/>
      <c r="AX1031" s="200"/>
      <c r="AY1031" s="200"/>
      <c r="AZ1031" s="200"/>
      <c r="BA1031" s="200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</row>
    <row r="1032" spans="1:70" ht="13.8">
      <c r="A1032" s="1"/>
      <c r="B1032" s="1"/>
      <c r="C1032" s="200"/>
      <c r="D1032" s="200"/>
      <c r="E1032" s="200"/>
      <c r="F1032" s="200"/>
      <c r="G1032" s="200"/>
      <c r="H1032" s="200"/>
      <c r="I1032" s="200"/>
      <c r="J1032" s="200"/>
      <c r="K1032" s="200"/>
      <c r="L1032" s="200"/>
      <c r="M1032" s="200"/>
      <c r="N1032" s="200"/>
      <c r="O1032" s="200"/>
      <c r="P1032" s="200"/>
      <c r="Q1032" s="200"/>
      <c r="R1032" s="200"/>
      <c r="S1032" s="200"/>
      <c r="T1032" s="200"/>
      <c r="U1032" s="200"/>
      <c r="V1032" s="200"/>
      <c r="W1032" s="200"/>
      <c r="X1032" s="200"/>
      <c r="Y1032" s="200"/>
      <c r="Z1032" s="200"/>
      <c r="AA1032" s="200"/>
      <c r="AB1032" s="200"/>
      <c r="AC1032" s="200"/>
      <c r="AD1032" s="200"/>
      <c r="AE1032" s="200"/>
      <c r="AF1032" s="200"/>
      <c r="AG1032" s="200"/>
      <c r="AH1032" s="200"/>
      <c r="AI1032" s="200"/>
      <c r="AJ1032" s="200"/>
      <c r="AK1032" s="200"/>
      <c r="AL1032" s="200"/>
      <c r="AM1032" s="200"/>
      <c r="AN1032" s="200"/>
      <c r="AO1032" s="200"/>
      <c r="AP1032" s="200"/>
      <c r="AQ1032" s="200"/>
      <c r="AR1032" s="200"/>
      <c r="AS1032" s="200"/>
      <c r="AT1032" s="200"/>
      <c r="AU1032" s="200"/>
      <c r="AV1032" s="200"/>
      <c r="AW1032" s="200"/>
      <c r="AX1032" s="200"/>
      <c r="AY1032" s="200"/>
      <c r="AZ1032" s="200"/>
      <c r="BA1032" s="200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</row>
    <row r="1033" spans="1:70" ht="13.8">
      <c r="A1033" s="1"/>
      <c r="B1033" s="1"/>
      <c r="C1033" s="200"/>
      <c r="D1033" s="200"/>
      <c r="E1033" s="200"/>
      <c r="F1033" s="200"/>
      <c r="G1033" s="200"/>
      <c r="H1033" s="200"/>
      <c r="I1033" s="200"/>
      <c r="J1033" s="200"/>
      <c r="K1033" s="200"/>
      <c r="L1033" s="200"/>
      <c r="M1033" s="200"/>
      <c r="N1033" s="200"/>
      <c r="O1033" s="200"/>
      <c r="P1033" s="200"/>
      <c r="Q1033" s="200"/>
      <c r="R1033" s="200"/>
      <c r="S1033" s="200"/>
      <c r="T1033" s="200"/>
      <c r="U1033" s="200"/>
      <c r="V1033" s="200"/>
      <c r="W1033" s="200"/>
      <c r="X1033" s="200"/>
      <c r="Y1033" s="200"/>
      <c r="Z1033" s="200"/>
      <c r="AA1033" s="200"/>
      <c r="AB1033" s="200"/>
      <c r="AC1033" s="200"/>
      <c r="AD1033" s="200"/>
      <c r="AE1033" s="200"/>
      <c r="AF1033" s="200"/>
      <c r="AG1033" s="200"/>
      <c r="AH1033" s="200"/>
      <c r="AI1033" s="200"/>
      <c r="AJ1033" s="200"/>
      <c r="AK1033" s="200"/>
      <c r="AL1033" s="200"/>
      <c r="AM1033" s="200"/>
      <c r="AN1033" s="200"/>
      <c r="AO1033" s="200"/>
      <c r="AP1033" s="200"/>
      <c r="AQ1033" s="200"/>
      <c r="AR1033" s="200"/>
      <c r="AS1033" s="200"/>
      <c r="AT1033" s="200"/>
      <c r="AU1033" s="200"/>
      <c r="AV1033" s="200"/>
      <c r="AW1033" s="200"/>
      <c r="AX1033" s="200"/>
      <c r="AY1033" s="200"/>
      <c r="AZ1033" s="200"/>
      <c r="BA1033" s="200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</row>
    <row r="1034" spans="1:70" ht="13.8">
      <c r="A1034" s="1"/>
      <c r="B1034" s="1"/>
      <c r="C1034" s="200"/>
      <c r="D1034" s="200"/>
      <c r="E1034" s="200"/>
      <c r="F1034" s="200"/>
      <c r="G1034" s="200"/>
      <c r="H1034" s="200"/>
      <c r="I1034" s="200"/>
      <c r="J1034" s="200"/>
      <c r="K1034" s="200"/>
      <c r="L1034" s="200"/>
      <c r="M1034" s="200"/>
      <c r="N1034" s="200"/>
      <c r="O1034" s="200"/>
      <c r="P1034" s="200"/>
      <c r="Q1034" s="200"/>
      <c r="R1034" s="200"/>
      <c r="S1034" s="200"/>
      <c r="T1034" s="200"/>
      <c r="U1034" s="200"/>
      <c r="V1034" s="200"/>
      <c r="W1034" s="200"/>
      <c r="X1034" s="200"/>
      <c r="Y1034" s="200"/>
      <c r="Z1034" s="200"/>
      <c r="AA1034" s="200"/>
      <c r="AB1034" s="200"/>
      <c r="AC1034" s="200"/>
      <c r="AD1034" s="200"/>
      <c r="AE1034" s="200"/>
      <c r="AF1034" s="200"/>
      <c r="AG1034" s="200"/>
      <c r="AH1034" s="200"/>
      <c r="AI1034" s="200"/>
      <c r="AJ1034" s="200"/>
      <c r="AK1034" s="200"/>
      <c r="AL1034" s="200"/>
      <c r="AM1034" s="200"/>
      <c r="AN1034" s="200"/>
      <c r="AO1034" s="200"/>
      <c r="AP1034" s="200"/>
      <c r="AQ1034" s="200"/>
      <c r="AR1034" s="200"/>
      <c r="AS1034" s="200"/>
      <c r="AT1034" s="200"/>
      <c r="AU1034" s="200"/>
      <c r="AV1034" s="200"/>
      <c r="AW1034" s="200"/>
      <c r="AX1034" s="200"/>
      <c r="AY1034" s="200"/>
      <c r="AZ1034" s="200"/>
      <c r="BA1034" s="200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</row>
    <row r="1035" spans="1:70" ht="13.8">
      <c r="A1035" s="1"/>
      <c r="B1035" s="1"/>
      <c r="C1035" s="200"/>
      <c r="D1035" s="200"/>
      <c r="E1035" s="200"/>
      <c r="F1035" s="200"/>
      <c r="G1035" s="200"/>
      <c r="H1035" s="200"/>
      <c r="I1035" s="200"/>
      <c r="J1035" s="200"/>
      <c r="K1035" s="200"/>
      <c r="L1035" s="200"/>
      <c r="M1035" s="200"/>
      <c r="N1035" s="200"/>
      <c r="O1035" s="200"/>
      <c r="P1035" s="200"/>
      <c r="Q1035" s="200"/>
      <c r="R1035" s="200"/>
      <c r="S1035" s="200"/>
      <c r="T1035" s="200"/>
      <c r="U1035" s="200"/>
      <c r="V1035" s="200"/>
      <c r="W1035" s="200"/>
      <c r="X1035" s="200"/>
      <c r="Y1035" s="200"/>
      <c r="Z1035" s="200"/>
      <c r="AA1035" s="200"/>
      <c r="AB1035" s="200"/>
      <c r="AC1035" s="200"/>
      <c r="AD1035" s="200"/>
      <c r="AE1035" s="200"/>
      <c r="AF1035" s="200"/>
      <c r="AG1035" s="200"/>
      <c r="AH1035" s="200"/>
      <c r="AI1035" s="200"/>
      <c r="AJ1035" s="200"/>
      <c r="AK1035" s="200"/>
      <c r="AL1035" s="200"/>
      <c r="AM1035" s="200"/>
      <c r="AN1035" s="200"/>
      <c r="AO1035" s="200"/>
      <c r="AP1035" s="200"/>
      <c r="AQ1035" s="200"/>
      <c r="AR1035" s="200"/>
      <c r="AS1035" s="200"/>
      <c r="AT1035" s="200"/>
      <c r="AU1035" s="200"/>
      <c r="AV1035" s="200"/>
      <c r="AW1035" s="200"/>
      <c r="AX1035" s="200"/>
      <c r="AY1035" s="200"/>
      <c r="AZ1035" s="200"/>
      <c r="BA1035" s="200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</row>
    <row r="1036" spans="1:70" ht="13.8">
      <c r="A1036" s="1"/>
      <c r="B1036" s="1"/>
      <c r="C1036" s="200"/>
      <c r="D1036" s="200"/>
      <c r="E1036" s="200"/>
      <c r="F1036" s="200"/>
      <c r="G1036" s="200"/>
      <c r="H1036" s="200"/>
      <c r="I1036" s="200"/>
      <c r="J1036" s="200"/>
      <c r="K1036" s="200"/>
      <c r="L1036" s="200"/>
      <c r="M1036" s="200"/>
      <c r="N1036" s="200"/>
      <c r="O1036" s="200"/>
      <c r="P1036" s="200"/>
      <c r="Q1036" s="200"/>
      <c r="R1036" s="200"/>
      <c r="S1036" s="200"/>
      <c r="T1036" s="200"/>
      <c r="U1036" s="200"/>
      <c r="V1036" s="200"/>
      <c r="W1036" s="200"/>
      <c r="X1036" s="200"/>
      <c r="Y1036" s="200"/>
      <c r="Z1036" s="200"/>
      <c r="AA1036" s="200"/>
      <c r="AB1036" s="200"/>
      <c r="AC1036" s="200"/>
      <c r="AD1036" s="200"/>
      <c r="AE1036" s="200"/>
      <c r="AF1036" s="200"/>
      <c r="AG1036" s="200"/>
      <c r="AH1036" s="200"/>
      <c r="AI1036" s="200"/>
      <c r="AJ1036" s="200"/>
      <c r="AK1036" s="200"/>
      <c r="AL1036" s="200"/>
      <c r="AM1036" s="200"/>
      <c r="AN1036" s="200"/>
      <c r="AO1036" s="200"/>
      <c r="AP1036" s="200"/>
      <c r="AQ1036" s="200"/>
      <c r="AR1036" s="200"/>
      <c r="AS1036" s="200"/>
      <c r="AT1036" s="200"/>
      <c r="AU1036" s="200"/>
      <c r="AV1036" s="200"/>
      <c r="AW1036" s="200"/>
      <c r="AX1036" s="200"/>
      <c r="AY1036" s="200"/>
      <c r="AZ1036" s="200"/>
      <c r="BA1036" s="200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</row>
    <row r="1037" spans="1:70" ht="13.8">
      <c r="A1037" s="1"/>
      <c r="B1037" s="1"/>
      <c r="C1037" s="200"/>
      <c r="D1037" s="200"/>
      <c r="E1037" s="200"/>
      <c r="F1037" s="200"/>
      <c r="G1037" s="200"/>
      <c r="H1037" s="200"/>
      <c r="I1037" s="200"/>
      <c r="J1037" s="200"/>
      <c r="K1037" s="200"/>
      <c r="L1037" s="200"/>
      <c r="M1037" s="200"/>
      <c r="N1037" s="200"/>
      <c r="O1037" s="200"/>
      <c r="P1037" s="200"/>
      <c r="Q1037" s="200"/>
      <c r="R1037" s="200"/>
      <c r="S1037" s="200"/>
      <c r="T1037" s="200"/>
      <c r="U1037" s="200"/>
      <c r="V1037" s="200"/>
      <c r="W1037" s="200"/>
      <c r="X1037" s="200"/>
      <c r="Y1037" s="200"/>
      <c r="Z1037" s="200"/>
      <c r="AA1037" s="200"/>
      <c r="AB1037" s="200"/>
      <c r="AC1037" s="200"/>
      <c r="AD1037" s="200"/>
      <c r="AE1037" s="200"/>
      <c r="AF1037" s="200"/>
      <c r="AG1037" s="200"/>
      <c r="AH1037" s="200"/>
      <c r="AI1037" s="200"/>
      <c r="AJ1037" s="200"/>
      <c r="AK1037" s="200"/>
      <c r="AL1037" s="200"/>
      <c r="AM1037" s="200"/>
      <c r="AN1037" s="200"/>
      <c r="AO1037" s="200"/>
      <c r="AP1037" s="200"/>
      <c r="AQ1037" s="200"/>
      <c r="AR1037" s="200"/>
      <c r="AS1037" s="200"/>
      <c r="AT1037" s="200"/>
      <c r="AU1037" s="200"/>
      <c r="AV1037" s="200"/>
      <c r="AW1037" s="200"/>
      <c r="AX1037" s="200"/>
      <c r="AY1037" s="200"/>
      <c r="AZ1037" s="200"/>
      <c r="BA1037" s="200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</row>
    <row r="1038" spans="1:70" ht="13.8">
      <c r="A1038" s="1"/>
      <c r="B1038" s="1"/>
      <c r="C1038" s="200"/>
      <c r="D1038" s="200"/>
      <c r="E1038" s="200"/>
      <c r="F1038" s="200"/>
      <c r="G1038" s="200"/>
      <c r="H1038" s="200"/>
      <c r="I1038" s="200"/>
      <c r="J1038" s="200"/>
      <c r="K1038" s="200"/>
      <c r="L1038" s="200"/>
      <c r="M1038" s="200"/>
      <c r="N1038" s="200"/>
      <c r="O1038" s="200"/>
      <c r="P1038" s="200"/>
      <c r="Q1038" s="200"/>
      <c r="R1038" s="200"/>
      <c r="S1038" s="200"/>
      <c r="T1038" s="200"/>
      <c r="U1038" s="200"/>
      <c r="V1038" s="200"/>
      <c r="W1038" s="200"/>
      <c r="X1038" s="200"/>
      <c r="Y1038" s="200"/>
      <c r="Z1038" s="200"/>
      <c r="AA1038" s="200"/>
      <c r="AB1038" s="200"/>
      <c r="AC1038" s="200"/>
      <c r="AD1038" s="200"/>
      <c r="AE1038" s="200"/>
      <c r="AF1038" s="200"/>
      <c r="AG1038" s="200"/>
      <c r="AH1038" s="200"/>
      <c r="AI1038" s="200"/>
      <c r="AJ1038" s="200"/>
      <c r="AK1038" s="200"/>
      <c r="AL1038" s="200"/>
      <c r="AM1038" s="200"/>
      <c r="AN1038" s="200"/>
      <c r="AO1038" s="200"/>
      <c r="AP1038" s="200"/>
      <c r="AQ1038" s="200"/>
      <c r="AR1038" s="200"/>
      <c r="AS1038" s="200"/>
      <c r="AT1038" s="200"/>
      <c r="AU1038" s="200"/>
      <c r="AV1038" s="200"/>
      <c r="AW1038" s="200"/>
      <c r="AX1038" s="200"/>
      <c r="AY1038" s="200"/>
      <c r="AZ1038" s="200"/>
      <c r="BA1038" s="200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</row>
    <row r="1039" spans="1:70" ht="13.8">
      <c r="A1039" s="1"/>
      <c r="B1039" s="1"/>
      <c r="C1039" s="200"/>
      <c r="D1039" s="200"/>
      <c r="E1039" s="200"/>
      <c r="F1039" s="200"/>
      <c r="G1039" s="200"/>
      <c r="H1039" s="200"/>
      <c r="I1039" s="200"/>
      <c r="J1039" s="200"/>
      <c r="K1039" s="200"/>
      <c r="L1039" s="200"/>
      <c r="M1039" s="200"/>
      <c r="N1039" s="200"/>
      <c r="O1039" s="200"/>
      <c r="P1039" s="200"/>
      <c r="Q1039" s="200"/>
      <c r="R1039" s="200"/>
      <c r="S1039" s="200"/>
      <c r="T1039" s="200"/>
      <c r="U1039" s="200"/>
      <c r="V1039" s="200"/>
      <c r="W1039" s="200"/>
      <c r="X1039" s="200"/>
      <c r="Y1039" s="200"/>
      <c r="Z1039" s="200"/>
      <c r="AA1039" s="200"/>
      <c r="AB1039" s="200"/>
      <c r="AC1039" s="200"/>
      <c r="AD1039" s="200"/>
      <c r="AE1039" s="200"/>
      <c r="AF1039" s="200"/>
      <c r="AG1039" s="200"/>
      <c r="AH1039" s="200"/>
      <c r="AI1039" s="200"/>
      <c r="AJ1039" s="200"/>
      <c r="AK1039" s="200"/>
      <c r="AL1039" s="200"/>
      <c r="AM1039" s="200"/>
      <c r="AN1039" s="200"/>
      <c r="AO1039" s="200"/>
      <c r="AP1039" s="200"/>
      <c r="AQ1039" s="200"/>
      <c r="AR1039" s="200"/>
      <c r="AS1039" s="200"/>
      <c r="AT1039" s="200"/>
      <c r="AU1039" s="200"/>
      <c r="AV1039" s="200"/>
      <c r="AW1039" s="200"/>
      <c r="AX1039" s="200"/>
      <c r="AY1039" s="200"/>
      <c r="AZ1039" s="200"/>
      <c r="BA1039" s="200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</row>
    <row r="1040" spans="1:70" ht="13.8">
      <c r="A1040" s="1"/>
      <c r="B1040" s="1"/>
      <c r="C1040" s="200"/>
      <c r="D1040" s="200"/>
      <c r="E1040" s="200"/>
      <c r="F1040" s="200"/>
      <c r="G1040" s="200"/>
      <c r="H1040" s="200"/>
      <c r="I1040" s="200"/>
      <c r="J1040" s="200"/>
      <c r="K1040" s="200"/>
      <c r="L1040" s="200"/>
      <c r="M1040" s="200"/>
      <c r="N1040" s="200"/>
      <c r="O1040" s="200"/>
      <c r="P1040" s="200"/>
      <c r="Q1040" s="200"/>
      <c r="R1040" s="200"/>
      <c r="S1040" s="200"/>
      <c r="T1040" s="200"/>
      <c r="U1040" s="200"/>
      <c r="V1040" s="200"/>
      <c r="W1040" s="200"/>
      <c r="X1040" s="200"/>
      <c r="Y1040" s="200"/>
      <c r="Z1040" s="200"/>
      <c r="AA1040" s="200"/>
      <c r="AB1040" s="200"/>
      <c r="AC1040" s="200"/>
      <c r="AD1040" s="200"/>
      <c r="AE1040" s="200"/>
      <c r="AF1040" s="200"/>
      <c r="AG1040" s="200"/>
      <c r="AH1040" s="200"/>
      <c r="AI1040" s="200"/>
      <c r="AJ1040" s="200"/>
      <c r="AK1040" s="200"/>
      <c r="AL1040" s="200"/>
      <c r="AM1040" s="200"/>
      <c r="AN1040" s="200"/>
      <c r="AO1040" s="200"/>
      <c r="AP1040" s="200"/>
      <c r="AQ1040" s="200"/>
      <c r="AR1040" s="200"/>
      <c r="AS1040" s="200"/>
      <c r="AT1040" s="200"/>
      <c r="AU1040" s="200"/>
      <c r="AV1040" s="200"/>
      <c r="AW1040" s="200"/>
      <c r="AX1040" s="200"/>
      <c r="AY1040" s="200"/>
      <c r="AZ1040" s="200"/>
      <c r="BA1040" s="200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</row>
    <row r="1041" spans="1:70" ht="13.8">
      <c r="A1041" s="1"/>
      <c r="B1041" s="1"/>
      <c r="C1041" s="200"/>
      <c r="D1041" s="200"/>
      <c r="E1041" s="200"/>
      <c r="F1041" s="200"/>
      <c r="G1041" s="200"/>
      <c r="H1041" s="200"/>
      <c r="I1041" s="200"/>
      <c r="J1041" s="200"/>
      <c r="K1041" s="200"/>
      <c r="L1041" s="200"/>
      <c r="M1041" s="200"/>
      <c r="N1041" s="200"/>
      <c r="O1041" s="200"/>
      <c r="P1041" s="200"/>
      <c r="Q1041" s="200"/>
      <c r="R1041" s="200"/>
      <c r="S1041" s="200"/>
      <c r="T1041" s="200"/>
      <c r="U1041" s="200"/>
      <c r="V1041" s="200"/>
      <c r="W1041" s="200"/>
      <c r="X1041" s="200"/>
      <c r="Y1041" s="200"/>
      <c r="Z1041" s="200"/>
      <c r="AA1041" s="200"/>
      <c r="AB1041" s="200"/>
      <c r="AC1041" s="200"/>
      <c r="AD1041" s="200"/>
      <c r="AE1041" s="200"/>
      <c r="AF1041" s="200"/>
      <c r="AG1041" s="200"/>
      <c r="AH1041" s="200"/>
      <c r="AI1041" s="200"/>
      <c r="AJ1041" s="200"/>
      <c r="AK1041" s="200"/>
      <c r="AL1041" s="200"/>
      <c r="AM1041" s="200"/>
      <c r="AN1041" s="200"/>
      <c r="AO1041" s="200"/>
      <c r="AP1041" s="200"/>
      <c r="AQ1041" s="200"/>
      <c r="AR1041" s="200"/>
      <c r="AS1041" s="200"/>
      <c r="AT1041" s="200"/>
      <c r="AU1041" s="200"/>
      <c r="AV1041" s="200"/>
      <c r="AW1041" s="200"/>
      <c r="AX1041" s="200"/>
      <c r="AY1041" s="200"/>
      <c r="AZ1041" s="200"/>
      <c r="BA1041" s="200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</row>
    <row r="1042" spans="1:70" ht="13.8">
      <c r="A1042" s="1"/>
      <c r="B1042" s="1"/>
      <c r="C1042" s="200"/>
      <c r="D1042" s="200"/>
      <c r="E1042" s="200"/>
      <c r="F1042" s="200"/>
      <c r="G1042" s="200"/>
      <c r="H1042" s="200"/>
      <c r="I1042" s="200"/>
      <c r="J1042" s="200"/>
      <c r="K1042" s="200"/>
      <c r="L1042" s="200"/>
      <c r="M1042" s="200"/>
      <c r="N1042" s="200"/>
      <c r="O1042" s="200"/>
      <c r="P1042" s="200"/>
      <c r="Q1042" s="200"/>
      <c r="R1042" s="200"/>
      <c r="S1042" s="200"/>
      <c r="T1042" s="200"/>
      <c r="U1042" s="200"/>
      <c r="V1042" s="200"/>
      <c r="W1042" s="200"/>
      <c r="X1042" s="200"/>
      <c r="Y1042" s="200"/>
      <c r="Z1042" s="200"/>
      <c r="AA1042" s="200"/>
      <c r="AB1042" s="200"/>
      <c r="AC1042" s="200"/>
      <c r="AD1042" s="200"/>
      <c r="AE1042" s="200"/>
      <c r="AF1042" s="200"/>
      <c r="AG1042" s="200"/>
      <c r="AH1042" s="200"/>
      <c r="AI1042" s="200"/>
      <c r="AJ1042" s="200"/>
      <c r="AK1042" s="200"/>
      <c r="AL1042" s="200"/>
      <c r="AM1042" s="200"/>
      <c r="AN1042" s="200"/>
      <c r="AO1042" s="200"/>
      <c r="AP1042" s="200"/>
      <c r="AQ1042" s="200"/>
      <c r="AR1042" s="200"/>
      <c r="AS1042" s="200"/>
      <c r="AT1042" s="200"/>
      <c r="AU1042" s="200"/>
      <c r="AV1042" s="200"/>
      <c r="AW1042" s="200"/>
      <c r="AX1042" s="200"/>
      <c r="AY1042" s="200"/>
      <c r="AZ1042" s="200"/>
      <c r="BA1042" s="200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</row>
    <row r="1043" spans="1:70" ht="13.8">
      <c r="A1043" s="1"/>
      <c r="B1043" s="1"/>
      <c r="C1043" s="200"/>
      <c r="D1043" s="200"/>
      <c r="E1043" s="200"/>
      <c r="F1043" s="200"/>
      <c r="G1043" s="200"/>
      <c r="H1043" s="200"/>
      <c r="I1043" s="200"/>
      <c r="J1043" s="200"/>
      <c r="K1043" s="200"/>
      <c r="L1043" s="200"/>
      <c r="M1043" s="200"/>
      <c r="N1043" s="200"/>
      <c r="O1043" s="200"/>
      <c r="P1043" s="200"/>
      <c r="Q1043" s="200"/>
      <c r="R1043" s="200"/>
      <c r="S1043" s="200"/>
      <c r="T1043" s="200"/>
      <c r="U1043" s="200"/>
      <c r="V1043" s="200"/>
      <c r="W1043" s="200"/>
      <c r="X1043" s="200"/>
      <c r="Y1043" s="200"/>
      <c r="Z1043" s="200"/>
      <c r="AA1043" s="200"/>
      <c r="AB1043" s="200"/>
      <c r="AC1043" s="200"/>
      <c r="AD1043" s="200"/>
      <c r="AE1043" s="200"/>
      <c r="AF1043" s="200"/>
      <c r="AG1043" s="200"/>
      <c r="AH1043" s="200"/>
      <c r="AI1043" s="200"/>
      <c r="AJ1043" s="200"/>
      <c r="AK1043" s="200"/>
      <c r="AL1043" s="200"/>
      <c r="AM1043" s="200"/>
      <c r="AN1043" s="200"/>
      <c r="AO1043" s="200"/>
      <c r="AP1043" s="200"/>
      <c r="AQ1043" s="200"/>
      <c r="AR1043" s="200"/>
      <c r="AS1043" s="200"/>
      <c r="AT1043" s="200"/>
      <c r="AU1043" s="200"/>
      <c r="AV1043" s="200"/>
      <c r="AW1043" s="200"/>
      <c r="AX1043" s="200"/>
      <c r="AY1043" s="200"/>
      <c r="AZ1043" s="200"/>
      <c r="BA1043" s="200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</row>
    <row r="1044" spans="1:70" ht="13.8">
      <c r="A1044" s="1"/>
      <c r="B1044" s="1"/>
      <c r="C1044" s="200"/>
      <c r="D1044" s="200"/>
      <c r="E1044" s="200"/>
      <c r="F1044" s="200"/>
      <c r="G1044" s="200"/>
      <c r="H1044" s="200"/>
      <c r="I1044" s="200"/>
      <c r="J1044" s="200"/>
      <c r="K1044" s="200"/>
      <c r="L1044" s="200"/>
      <c r="M1044" s="200"/>
      <c r="N1044" s="200"/>
      <c r="O1044" s="200"/>
      <c r="P1044" s="200"/>
      <c r="Q1044" s="200"/>
      <c r="R1044" s="200"/>
      <c r="S1044" s="200"/>
      <c r="T1044" s="200"/>
      <c r="U1044" s="200"/>
      <c r="V1044" s="200"/>
      <c r="W1044" s="200"/>
      <c r="X1044" s="200"/>
      <c r="Y1044" s="200"/>
      <c r="Z1044" s="200"/>
      <c r="AA1044" s="200"/>
      <c r="AB1044" s="200"/>
      <c r="AC1044" s="200"/>
      <c r="AD1044" s="200"/>
      <c r="AE1044" s="200"/>
      <c r="AF1044" s="200"/>
      <c r="AG1044" s="200"/>
      <c r="AH1044" s="200"/>
      <c r="AI1044" s="200"/>
      <c r="AJ1044" s="200"/>
      <c r="AK1044" s="200"/>
      <c r="AL1044" s="200"/>
      <c r="AM1044" s="200"/>
      <c r="AN1044" s="200"/>
      <c r="AO1044" s="200"/>
      <c r="AP1044" s="200"/>
      <c r="AQ1044" s="200"/>
      <c r="AR1044" s="200"/>
      <c r="AS1044" s="200"/>
      <c r="AT1044" s="200"/>
      <c r="AU1044" s="200"/>
      <c r="AV1044" s="200"/>
      <c r="AW1044" s="200"/>
      <c r="AX1044" s="200"/>
      <c r="AY1044" s="200"/>
      <c r="AZ1044" s="200"/>
      <c r="BA1044" s="200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</row>
    <row r="1045" spans="1:70" ht="13.8">
      <c r="A1045" s="1"/>
      <c r="B1045" s="1"/>
      <c r="C1045" s="200"/>
      <c r="D1045" s="200"/>
      <c r="E1045" s="200"/>
      <c r="F1045" s="200"/>
      <c r="G1045" s="200"/>
      <c r="H1045" s="200"/>
      <c r="I1045" s="200"/>
      <c r="J1045" s="200"/>
      <c r="K1045" s="200"/>
      <c r="L1045" s="200"/>
      <c r="M1045" s="200"/>
      <c r="N1045" s="200"/>
      <c r="O1045" s="200"/>
      <c r="P1045" s="200"/>
      <c r="Q1045" s="200"/>
      <c r="R1045" s="200"/>
      <c r="S1045" s="200"/>
      <c r="T1045" s="200"/>
      <c r="U1045" s="200"/>
      <c r="V1045" s="200"/>
      <c r="W1045" s="200"/>
      <c r="X1045" s="200"/>
      <c r="Y1045" s="200"/>
      <c r="Z1045" s="200"/>
      <c r="AA1045" s="200"/>
      <c r="AB1045" s="200"/>
      <c r="AC1045" s="200"/>
      <c r="AD1045" s="200"/>
      <c r="AE1045" s="200"/>
      <c r="AF1045" s="200"/>
      <c r="AG1045" s="200"/>
      <c r="AH1045" s="200"/>
      <c r="AI1045" s="200"/>
      <c r="AJ1045" s="200"/>
      <c r="AK1045" s="200"/>
      <c r="AL1045" s="200"/>
      <c r="AM1045" s="200"/>
      <c r="AN1045" s="200"/>
      <c r="AO1045" s="200"/>
      <c r="AP1045" s="200"/>
      <c r="AQ1045" s="200"/>
      <c r="AR1045" s="200"/>
      <c r="AS1045" s="200"/>
      <c r="AT1045" s="200"/>
      <c r="AU1045" s="200"/>
      <c r="AV1045" s="200"/>
      <c r="AW1045" s="200"/>
      <c r="AX1045" s="200"/>
      <c r="AY1045" s="200"/>
      <c r="AZ1045" s="200"/>
      <c r="BA1045" s="200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</row>
    <row r="1046" spans="1:70" ht="13.8">
      <c r="A1046" s="1"/>
      <c r="B1046" s="1"/>
      <c r="C1046" s="200"/>
      <c r="D1046" s="200"/>
      <c r="E1046" s="200"/>
      <c r="F1046" s="200"/>
      <c r="G1046" s="200"/>
      <c r="H1046" s="200"/>
      <c r="I1046" s="200"/>
      <c r="J1046" s="200"/>
      <c r="K1046" s="200"/>
      <c r="L1046" s="200"/>
      <c r="M1046" s="200"/>
      <c r="N1046" s="200"/>
      <c r="O1046" s="200"/>
      <c r="P1046" s="200"/>
      <c r="Q1046" s="200"/>
      <c r="R1046" s="200"/>
      <c r="S1046" s="200"/>
      <c r="T1046" s="200"/>
      <c r="U1046" s="200"/>
      <c r="V1046" s="200"/>
      <c r="W1046" s="200"/>
      <c r="X1046" s="200"/>
      <c r="Y1046" s="200"/>
      <c r="Z1046" s="200"/>
      <c r="AA1046" s="200"/>
      <c r="AB1046" s="200"/>
      <c r="AC1046" s="200"/>
      <c r="AD1046" s="200"/>
      <c r="AE1046" s="200"/>
      <c r="AF1046" s="200"/>
      <c r="AG1046" s="200"/>
      <c r="AH1046" s="200"/>
      <c r="AI1046" s="200"/>
      <c r="AJ1046" s="200"/>
      <c r="AK1046" s="200"/>
      <c r="AL1046" s="200"/>
      <c r="AM1046" s="200"/>
      <c r="AN1046" s="200"/>
      <c r="AO1046" s="200"/>
      <c r="AP1046" s="200"/>
      <c r="AQ1046" s="200"/>
      <c r="AR1046" s="200"/>
      <c r="AS1046" s="200"/>
      <c r="AT1046" s="200"/>
      <c r="AU1046" s="200"/>
      <c r="AV1046" s="200"/>
      <c r="AW1046" s="200"/>
      <c r="AX1046" s="200"/>
      <c r="AY1046" s="200"/>
      <c r="AZ1046" s="200"/>
      <c r="BA1046" s="200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</row>
    <row r="1047" spans="1:70" ht="13.8">
      <c r="A1047" s="1"/>
      <c r="B1047" s="1"/>
      <c r="C1047" s="200"/>
      <c r="D1047" s="200"/>
      <c r="E1047" s="200"/>
      <c r="F1047" s="200"/>
      <c r="G1047" s="200"/>
      <c r="H1047" s="200"/>
      <c r="I1047" s="200"/>
      <c r="J1047" s="200"/>
      <c r="K1047" s="200"/>
      <c r="L1047" s="200"/>
      <c r="M1047" s="200"/>
      <c r="N1047" s="200"/>
      <c r="O1047" s="200"/>
      <c r="P1047" s="200"/>
      <c r="Q1047" s="200"/>
      <c r="R1047" s="200"/>
      <c r="S1047" s="200"/>
      <c r="T1047" s="200"/>
      <c r="U1047" s="200"/>
      <c r="V1047" s="200"/>
      <c r="W1047" s="200"/>
      <c r="X1047" s="200"/>
      <c r="Y1047" s="200"/>
      <c r="Z1047" s="200"/>
      <c r="AA1047" s="200"/>
      <c r="AB1047" s="200"/>
      <c r="AC1047" s="200"/>
      <c r="AD1047" s="200"/>
      <c r="AE1047" s="200"/>
      <c r="AF1047" s="200"/>
      <c r="AG1047" s="200"/>
      <c r="AH1047" s="200"/>
      <c r="AI1047" s="200"/>
      <c r="AJ1047" s="200"/>
      <c r="AK1047" s="200"/>
      <c r="AL1047" s="200"/>
      <c r="AM1047" s="200"/>
      <c r="AN1047" s="200"/>
      <c r="AO1047" s="200"/>
      <c r="AP1047" s="200"/>
      <c r="AQ1047" s="200"/>
      <c r="AR1047" s="200"/>
      <c r="AS1047" s="200"/>
      <c r="AT1047" s="200"/>
      <c r="AU1047" s="200"/>
      <c r="AV1047" s="200"/>
      <c r="AW1047" s="200"/>
      <c r="AX1047" s="200"/>
      <c r="AY1047" s="200"/>
      <c r="AZ1047" s="200"/>
      <c r="BA1047" s="200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</row>
    <row r="1048" spans="1:70" ht="13.8">
      <c r="A1048" s="1"/>
      <c r="B1048" s="1"/>
      <c r="C1048" s="200"/>
      <c r="D1048" s="200"/>
      <c r="E1048" s="200"/>
      <c r="F1048" s="200"/>
      <c r="G1048" s="200"/>
      <c r="H1048" s="200"/>
      <c r="I1048" s="200"/>
      <c r="J1048" s="200"/>
      <c r="K1048" s="200"/>
      <c r="L1048" s="200"/>
      <c r="M1048" s="200"/>
      <c r="N1048" s="200"/>
      <c r="O1048" s="200"/>
      <c r="P1048" s="200"/>
      <c r="Q1048" s="200"/>
      <c r="R1048" s="200"/>
      <c r="S1048" s="200"/>
      <c r="T1048" s="200"/>
      <c r="U1048" s="200"/>
      <c r="V1048" s="200"/>
      <c r="W1048" s="200"/>
      <c r="X1048" s="200"/>
      <c r="Y1048" s="200"/>
      <c r="Z1048" s="200"/>
      <c r="AA1048" s="200"/>
      <c r="AB1048" s="200"/>
      <c r="AC1048" s="200"/>
      <c r="AD1048" s="200"/>
      <c r="AE1048" s="200"/>
      <c r="AF1048" s="200"/>
      <c r="AG1048" s="200"/>
      <c r="AH1048" s="200"/>
      <c r="AI1048" s="200"/>
      <c r="AJ1048" s="200"/>
      <c r="AK1048" s="200"/>
      <c r="AL1048" s="200"/>
      <c r="AM1048" s="200"/>
      <c r="AN1048" s="200"/>
      <c r="AO1048" s="200"/>
      <c r="AP1048" s="200"/>
      <c r="AQ1048" s="200"/>
      <c r="AR1048" s="200"/>
      <c r="AS1048" s="200"/>
      <c r="AT1048" s="200"/>
      <c r="AU1048" s="200"/>
      <c r="AV1048" s="200"/>
      <c r="AW1048" s="200"/>
      <c r="AX1048" s="200"/>
      <c r="AY1048" s="200"/>
      <c r="AZ1048" s="200"/>
      <c r="BA1048" s="200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</row>
    <row r="1049" spans="1:70" ht="13.8">
      <c r="A1049" s="1"/>
      <c r="B1049" s="1"/>
      <c r="C1049" s="200"/>
      <c r="D1049" s="200"/>
      <c r="E1049" s="200"/>
      <c r="F1049" s="200"/>
      <c r="G1049" s="200"/>
      <c r="H1049" s="200"/>
      <c r="I1049" s="200"/>
      <c r="J1049" s="200"/>
      <c r="K1049" s="200"/>
      <c r="L1049" s="200"/>
      <c r="M1049" s="200"/>
      <c r="N1049" s="200"/>
      <c r="O1049" s="200"/>
      <c r="P1049" s="200"/>
      <c r="Q1049" s="200"/>
      <c r="R1049" s="200"/>
      <c r="S1049" s="200"/>
      <c r="T1049" s="200"/>
      <c r="U1049" s="200"/>
      <c r="V1049" s="200"/>
      <c r="W1049" s="200"/>
      <c r="X1049" s="200"/>
      <c r="Y1049" s="200"/>
      <c r="Z1049" s="200"/>
      <c r="AA1049" s="200"/>
      <c r="AB1049" s="200"/>
      <c r="AC1049" s="200"/>
      <c r="AD1049" s="200"/>
      <c r="AE1049" s="200"/>
      <c r="AF1049" s="200"/>
      <c r="AG1049" s="200"/>
      <c r="AH1049" s="200"/>
      <c r="AI1049" s="200"/>
      <c r="AJ1049" s="200"/>
      <c r="AK1049" s="200"/>
      <c r="AL1049" s="200"/>
      <c r="AM1049" s="200"/>
      <c r="AN1049" s="200"/>
      <c r="AO1049" s="200"/>
      <c r="AP1049" s="200"/>
      <c r="AQ1049" s="200"/>
      <c r="AR1049" s="200"/>
      <c r="AS1049" s="200"/>
      <c r="AT1049" s="200"/>
      <c r="AU1049" s="200"/>
      <c r="AV1049" s="200"/>
      <c r="AW1049" s="200"/>
      <c r="AX1049" s="200"/>
      <c r="AY1049" s="200"/>
      <c r="AZ1049" s="200"/>
      <c r="BA1049" s="200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</row>
    <row r="1050" spans="1:70" ht="13.8">
      <c r="A1050" s="1"/>
      <c r="B1050" s="1"/>
      <c r="C1050" s="200"/>
      <c r="D1050" s="200"/>
      <c r="E1050" s="200"/>
      <c r="F1050" s="200"/>
      <c r="G1050" s="200"/>
      <c r="H1050" s="200"/>
      <c r="I1050" s="200"/>
      <c r="J1050" s="200"/>
      <c r="K1050" s="200"/>
      <c r="L1050" s="200"/>
      <c r="M1050" s="200"/>
      <c r="N1050" s="200"/>
      <c r="O1050" s="200"/>
      <c r="P1050" s="200"/>
      <c r="Q1050" s="200"/>
      <c r="R1050" s="200"/>
      <c r="S1050" s="200"/>
      <c r="T1050" s="200"/>
      <c r="U1050" s="200"/>
      <c r="V1050" s="200"/>
      <c r="W1050" s="200"/>
      <c r="X1050" s="200"/>
      <c r="Y1050" s="200"/>
      <c r="Z1050" s="200"/>
      <c r="AA1050" s="200"/>
      <c r="AB1050" s="200"/>
      <c r="AC1050" s="200"/>
      <c r="AD1050" s="200"/>
      <c r="AE1050" s="200"/>
      <c r="AF1050" s="200"/>
      <c r="AG1050" s="200"/>
      <c r="AH1050" s="200"/>
      <c r="AI1050" s="200"/>
      <c r="AJ1050" s="200"/>
      <c r="AK1050" s="200"/>
      <c r="AL1050" s="200"/>
      <c r="AM1050" s="200"/>
      <c r="AN1050" s="200"/>
      <c r="AO1050" s="200"/>
      <c r="AP1050" s="200"/>
      <c r="AQ1050" s="200"/>
      <c r="AR1050" s="200"/>
      <c r="AS1050" s="200"/>
      <c r="AT1050" s="200"/>
      <c r="AU1050" s="200"/>
      <c r="AV1050" s="200"/>
      <c r="AW1050" s="200"/>
      <c r="AX1050" s="200"/>
      <c r="AY1050" s="200"/>
      <c r="AZ1050" s="200"/>
      <c r="BA1050" s="200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</row>
    <row r="1051" spans="1:70" ht="13.8">
      <c r="A1051" s="1"/>
      <c r="B1051" s="1"/>
      <c r="C1051" s="200"/>
      <c r="D1051" s="200"/>
      <c r="E1051" s="200"/>
      <c r="F1051" s="200"/>
      <c r="G1051" s="200"/>
      <c r="H1051" s="200"/>
      <c r="I1051" s="200"/>
      <c r="J1051" s="200"/>
      <c r="K1051" s="200"/>
      <c r="L1051" s="200"/>
      <c r="M1051" s="200"/>
      <c r="N1051" s="200"/>
      <c r="O1051" s="200"/>
      <c r="P1051" s="200"/>
      <c r="Q1051" s="200"/>
      <c r="R1051" s="200"/>
      <c r="S1051" s="200"/>
      <c r="T1051" s="200"/>
      <c r="U1051" s="200"/>
      <c r="V1051" s="200"/>
      <c r="W1051" s="200"/>
      <c r="X1051" s="200"/>
      <c r="Y1051" s="200"/>
      <c r="Z1051" s="200"/>
      <c r="AA1051" s="200"/>
      <c r="AB1051" s="200"/>
      <c r="AC1051" s="200"/>
      <c r="AD1051" s="200"/>
      <c r="AE1051" s="200"/>
      <c r="AF1051" s="200"/>
      <c r="AG1051" s="200"/>
      <c r="AH1051" s="200"/>
      <c r="AI1051" s="200"/>
      <c r="AJ1051" s="200"/>
      <c r="AK1051" s="200"/>
      <c r="AL1051" s="200"/>
      <c r="AM1051" s="200"/>
      <c r="AN1051" s="200"/>
      <c r="AO1051" s="200"/>
      <c r="AP1051" s="200"/>
      <c r="AQ1051" s="200"/>
      <c r="AR1051" s="200"/>
      <c r="AS1051" s="200"/>
      <c r="AT1051" s="200"/>
      <c r="AU1051" s="200"/>
      <c r="AV1051" s="200"/>
      <c r="AW1051" s="200"/>
      <c r="AX1051" s="200"/>
      <c r="AY1051" s="200"/>
      <c r="AZ1051" s="200"/>
      <c r="BA1051" s="200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</row>
    <row r="1052" spans="1:70" ht="13.8">
      <c r="A1052" s="1"/>
      <c r="B1052" s="1"/>
      <c r="C1052" s="200"/>
      <c r="D1052" s="200"/>
      <c r="E1052" s="200"/>
      <c r="F1052" s="200"/>
      <c r="G1052" s="200"/>
      <c r="H1052" s="200"/>
      <c r="I1052" s="200"/>
      <c r="J1052" s="200"/>
      <c r="K1052" s="200"/>
      <c r="L1052" s="200"/>
      <c r="M1052" s="200"/>
      <c r="N1052" s="200"/>
      <c r="O1052" s="200"/>
      <c r="P1052" s="200"/>
      <c r="Q1052" s="200"/>
      <c r="R1052" s="200"/>
      <c r="S1052" s="200"/>
      <c r="T1052" s="200"/>
      <c r="U1052" s="200"/>
      <c r="V1052" s="200"/>
      <c r="W1052" s="200"/>
      <c r="X1052" s="200"/>
      <c r="Y1052" s="200"/>
      <c r="Z1052" s="200"/>
      <c r="AA1052" s="200"/>
      <c r="AB1052" s="200"/>
      <c r="AC1052" s="200"/>
      <c r="AD1052" s="200"/>
      <c r="AE1052" s="200"/>
      <c r="AF1052" s="200"/>
      <c r="AG1052" s="200"/>
      <c r="AH1052" s="200"/>
      <c r="AI1052" s="200"/>
      <c r="AJ1052" s="200"/>
      <c r="AK1052" s="200"/>
      <c r="AL1052" s="200"/>
      <c r="AM1052" s="200"/>
      <c r="AN1052" s="200"/>
      <c r="AO1052" s="200"/>
      <c r="AP1052" s="200"/>
      <c r="AQ1052" s="200"/>
      <c r="AR1052" s="200"/>
      <c r="AS1052" s="200"/>
      <c r="AT1052" s="200"/>
      <c r="AU1052" s="200"/>
      <c r="AV1052" s="200"/>
      <c r="AW1052" s="200"/>
      <c r="AX1052" s="200"/>
      <c r="AY1052" s="200"/>
      <c r="AZ1052" s="200"/>
      <c r="BA1052" s="200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</row>
    <row r="1053" spans="1:70" ht="13.8">
      <c r="A1053" s="1"/>
      <c r="B1053" s="1"/>
      <c r="C1053" s="200"/>
      <c r="D1053" s="200"/>
      <c r="E1053" s="200"/>
      <c r="F1053" s="200"/>
      <c r="G1053" s="200"/>
      <c r="H1053" s="200"/>
      <c r="I1053" s="200"/>
      <c r="J1053" s="200"/>
      <c r="K1053" s="200"/>
      <c r="L1053" s="200"/>
      <c r="M1053" s="200"/>
      <c r="N1053" s="200"/>
      <c r="O1053" s="200"/>
      <c r="P1053" s="200"/>
      <c r="Q1053" s="200"/>
      <c r="R1053" s="200"/>
      <c r="S1053" s="200"/>
      <c r="T1053" s="200"/>
      <c r="U1053" s="200"/>
      <c r="V1053" s="200"/>
      <c r="W1053" s="200"/>
      <c r="X1053" s="200"/>
      <c r="Y1053" s="200"/>
      <c r="Z1053" s="200"/>
      <c r="AA1053" s="200"/>
      <c r="AB1053" s="200"/>
      <c r="AC1053" s="200"/>
      <c r="AD1053" s="200"/>
      <c r="AE1053" s="200"/>
      <c r="AF1053" s="200"/>
      <c r="AG1053" s="200"/>
      <c r="AH1053" s="200"/>
      <c r="AI1053" s="200"/>
      <c r="AJ1053" s="200"/>
      <c r="AK1053" s="200"/>
      <c r="AL1053" s="200"/>
      <c r="AM1053" s="200"/>
      <c r="AN1053" s="200"/>
      <c r="AO1053" s="200"/>
      <c r="AP1053" s="200"/>
      <c r="AQ1053" s="200"/>
      <c r="AR1053" s="200"/>
      <c r="AS1053" s="200"/>
      <c r="AT1053" s="200"/>
      <c r="AU1053" s="200"/>
      <c r="AV1053" s="200"/>
      <c r="AW1053" s="200"/>
      <c r="AX1053" s="200"/>
      <c r="AY1053" s="200"/>
      <c r="AZ1053" s="200"/>
      <c r="BA1053" s="200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</row>
    <row r="1054" spans="1:70" ht="13.8">
      <c r="A1054" s="1"/>
      <c r="B1054" s="1"/>
      <c r="C1054" s="200"/>
      <c r="D1054" s="200"/>
      <c r="E1054" s="200"/>
      <c r="F1054" s="200"/>
      <c r="G1054" s="200"/>
      <c r="H1054" s="200"/>
      <c r="I1054" s="200"/>
      <c r="J1054" s="200"/>
      <c r="K1054" s="200"/>
      <c r="L1054" s="200"/>
      <c r="M1054" s="200"/>
      <c r="N1054" s="200"/>
      <c r="O1054" s="200"/>
      <c r="P1054" s="200"/>
      <c r="Q1054" s="200"/>
      <c r="R1054" s="200"/>
      <c r="S1054" s="200"/>
      <c r="T1054" s="200"/>
      <c r="U1054" s="200"/>
      <c r="V1054" s="200"/>
      <c r="W1054" s="200"/>
      <c r="X1054" s="200"/>
      <c r="Y1054" s="200"/>
      <c r="Z1054" s="200"/>
      <c r="AA1054" s="200"/>
      <c r="AB1054" s="200"/>
      <c r="AC1054" s="200"/>
      <c r="AD1054" s="200"/>
      <c r="AE1054" s="200"/>
      <c r="AF1054" s="200"/>
      <c r="AG1054" s="200"/>
      <c r="AH1054" s="200"/>
      <c r="AI1054" s="200"/>
      <c r="AJ1054" s="200"/>
      <c r="AK1054" s="200"/>
      <c r="AL1054" s="200"/>
      <c r="AM1054" s="200"/>
      <c r="AN1054" s="200"/>
      <c r="AO1054" s="200"/>
      <c r="AP1054" s="200"/>
      <c r="AQ1054" s="200"/>
      <c r="AR1054" s="200"/>
      <c r="AS1054" s="200"/>
      <c r="AT1054" s="200"/>
      <c r="AU1054" s="200"/>
      <c r="AV1054" s="200"/>
      <c r="AW1054" s="200"/>
      <c r="AX1054" s="200"/>
      <c r="AY1054" s="200"/>
      <c r="AZ1054" s="200"/>
      <c r="BA1054" s="200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</row>
    <row r="1055" spans="1:70" ht="13.8">
      <c r="A1055" s="1"/>
      <c r="B1055" s="1"/>
      <c r="C1055" s="200"/>
      <c r="D1055" s="200"/>
      <c r="E1055" s="200"/>
      <c r="F1055" s="200"/>
      <c r="G1055" s="200"/>
      <c r="H1055" s="200"/>
      <c r="I1055" s="200"/>
      <c r="J1055" s="200"/>
      <c r="K1055" s="200"/>
      <c r="L1055" s="200"/>
      <c r="M1055" s="200"/>
      <c r="N1055" s="200"/>
      <c r="O1055" s="200"/>
      <c r="P1055" s="200"/>
      <c r="Q1055" s="200"/>
      <c r="R1055" s="200"/>
      <c r="S1055" s="200"/>
      <c r="T1055" s="200"/>
      <c r="U1055" s="200"/>
      <c r="V1055" s="200"/>
      <c r="W1055" s="200"/>
      <c r="X1055" s="200"/>
      <c r="Y1055" s="200"/>
      <c r="Z1055" s="200"/>
      <c r="AA1055" s="200"/>
      <c r="AB1055" s="200"/>
      <c r="AC1055" s="200"/>
      <c r="AD1055" s="200"/>
      <c r="AE1055" s="200"/>
      <c r="AF1055" s="200"/>
      <c r="AG1055" s="200"/>
      <c r="AH1055" s="200"/>
      <c r="AI1055" s="200"/>
      <c r="AJ1055" s="200"/>
      <c r="AK1055" s="200"/>
      <c r="AL1055" s="200"/>
      <c r="AM1055" s="200"/>
      <c r="AN1055" s="200"/>
      <c r="AO1055" s="200"/>
      <c r="AP1055" s="200"/>
      <c r="AQ1055" s="200"/>
      <c r="AR1055" s="200"/>
      <c r="AS1055" s="200"/>
      <c r="AT1055" s="200"/>
      <c r="AU1055" s="200"/>
      <c r="AV1055" s="200"/>
      <c r="AW1055" s="200"/>
      <c r="AX1055" s="200"/>
      <c r="AY1055" s="200"/>
      <c r="AZ1055" s="200"/>
      <c r="BA1055" s="200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</row>
    <row r="1056" spans="1:70" ht="13.8">
      <c r="A1056" s="1"/>
      <c r="B1056" s="1"/>
      <c r="C1056" s="200"/>
      <c r="D1056" s="200"/>
      <c r="E1056" s="200"/>
      <c r="F1056" s="200"/>
      <c r="G1056" s="200"/>
      <c r="H1056" s="200"/>
      <c r="I1056" s="200"/>
      <c r="J1056" s="200"/>
      <c r="K1056" s="200"/>
      <c r="L1056" s="200"/>
      <c r="M1056" s="200"/>
      <c r="N1056" s="200"/>
      <c r="O1056" s="200"/>
      <c r="P1056" s="200"/>
      <c r="Q1056" s="200"/>
      <c r="R1056" s="200"/>
      <c r="S1056" s="200"/>
      <c r="T1056" s="200"/>
      <c r="U1056" s="200"/>
      <c r="V1056" s="200"/>
      <c r="W1056" s="200"/>
      <c r="X1056" s="200"/>
      <c r="Y1056" s="200"/>
      <c r="Z1056" s="200"/>
      <c r="AA1056" s="200"/>
      <c r="AB1056" s="200"/>
      <c r="AC1056" s="200"/>
      <c r="AD1056" s="200"/>
      <c r="AE1056" s="200"/>
      <c r="AF1056" s="200"/>
      <c r="AG1056" s="200"/>
      <c r="AH1056" s="200"/>
      <c r="AI1056" s="200"/>
      <c r="AJ1056" s="200"/>
      <c r="AK1056" s="200"/>
      <c r="AL1056" s="200"/>
      <c r="AM1056" s="200"/>
      <c r="AN1056" s="200"/>
      <c r="AO1056" s="200"/>
      <c r="AP1056" s="200"/>
      <c r="AQ1056" s="200"/>
      <c r="AR1056" s="200"/>
      <c r="AS1056" s="200"/>
      <c r="AT1056" s="200"/>
      <c r="AU1056" s="200"/>
      <c r="AV1056" s="200"/>
      <c r="AW1056" s="200"/>
      <c r="AX1056" s="200"/>
      <c r="AY1056" s="200"/>
      <c r="AZ1056" s="200"/>
      <c r="BA1056" s="200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</row>
    <row r="1057" spans="1:70" ht="13.8">
      <c r="A1057" s="1"/>
      <c r="B1057" s="1"/>
      <c r="C1057" s="200"/>
      <c r="D1057" s="200"/>
      <c r="E1057" s="200"/>
      <c r="F1057" s="200"/>
      <c r="G1057" s="200"/>
      <c r="H1057" s="200"/>
      <c r="I1057" s="200"/>
      <c r="J1057" s="200"/>
      <c r="K1057" s="200"/>
      <c r="L1057" s="200"/>
      <c r="M1057" s="200"/>
      <c r="N1057" s="200"/>
      <c r="O1057" s="200"/>
      <c r="P1057" s="200"/>
      <c r="Q1057" s="200"/>
      <c r="R1057" s="200"/>
      <c r="S1057" s="200"/>
      <c r="T1057" s="200"/>
      <c r="U1057" s="200"/>
      <c r="V1057" s="200"/>
      <c r="W1057" s="200"/>
      <c r="X1057" s="200"/>
      <c r="Y1057" s="200"/>
      <c r="Z1057" s="200"/>
      <c r="AA1057" s="200"/>
      <c r="AB1057" s="200"/>
      <c r="AC1057" s="200"/>
      <c r="AD1057" s="200"/>
      <c r="AE1057" s="200"/>
      <c r="AF1057" s="200"/>
      <c r="AG1057" s="200"/>
      <c r="AH1057" s="200"/>
      <c r="AI1057" s="200"/>
      <c r="AJ1057" s="200"/>
      <c r="AK1057" s="200"/>
      <c r="AL1057" s="200"/>
      <c r="AM1057" s="200"/>
      <c r="AN1057" s="200"/>
      <c r="AO1057" s="200"/>
      <c r="AP1057" s="200"/>
      <c r="AQ1057" s="200"/>
      <c r="AR1057" s="200"/>
      <c r="AS1057" s="200"/>
      <c r="AT1057" s="200"/>
      <c r="AU1057" s="200"/>
      <c r="AV1057" s="200"/>
      <c r="AW1057" s="200"/>
      <c r="AX1057" s="200"/>
      <c r="AY1057" s="200"/>
      <c r="AZ1057" s="200"/>
      <c r="BA1057" s="200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</row>
    <row r="1058" spans="1:70" ht="13.8">
      <c r="A1058" s="1"/>
      <c r="B1058" s="1"/>
      <c r="C1058" s="200"/>
      <c r="D1058" s="200"/>
      <c r="E1058" s="200"/>
      <c r="F1058" s="200"/>
      <c r="G1058" s="200"/>
      <c r="H1058" s="200"/>
      <c r="I1058" s="200"/>
      <c r="J1058" s="200"/>
      <c r="K1058" s="200"/>
      <c r="L1058" s="200"/>
      <c r="M1058" s="200"/>
      <c r="N1058" s="200"/>
      <c r="O1058" s="200"/>
      <c r="P1058" s="200"/>
      <c r="Q1058" s="200"/>
      <c r="R1058" s="200"/>
      <c r="S1058" s="200"/>
      <c r="T1058" s="200"/>
      <c r="U1058" s="200"/>
      <c r="V1058" s="200"/>
      <c r="W1058" s="200"/>
      <c r="X1058" s="200"/>
      <c r="Y1058" s="200"/>
      <c r="Z1058" s="200"/>
      <c r="AA1058" s="200"/>
      <c r="AB1058" s="200"/>
      <c r="AC1058" s="200"/>
      <c r="AD1058" s="200"/>
      <c r="AE1058" s="200"/>
      <c r="AF1058" s="200"/>
      <c r="AG1058" s="200"/>
      <c r="AH1058" s="200"/>
      <c r="AI1058" s="200"/>
      <c r="AJ1058" s="200"/>
      <c r="AK1058" s="200"/>
      <c r="AL1058" s="200"/>
      <c r="AM1058" s="200"/>
      <c r="AN1058" s="200"/>
      <c r="AO1058" s="200"/>
      <c r="AP1058" s="200"/>
      <c r="AQ1058" s="200"/>
      <c r="AR1058" s="200"/>
      <c r="AS1058" s="200"/>
      <c r="AT1058" s="200"/>
      <c r="AU1058" s="200"/>
      <c r="AV1058" s="200"/>
      <c r="AW1058" s="200"/>
      <c r="AX1058" s="200"/>
      <c r="AY1058" s="200"/>
      <c r="AZ1058" s="200"/>
      <c r="BA1058" s="200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</row>
    <row r="1059" spans="1:70" ht="13.8">
      <c r="A1059" s="1"/>
      <c r="B1059" s="1"/>
      <c r="C1059" s="200"/>
      <c r="D1059" s="200"/>
      <c r="E1059" s="200"/>
      <c r="F1059" s="200"/>
      <c r="G1059" s="200"/>
      <c r="H1059" s="200"/>
      <c r="I1059" s="200"/>
      <c r="J1059" s="200"/>
      <c r="K1059" s="200"/>
      <c r="L1059" s="200"/>
      <c r="M1059" s="200"/>
      <c r="N1059" s="200"/>
      <c r="O1059" s="200"/>
      <c r="P1059" s="200"/>
      <c r="Q1059" s="200"/>
      <c r="R1059" s="200"/>
      <c r="S1059" s="200"/>
      <c r="T1059" s="200"/>
      <c r="U1059" s="200"/>
      <c r="V1059" s="200"/>
      <c r="W1059" s="200"/>
      <c r="X1059" s="200"/>
      <c r="Y1059" s="200"/>
      <c r="Z1059" s="200"/>
      <c r="AA1059" s="200"/>
      <c r="AB1059" s="200"/>
      <c r="AC1059" s="200"/>
      <c r="AD1059" s="200"/>
      <c r="AE1059" s="200"/>
      <c r="AF1059" s="200"/>
      <c r="AG1059" s="200"/>
      <c r="AH1059" s="200"/>
      <c r="AI1059" s="200"/>
      <c r="AJ1059" s="200"/>
      <c r="AK1059" s="200"/>
      <c r="AL1059" s="200"/>
      <c r="AM1059" s="200"/>
      <c r="AN1059" s="200"/>
      <c r="AO1059" s="200"/>
      <c r="AP1059" s="200"/>
      <c r="AQ1059" s="200"/>
      <c r="AR1059" s="200"/>
      <c r="AS1059" s="200"/>
      <c r="AT1059" s="200"/>
      <c r="AU1059" s="200"/>
      <c r="AV1059" s="200"/>
      <c r="AW1059" s="200"/>
      <c r="AX1059" s="200"/>
      <c r="AY1059" s="200"/>
      <c r="AZ1059" s="200"/>
      <c r="BA1059" s="200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</row>
    <row r="1060" spans="1:70" ht="13.8">
      <c r="A1060" s="1"/>
      <c r="B1060" s="1"/>
      <c r="C1060" s="200"/>
      <c r="D1060" s="200"/>
      <c r="E1060" s="200"/>
      <c r="F1060" s="200"/>
      <c r="G1060" s="200"/>
      <c r="H1060" s="200"/>
      <c r="I1060" s="200"/>
      <c r="J1060" s="200"/>
      <c r="K1060" s="200"/>
      <c r="L1060" s="200"/>
      <c r="M1060" s="200"/>
      <c r="N1060" s="200"/>
      <c r="O1060" s="200"/>
      <c r="P1060" s="200"/>
      <c r="Q1060" s="200"/>
      <c r="R1060" s="200"/>
      <c r="S1060" s="200"/>
      <c r="T1060" s="200"/>
      <c r="U1060" s="200"/>
      <c r="V1060" s="200"/>
      <c r="W1060" s="200"/>
      <c r="X1060" s="200"/>
      <c r="Y1060" s="200"/>
      <c r="Z1060" s="200"/>
      <c r="AA1060" s="200"/>
      <c r="AB1060" s="200"/>
      <c r="AC1060" s="200"/>
      <c r="AD1060" s="200"/>
      <c r="AE1060" s="200"/>
      <c r="AF1060" s="200"/>
      <c r="AG1060" s="200"/>
      <c r="AH1060" s="200"/>
      <c r="AI1060" s="200"/>
      <c r="AJ1060" s="200"/>
      <c r="AK1060" s="200"/>
      <c r="AL1060" s="200"/>
      <c r="AM1060" s="200"/>
      <c r="AN1060" s="200"/>
      <c r="AO1060" s="200"/>
      <c r="AP1060" s="200"/>
      <c r="AQ1060" s="200"/>
      <c r="AR1060" s="200"/>
      <c r="AS1060" s="200"/>
      <c r="AT1060" s="200"/>
      <c r="AU1060" s="200"/>
      <c r="AV1060" s="200"/>
      <c r="AW1060" s="200"/>
      <c r="AX1060" s="200"/>
      <c r="AY1060" s="200"/>
      <c r="AZ1060" s="200"/>
      <c r="BA1060" s="200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</row>
    <row r="1061" spans="1:70" ht="13.8">
      <c r="A1061" s="1"/>
      <c r="B1061" s="1"/>
      <c r="C1061" s="200"/>
      <c r="D1061" s="200"/>
      <c r="E1061" s="200"/>
      <c r="F1061" s="200"/>
      <c r="G1061" s="200"/>
      <c r="H1061" s="200"/>
      <c r="I1061" s="200"/>
      <c r="J1061" s="200"/>
      <c r="K1061" s="200"/>
      <c r="L1061" s="200"/>
      <c r="M1061" s="200"/>
      <c r="N1061" s="200"/>
      <c r="O1061" s="200"/>
      <c r="P1061" s="200"/>
      <c r="Q1061" s="200"/>
      <c r="R1061" s="200"/>
      <c r="S1061" s="200"/>
      <c r="T1061" s="200"/>
      <c r="U1061" s="200"/>
      <c r="V1061" s="200"/>
      <c r="W1061" s="200"/>
      <c r="X1061" s="200"/>
      <c r="Y1061" s="200"/>
      <c r="Z1061" s="200"/>
      <c r="AA1061" s="200"/>
      <c r="AB1061" s="200"/>
      <c r="AC1061" s="200"/>
      <c r="AD1061" s="200"/>
      <c r="AE1061" s="200"/>
      <c r="AF1061" s="200"/>
      <c r="AG1061" s="200"/>
      <c r="AH1061" s="200"/>
      <c r="AI1061" s="200"/>
      <c r="AJ1061" s="200"/>
      <c r="AK1061" s="200"/>
      <c r="AL1061" s="200"/>
      <c r="AM1061" s="200"/>
      <c r="AN1061" s="200"/>
      <c r="AO1061" s="200"/>
      <c r="AP1061" s="200"/>
      <c r="AQ1061" s="200"/>
      <c r="AR1061" s="200"/>
      <c r="AS1061" s="200"/>
      <c r="AT1061" s="200"/>
      <c r="AU1061" s="200"/>
      <c r="AV1061" s="200"/>
      <c r="AW1061" s="200"/>
      <c r="AX1061" s="200"/>
      <c r="AY1061" s="200"/>
      <c r="AZ1061" s="200"/>
      <c r="BA1061" s="200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</row>
    <row r="1062" spans="1:70" ht="13.8">
      <c r="A1062" s="1"/>
      <c r="B1062" s="1"/>
      <c r="C1062" s="200"/>
      <c r="D1062" s="200"/>
      <c r="E1062" s="200"/>
      <c r="F1062" s="200"/>
      <c r="G1062" s="200"/>
      <c r="H1062" s="200"/>
      <c r="I1062" s="200"/>
      <c r="J1062" s="200"/>
      <c r="K1062" s="200"/>
      <c r="L1062" s="200"/>
      <c r="M1062" s="200"/>
      <c r="N1062" s="200"/>
      <c r="O1062" s="200"/>
      <c r="P1062" s="200"/>
      <c r="Q1062" s="200"/>
      <c r="R1062" s="200"/>
      <c r="S1062" s="200"/>
      <c r="T1062" s="200"/>
      <c r="U1062" s="200"/>
      <c r="V1062" s="200"/>
      <c r="W1062" s="200"/>
      <c r="X1062" s="200"/>
      <c r="Y1062" s="200"/>
      <c r="Z1062" s="200"/>
      <c r="AA1062" s="200"/>
      <c r="AB1062" s="200"/>
      <c r="AC1062" s="200"/>
      <c r="AD1062" s="200"/>
      <c r="AE1062" s="200"/>
      <c r="AF1062" s="200"/>
      <c r="AG1062" s="200"/>
      <c r="AH1062" s="200"/>
      <c r="AI1062" s="200"/>
      <c r="AJ1062" s="200"/>
      <c r="AK1062" s="200"/>
      <c r="AL1062" s="200"/>
      <c r="AM1062" s="200"/>
      <c r="AN1062" s="200"/>
      <c r="AO1062" s="200"/>
      <c r="AP1062" s="200"/>
      <c r="AQ1062" s="200"/>
      <c r="AR1062" s="200"/>
      <c r="AS1062" s="200"/>
      <c r="AT1062" s="200"/>
      <c r="AU1062" s="200"/>
      <c r="AV1062" s="200"/>
      <c r="AW1062" s="200"/>
      <c r="AX1062" s="200"/>
      <c r="AY1062" s="200"/>
      <c r="AZ1062" s="200"/>
      <c r="BA1062" s="200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</row>
    <row r="1063" spans="1:70" ht="13.8">
      <c r="A1063" s="1"/>
      <c r="B1063" s="1"/>
      <c r="C1063" s="200"/>
      <c r="D1063" s="200"/>
      <c r="E1063" s="200"/>
      <c r="F1063" s="200"/>
      <c r="G1063" s="200"/>
      <c r="H1063" s="200"/>
      <c r="I1063" s="200"/>
      <c r="J1063" s="200"/>
      <c r="K1063" s="200"/>
      <c r="L1063" s="200"/>
      <c r="M1063" s="200"/>
      <c r="N1063" s="200"/>
      <c r="O1063" s="200"/>
      <c r="P1063" s="200"/>
      <c r="Q1063" s="200"/>
      <c r="R1063" s="200"/>
      <c r="S1063" s="200"/>
      <c r="T1063" s="200"/>
      <c r="U1063" s="200"/>
      <c r="V1063" s="200"/>
      <c r="W1063" s="200"/>
      <c r="X1063" s="200"/>
      <c r="Y1063" s="200"/>
      <c r="Z1063" s="200"/>
      <c r="AA1063" s="200"/>
      <c r="AB1063" s="200"/>
      <c r="AC1063" s="200"/>
      <c r="AD1063" s="200"/>
      <c r="AE1063" s="200"/>
      <c r="AF1063" s="200"/>
      <c r="AG1063" s="200"/>
      <c r="AH1063" s="200"/>
      <c r="AI1063" s="200"/>
      <c r="AJ1063" s="200"/>
      <c r="AK1063" s="200"/>
      <c r="AL1063" s="200"/>
      <c r="AM1063" s="200"/>
      <c r="AN1063" s="200"/>
      <c r="AO1063" s="200"/>
      <c r="AP1063" s="200"/>
      <c r="AQ1063" s="200"/>
      <c r="AR1063" s="200"/>
      <c r="AS1063" s="200"/>
      <c r="AT1063" s="200"/>
      <c r="AU1063" s="200"/>
      <c r="AV1063" s="200"/>
      <c r="AW1063" s="200"/>
      <c r="AX1063" s="200"/>
      <c r="AY1063" s="200"/>
      <c r="AZ1063" s="200"/>
      <c r="BA1063" s="200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</row>
    <row r="1064" spans="1:70" ht="13.8">
      <c r="A1064" s="1"/>
      <c r="B1064" s="1"/>
      <c r="C1064" s="200"/>
      <c r="D1064" s="200"/>
      <c r="E1064" s="200"/>
      <c r="F1064" s="200"/>
      <c r="G1064" s="200"/>
      <c r="H1064" s="200"/>
      <c r="I1064" s="200"/>
      <c r="J1064" s="200"/>
      <c r="K1064" s="200"/>
      <c r="L1064" s="200"/>
      <c r="M1064" s="200"/>
      <c r="N1064" s="200"/>
      <c r="O1064" s="200"/>
      <c r="P1064" s="200"/>
      <c r="Q1064" s="200"/>
      <c r="R1064" s="200"/>
      <c r="S1064" s="200"/>
      <c r="T1064" s="200"/>
      <c r="U1064" s="200"/>
      <c r="V1064" s="200"/>
      <c r="W1064" s="200"/>
      <c r="X1064" s="200"/>
      <c r="Y1064" s="200"/>
      <c r="Z1064" s="200"/>
      <c r="AA1064" s="200"/>
      <c r="AB1064" s="200"/>
      <c r="AC1064" s="200"/>
      <c r="AD1064" s="200"/>
      <c r="AE1064" s="200"/>
      <c r="AF1064" s="200"/>
      <c r="AG1064" s="200"/>
      <c r="AH1064" s="200"/>
      <c r="AI1064" s="200"/>
      <c r="AJ1064" s="200"/>
      <c r="AK1064" s="200"/>
      <c r="AL1064" s="200"/>
      <c r="AM1064" s="200"/>
      <c r="AN1064" s="200"/>
      <c r="AO1064" s="200"/>
      <c r="AP1064" s="200"/>
      <c r="AQ1064" s="200"/>
      <c r="AR1064" s="200"/>
      <c r="AS1064" s="200"/>
      <c r="AT1064" s="200"/>
      <c r="AU1064" s="200"/>
      <c r="AV1064" s="200"/>
      <c r="AW1064" s="200"/>
      <c r="AX1064" s="200"/>
      <c r="AY1064" s="200"/>
      <c r="AZ1064" s="200"/>
      <c r="BA1064" s="200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</row>
    <row r="1065" spans="1:70" ht="13.8">
      <c r="A1065" s="1"/>
      <c r="B1065" s="1"/>
      <c r="C1065" s="200"/>
      <c r="D1065" s="200"/>
      <c r="E1065" s="200"/>
      <c r="F1065" s="200"/>
      <c r="G1065" s="200"/>
      <c r="H1065" s="200"/>
      <c r="I1065" s="200"/>
      <c r="J1065" s="200"/>
      <c r="K1065" s="200"/>
      <c r="L1065" s="200"/>
      <c r="M1065" s="200"/>
      <c r="N1065" s="200"/>
      <c r="O1065" s="200"/>
      <c r="P1065" s="200"/>
      <c r="Q1065" s="200"/>
      <c r="R1065" s="200"/>
      <c r="S1065" s="200"/>
      <c r="T1065" s="200"/>
      <c r="U1065" s="200"/>
      <c r="V1065" s="200"/>
      <c r="W1065" s="200"/>
      <c r="X1065" s="200"/>
      <c r="Y1065" s="200"/>
      <c r="Z1065" s="200"/>
      <c r="AA1065" s="200"/>
      <c r="AB1065" s="200"/>
      <c r="AC1065" s="200"/>
      <c r="AD1065" s="200"/>
      <c r="AE1065" s="200"/>
      <c r="AF1065" s="200"/>
      <c r="AG1065" s="200"/>
      <c r="AH1065" s="200"/>
      <c r="AI1065" s="200"/>
      <c r="AJ1065" s="200"/>
      <c r="AK1065" s="200"/>
      <c r="AL1065" s="200"/>
      <c r="AM1065" s="200"/>
      <c r="AN1065" s="200"/>
      <c r="AO1065" s="200"/>
      <c r="AP1065" s="200"/>
      <c r="AQ1065" s="200"/>
      <c r="AR1065" s="200"/>
      <c r="AS1065" s="200"/>
      <c r="AT1065" s="200"/>
      <c r="AU1065" s="200"/>
      <c r="AV1065" s="200"/>
      <c r="AW1065" s="200"/>
      <c r="AX1065" s="200"/>
      <c r="AY1065" s="200"/>
      <c r="AZ1065" s="200"/>
      <c r="BA1065" s="200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</row>
    <row r="1066" spans="1:70" ht="13.8">
      <c r="A1066" s="1"/>
      <c r="B1066" s="1"/>
      <c r="C1066" s="200"/>
      <c r="D1066" s="200"/>
      <c r="E1066" s="200"/>
      <c r="F1066" s="200"/>
      <c r="G1066" s="200"/>
      <c r="H1066" s="200"/>
      <c r="I1066" s="200"/>
      <c r="J1066" s="200"/>
      <c r="K1066" s="200"/>
      <c r="L1066" s="200"/>
      <c r="M1066" s="200"/>
      <c r="N1066" s="200"/>
      <c r="O1066" s="200"/>
      <c r="P1066" s="200"/>
      <c r="Q1066" s="200"/>
      <c r="R1066" s="200"/>
      <c r="S1066" s="200"/>
      <c r="T1066" s="200"/>
      <c r="U1066" s="200"/>
      <c r="V1066" s="200"/>
      <c r="W1066" s="200"/>
      <c r="X1066" s="200"/>
      <c r="Y1066" s="200"/>
      <c r="Z1066" s="200"/>
      <c r="AA1066" s="200"/>
      <c r="AB1066" s="200"/>
      <c r="AC1066" s="200"/>
      <c r="AD1066" s="200"/>
      <c r="AE1066" s="200"/>
      <c r="AF1066" s="200"/>
      <c r="AG1066" s="200"/>
      <c r="AH1066" s="200"/>
      <c r="AI1066" s="200"/>
      <c r="AJ1066" s="200"/>
      <c r="AK1066" s="200"/>
      <c r="AL1066" s="200"/>
      <c r="AM1066" s="200"/>
      <c r="AN1066" s="200"/>
      <c r="AO1066" s="200"/>
      <c r="AP1066" s="200"/>
      <c r="AQ1066" s="200"/>
      <c r="AR1066" s="200"/>
      <c r="AS1066" s="200"/>
      <c r="AT1066" s="200"/>
      <c r="AU1066" s="200"/>
      <c r="AV1066" s="200"/>
      <c r="AW1066" s="200"/>
      <c r="AX1066" s="200"/>
      <c r="AY1066" s="200"/>
      <c r="AZ1066" s="200"/>
      <c r="BA1066" s="200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</row>
    <row r="1067" spans="1:70" ht="13.8">
      <c r="A1067" s="1"/>
      <c r="B1067" s="1"/>
      <c r="C1067" s="200"/>
      <c r="D1067" s="200"/>
      <c r="E1067" s="200"/>
      <c r="F1067" s="200"/>
      <c r="G1067" s="200"/>
      <c r="H1067" s="200"/>
      <c r="I1067" s="200"/>
      <c r="J1067" s="200"/>
      <c r="K1067" s="200"/>
      <c r="L1067" s="200"/>
      <c r="M1067" s="200"/>
      <c r="N1067" s="200"/>
      <c r="O1067" s="200"/>
      <c r="P1067" s="200"/>
      <c r="Q1067" s="200"/>
      <c r="R1067" s="200"/>
      <c r="S1067" s="200"/>
      <c r="T1067" s="200"/>
      <c r="U1067" s="200"/>
      <c r="V1067" s="200"/>
      <c r="W1067" s="200"/>
      <c r="X1067" s="200"/>
      <c r="Y1067" s="200"/>
      <c r="Z1067" s="200"/>
      <c r="AA1067" s="200"/>
      <c r="AB1067" s="200"/>
      <c r="AC1067" s="200"/>
      <c r="AD1067" s="200"/>
      <c r="AE1067" s="200"/>
      <c r="AF1067" s="200"/>
      <c r="AG1067" s="200"/>
      <c r="AH1067" s="200"/>
      <c r="AI1067" s="200"/>
      <c r="AJ1067" s="200"/>
      <c r="AK1067" s="200"/>
      <c r="AL1067" s="200"/>
      <c r="AM1067" s="200"/>
      <c r="AN1067" s="200"/>
      <c r="AO1067" s="200"/>
      <c r="AP1067" s="200"/>
      <c r="AQ1067" s="200"/>
      <c r="AR1067" s="200"/>
      <c r="AS1067" s="200"/>
      <c r="AT1067" s="200"/>
      <c r="AU1067" s="200"/>
      <c r="AV1067" s="200"/>
      <c r="AW1067" s="200"/>
      <c r="AX1067" s="200"/>
      <c r="AY1067" s="200"/>
      <c r="AZ1067" s="200"/>
      <c r="BA1067" s="200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</row>
    <row r="1068" spans="1:70" ht="13.8">
      <c r="A1068" s="1"/>
      <c r="B1068" s="1"/>
      <c r="C1068" s="200"/>
      <c r="D1068" s="200"/>
      <c r="E1068" s="200"/>
      <c r="F1068" s="200"/>
      <c r="G1068" s="200"/>
      <c r="H1068" s="200"/>
      <c r="I1068" s="200"/>
      <c r="J1068" s="200"/>
      <c r="K1068" s="200"/>
      <c r="L1068" s="200"/>
      <c r="M1068" s="200"/>
      <c r="N1068" s="200"/>
      <c r="O1068" s="200"/>
      <c r="P1068" s="200"/>
      <c r="Q1068" s="200"/>
      <c r="R1068" s="200"/>
      <c r="S1068" s="200"/>
      <c r="T1068" s="200"/>
      <c r="U1068" s="200"/>
      <c r="V1068" s="200"/>
      <c r="W1068" s="200"/>
      <c r="X1068" s="200"/>
      <c r="Y1068" s="200"/>
      <c r="Z1068" s="200"/>
      <c r="AA1068" s="200"/>
      <c r="AB1068" s="200"/>
      <c r="AC1068" s="200"/>
      <c r="AD1068" s="200"/>
      <c r="AE1068" s="200"/>
      <c r="AF1068" s="200"/>
      <c r="AG1068" s="200"/>
      <c r="AH1068" s="200"/>
      <c r="AI1068" s="200"/>
      <c r="AJ1068" s="200"/>
      <c r="AK1068" s="200"/>
      <c r="AL1068" s="200"/>
      <c r="AM1068" s="200"/>
      <c r="AN1068" s="200"/>
      <c r="AO1068" s="200"/>
      <c r="AP1068" s="200"/>
      <c r="AQ1068" s="200"/>
      <c r="AR1068" s="200"/>
      <c r="AS1068" s="200"/>
      <c r="AT1068" s="200"/>
      <c r="AU1068" s="200"/>
      <c r="AV1068" s="200"/>
      <c r="AW1068" s="200"/>
      <c r="AX1068" s="200"/>
      <c r="AY1068" s="200"/>
      <c r="AZ1068" s="200"/>
      <c r="BA1068" s="200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</row>
    <row r="1069" spans="1:70" ht="13.8">
      <c r="A1069" s="1"/>
      <c r="B1069" s="1"/>
      <c r="C1069" s="200"/>
      <c r="D1069" s="200"/>
      <c r="E1069" s="200"/>
      <c r="F1069" s="200"/>
      <c r="G1069" s="200"/>
      <c r="H1069" s="200"/>
      <c r="I1069" s="200"/>
      <c r="J1069" s="200"/>
      <c r="K1069" s="200"/>
      <c r="L1069" s="200"/>
      <c r="M1069" s="200"/>
      <c r="N1069" s="200"/>
      <c r="O1069" s="200"/>
      <c r="P1069" s="200"/>
      <c r="Q1069" s="200"/>
      <c r="R1069" s="200"/>
      <c r="S1069" s="200"/>
      <c r="T1069" s="200"/>
      <c r="U1069" s="200"/>
      <c r="V1069" s="200"/>
      <c r="W1069" s="200"/>
      <c r="X1069" s="200"/>
      <c r="Y1069" s="200"/>
      <c r="Z1069" s="200"/>
      <c r="AA1069" s="200"/>
      <c r="AB1069" s="200"/>
      <c r="AC1069" s="200"/>
      <c r="AD1069" s="200"/>
      <c r="AE1069" s="200"/>
      <c r="AF1069" s="200"/>
      <c r="AG1069" s="200"/>
      <c r="AH1069" s="200"/>
      <c r="AI1069" s="200"/>
      <c r="AJ1069" s="200"/>
      <c r="AK1069" s="200"/>
      <c r="AL1069" s="200"/>
      <c r="AM1069" s="200"/>
      <c r="AN1069" s="200"/>
      <c r="AO1069" s="200"/>
      <c r="AP1069" s="200"/>
      <c r="AQ1069" s="200"/>
      <c r="AR1069" s="200"/>
      <c r="AS1069" s="200"/>
      <c r="AT1069" s="200"/>
      <c r="AU1069" s="200"/>
      <c r="AV1069" s="200"/>
      <c r="AW1069" s="200"/>
      <c r="AX1069" s="200"/>
      <c r="AY1069" s="200"/>
      <c r="AZ1069" s="200"/>
      <c r="BA1069" s="200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</row>
    <row r="1070" spans="1:70" ht="13.8">
      <c r="A1070" s="1"/>
      <c r="B1070" s="1"/>
      <c r="C1070" s="200"/>
      <c r="D1070" s="200"/>
      <c r="E1070" s="200"/>
      <c r="F1070" s="200"/>
      <c r="G1070" s="200"/>
      <c r="H1070" s="200"/>
      <c r="I1070" s="200"/>
      <c r="J1070" s="200"/>
      <c r="K1070" s="200"/>
      <c r="L1070" s="200"/>
      <c r="M1070" s="200"/>
      <c r="N1070" s="200"/>
      <c r="O1070" s="200"/>
      <c r="P1070" s="200"/>
      <c r="Q1070" s="200"/>
      <c r="R1070" s="200"/>
      <c r="S1070" s="200"/>
      <c r="T1070" s="200"/>
      <c r="U1070" s="200"/>
      <c r="V1070" s="200"/>
      <c r="W1070" s="200"/>
      <c r="X1070" s="200"/>
      <c r="Y1070" s="200"/>
      <c r="Z1070" s="200"/>
      <c r="AA1070" s="200"/>
      <c r="AB1070" s="200"/>
      <c r="AC1070" s="200"/>
      <c r="AD1070" s="200"/>
      <c r="AE1070" s="200"/>
      <c r="AF1070" s="200"/>
      <c r="AG1070" s="200"/>
      <c r="AH1070" s="200"/>
      <c r="AI1070" s="200"/>
      <c r="AJ1070" s="200"/>
      <c r="AK1070" s="200"/>
      <c r="AL1070" s="200"/>
      <c r="AM1070" s="200"/>
      <c r="AN1070" s="200"/>
      <c r="AO1070" s="200"/>
      <c r="AP1070" s="200"/>
      <c r="AQ1070" s="200"/>
      <c r="AR1070" s="200"/>
      <c r="AS1070" s="200"/>
      <c r="AT1070" s="200"/>
      <c r="AU1070" s="200"/>
      <c r="AV1070" s="200"/>
      <c r="AW1070" s="200"/>
      <c r="AX1070" s="200"/>
      <c r="AY1070" s="200"/>
      <c r="AZ1070" s="200"/>
      <c r="BA1070" s="200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</row>
    <row r="1071" spans="1:70" ht="13.8">
      <c r="A1071" s="1"/>
      <c r="B1071" s="1"/>
      <c r="C1071" s="200"/>
      <c r="D1071" s="200"/>
      <c r="E1071" s="200"/>
      <c r="F1071" s="200"/>
      <c r="G1071" s="200"/>
      <c r="H1071" s="200"/>
      <c r="I1071" s="200"/>
      <c r="J1071" s="200"/>
      <c r="K1071" s="200"/>
      <c r="L1071" s="200"/>
      <c r="M1071" s="200"/>
      <c r="N1071" s="200"/>
      <c r="O1071" s="200"/>
      <c r="P1071" s="200"/>
      <c r="Q1071" s="200"/>
      <c r="R1071" s="200"/>
      <c r="S1071" s="200"/>
      <c r="T1071" s="200"/>
      <c r="U1071" s="200"/>
      <c r="V1071" s="200"/>
      <c r="W1071" s="200"/>
      <c r="X1071" s="200"/>
      <c r="Y1071" s="200"/>
      <c r="Z1071" s="200"/>
      <c r="AA1071" s="200"/>
      <c r="AB1071" s="200"/>
      <c r="AC1071" s="200"/>
      <c r="AD1071" s="200"/>
      <c r="AE1071" s="200"/>
      <c r="AF1071" s="200"/>
      <c r="AG1071" s="200"/>
      <c r="AH1071" s="200"/>
      <c r="AI1071" s="200"/>
      <c r="AJ1071" s="200"/>
      <c r="AK1071" s="200"/>
      <c r="AL1071" s="200"/>
      <c r="AM1071" s="200"/>
      <c r="AN1071" s="200"/>
      <c r="AO1071" s="200"/>
      <c r="AP1071" s="200"/>
      <c r="AQ1071" s="200"/>
      <c r="AR1071" s="200"/>
      <c r="AS1071" s="200"/>
      <c r="AT1071" s="200"/>
      <c r="AU1071" s="200"/>
      <c r="AV1071" s="200"/>
      <c r="AW1071" s="200"/>
      <c r="AX1071" s="200"/>
      <c r="AY1071" s="200"/>
      <c r="AZ1071" s="200"/>
      <c r="BA1071" s="200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</row>
    <row r="1072" spans="1:70" ht="13.8">
      <c r="A1072" s="1"/>
      <c r="B1072" s="1"/>
      <c r="C1072" s="200"/>
      <c r="D1072" s="200"/>
      <c r="E1072" s="200"/>
      <c r="F1072" s="200"/>
      <c r="G1072" s="200"/>
      <c r="H1072" s="200"/>
      <c r="I1072" s="200"/>
      <c r="J1072" s="200"/>
      <c r="K1072" s="200"/>
      <c r="L1072" s="200"/>
      <c r="M1072" s="200"/>
      <c r="N1072" s="200"/>
      <c r="O1072" s="200"/>
      <c r="P1072" s="200"/>
      <c r="Q1072" s="200"/>
      <c r="R1072" s="200"/>
      <c r="S1072" s="200"/>
      <c r="T1072" s="200"/>
      <c r="U1072" s="200"/>
      <c r="V1072" s="200"/>
      <c r="W1072" s="200"/>
      <c r="X1072" s="200"/>
      <c r="Y1072" s="200"/>
      <c r="Z1072" s="200"/>
      <c r="AA1072" s="200"/>
      <c r="AB1072" s="200"/>
      <c r="AC1072" s="200"/>
      <c r="AD1072" s="200"/>
      <c r="AE1072" s="200"/>
      <c r="AF1072" s="200"/>
      <c r="AG1072" s="200"/>
      <c r="AH1072" s="200"/>
      <c r="AI1072" s="200"/>
      <c r="AJ1072" s="200"/>
      <c r="AK1072" s="200"/>
      <c r="AL1072" s="200"/>
      <c r="AM1072" s="200"/>
      <c r="AN1072" s="200"/>
      <c r="AO1072" s="200"/>
      <c r="AP1072" s="200"/>
      <c r="AQ1072" s="200"/>
      <c r="AR1072" s="200"/>
      <c r="AS1072" s="200"/>
      <c r="AT1072" s="200"/>
      <c r="AU1072" s="200"/>
      <c r="AV1072" s="200"/>
      <c r="AW1072" s="200"/>
      <c r="AX1072" s="200"/>
      <c r="AY1072" s="200"/>
      <c r="AZ1072" s="200"/>
      <c r="BA1072" s="200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</row>
    <row r="1073" spans="1:70" ht="13.8">
      <c r="A1073" s="1"/>
      <c r="B1073" s="1"/>
      <c r="C1073" s="200"/>
      <c r="D1073" s="200"/>
      <c r="E1073" s="200"/>
      <c r="F1073" s="200"/>
      <c r="G1073" s="200"/>
      <c r="H1073" s="200"/>
      <c r="I1073" s="200"/>
      <c r="J1073" s="200"/>
      <c r="K1073" s="200"/>
      <c r="L1073" s="200"/>
      <c r="M1073" s="200"/>
      <c r="N1073" s="200"/>
      <c r="O1073" s="200"/>
      <c r="P1073" s="200"/>
      <c r="Q1073" s="200"/>
      <c r="R1073" s="200"/>
      <c r="S1073" s="200"/>
      <c r="T1073" s="200"/>
      <c r="U1073" s="200"/>
      <c r="V1073" s="200"/>
      <c r="W1073" s="200"/>
      <c r="X1073" s="200"/>
      <c r="Y1073" s="200"/>
      <c r="Z1073" s="200"/>
      <c r="AA1073" s="200"/>
      <c r="AB1073" s="200"/>
      <c r="AC1073" s="200"/>
      <c r="AD1073" s="200"/>
      <c r="AE1073" s="200"/>
      <c r="AF1073" s="200"/>
      <c r="AG1073" s="200"/>
      <c r="AH1073" s="200"/>
      <c r="AI1073" s="200"/>
      <c r="AJ1073" s="200"/>
      <c r="AK1073" s="200"/>
      <c r="AL1073" s="200"/>
      <c r="AM1073" s="200"/>
      <c r="AN1073" s="200"/>
      <c r="AO1073" s="200"/>
      <c r="AP1073" s="200"/>
      <c r="AQ1073" s="200"/>
      <c r="AR1073" s="200"/>
      <c r="AS1073" s="200"/>
      <c r="AT1073" s="200"/>
      <c r="AU1073" s="200"/>
      <c r="AV1073" s="200"/>
      <c r="AW1073" s="200"/>
      <c r="AX1073" s="200"/>
      <c r="AY1073" s="200"/>
      <c r="AZ1073" s="200"/>
      <c r="BA1073" s="200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</row>
    <row r="1074" spans="1:70" ht="13.8">
      <c r="A1074" s="1"/>
      <c r="B1074" s="1"/>
      <c r="C1074" s="200"/>
      <c r="D1074" s="200"/>
      <c r="E1074" s="200"/>
      <c r="F1074" s="200"/>
      <c r="G1074" s="200"/>
      <c r="H1074" s="200"/>
      <c r="I1074" s="200"/>
      <c r="J1074" s="200"/>
      <c r="K1074" s="200"/>
      <c r="L1074" s="200"/>
      <c r="M1074" s="200"/>
      <c r="N1074" s="200"/>
      <c r="O1074" s="200"/>
      <c r="P1074" s="200"/>
      <c r="Q1074" s="200"/>
      <c r="R1074" s="200"/>
      <c r="S1074" s="200"/>
      <c r="T1074" s="200"/>
      <c r="U1074" s="200"/>
      <c r="V1074" s="200"/>
      <c r="W1074" s="200"/>
      <c r="X1074" s="200"/>
      <c r="Y1074" s="200"/>
      <c r="Z1074" s="200"/>
      <c r="AA1074" s="200"/>
      <c r="AB1074" s="200"/>
      <c r="AC1074" s="200"/>
      <c r="AD1074" s="200"/>
      <c r="AE1074" s="200"/>
      <c r="AF1074" s="200"/>
      <c r="AG1074" s="200"/>
      <c r="AH1074" s="200"/>
      <c r="AI1074" s="200"/>
      <c r="AJ1074" s="200"/>
      <c r="AK1074" s="200"/>
      <c r="AL1074" s="200"/>
      <c r="AM1074" s="200"/>
      <c r="AN1074" s="200"/>
      <c r="AO1074" s="200"/>
      <c r="AP1074" s="200"/>
      <c r="AQ1074" s="200"/>
      <c r="AR1074" s="200"/>
      <c r="AS1074" s="200"/>
      <c r="AT1074" s="200"/>
      <c r="AU1074" s="200"/>
      <c r="AV1074" s="200"/>
      <c r="AW1074" s="200"/>
      <c r="AX1074" s="200"/>
      <c r="AY1074" s="200"/>
      <c r="AZ1074" s="200"/>
      <c r="BA1074" s="200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</row>
    <row r="1075" spans="1:70" ht="13.8">
      <c r="A1075" s="1"/>
      <c r="B1075" s="1"/>
      <c r="C1075" s="200"/>
      <c r="D1075" s="200"/>
      <c r="E1075" s="200"/>
      <c r="F1075" s="200"/>
      <c r="G1075" s="200"/>
      <c r="H1075" s="200"/>
      <c r="I1075" s="200"/>
      <c r="J1075" s="200"/>
      <c r="K1075" s="200"/>
      <c r="L1075" s="200"/>
      <c r="M1075" s="200"/>
      <c r="N1075" s="200"/>
      <c r="O1075" s="200"/>
      <c r="P1075" s="200"/>
      <c r="Q1075" s="200"/>
      <c r="R1075" s="200"/>
      <c r="S1075" s="200"/>
      <c r="T1075" s="200"/>
      <c r="U1075" s="200"/>
      <c r="V1075" s="200"/>
      <c r="W1075" s="200"/>
      <c r="X1075" s="200"/>
      <c r="Y1075" s="200"/>
      <c r="Z1075" s="200"/>
      <c r="AA1075" s="200"/>
      <c r="AB1075" s="200"/>
      <c r="AC1075" s="200"/>
      <c r="AD1075" s="200"/>
      <c r="AE1075" s="200"/>
      <c r="AF1075" s="200"/>
      <c r="AG1075" s="200"/>
      <c r="AH1075" s="200"/>
      <c r="AI1075" s="200"/>
      <c r="AJ1075" s="200"/>
      <c r="AK1075" s="200"/>
      <c r="AL1075" s="200"/>
      <c r="AM1075" s="200"/>
      <c r="AN1075" s="200"/>
      <c r="AO1075" s="200"/>
      <c r="AP1075" s="200"/>
      <c r="AQ1075" s="200"/>
      <c r="AR1075" s="200"/>
      <c r="AS1075" s="200"/>
      <c r="AT1075" s="200"/>
      <c r="AU1075" s="200"/>
      <c r="AV1075" s="200"/>
      <c r="AW1075" s="200"/>
      <c r="AX1075" s="200"/>
      <c r="AY1075" s="200"/>
      <c r="AZ1075" s="200"/>
      <c r="BA1075" s="200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</row>
    <row r="1076" spans="1:70" ht="13.8">
      <c r="A1076" s="1"/>
      <c r="B1076" s="1"/>
      <c r="C1076" s="200"/>
      <c r="D1076" s="200"/>
      <c r="E1076" s="200"/>
      <c r="F1076" s="200"/>
      <c r="G1076" s="200"/>
      <c r="H1076" s="200"/>
      <c r="I1076" s="200"/>
      <c r="J1076" s="200"/>
      <c r="K1076" s="200"/>
      <c r="L1076" s="200"/>
      <c r="M1076" s="200"/>
      <c r="N1076" s="200"/>
      <c r="O1076" s="200"/>
      <c r="P1076" s="200"/>
      <c r="Q1076" s="200"/>
      <c r="R1076" s="200"/>
      <c r="S1076" s="200"/>
      <c r="T1076" s="200"/>
      <c r="U1076" s="200"/>
      <c r="V1076" s="200"/>
      <c r="W1076" s="200"/>
      <c r="X1076" s="200"/>
      <c r="Y1076" s="200"/>
      <c r="Z1076" s="200"/>
      <c r="AA1076" s="200"/>
      <c r="AB1076" s="200"/>
      <c r="AC1076" s="200"/>
      <c r="AD1076" s="200"/>
      <c r="AE1076" s="200"/>
      <c r="AF1076" s="200"/>
      <c r="AG1076" s="200"/>
      <c r="AH1076" s="200"/>
      <c r="AI1076" s="200"/>
      <c r="AJ1076" s="200"/>
      <c r="AK1076" s="200"/>
      <c r="AL1076" s="200"/>
      <c r="AM1076" s="200"/>
      <c r="AN1076" s="200"/>
      <c r="AO1076" s="200"/>
      <c r="AP1076" s="200"/>
      <c r="AQ1076" s="200"/>
      <c r="AR1076" s="200"/>
      <c r="AS1076" s="200"/>
      <c r="AT1076" s="200"/>
      <c r="AU1076" s="200"/>
      <c r="AV1076" s="200"/>
      <c r="AW1076" s="200"/>
      <c r="AX1076" s="200"/>
      <c r="AY1076" s="200"/>
      <c r="AZ1076" s="200"/>
      <c r="BA1076" s="200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</row>
    <row r="1077" spans="1:70" ht="13.8">
      <c r="A1077" s="1"/>
      <c r="B1077" s="1"/>
      <c r="C1077" s="200"/>
      <c r="D1077" s="200"/>
      <c r="E1077" s="200"/>
      <c r="F1077" s="200"/>
      <c r="G1077" s="200"/>
      <c r="H1077" s="200"/>
      <c r="I1077" s="200"/>
      <c r="J1077" s="200"/>
      <c r="K1077" s="200"/>
      <c r="L1077" s="200"/>
      <c r="M1077" s="200"/>
      <c r="N1077" s="200"/>
      <c r="O1077" s="200"/>
      <c r="P1077" s="200"/>
      <c r="Q1077" s="200"/>
      <c r="R1077" s="200"/>
      <c r="S1077" s="200"/>
      <c r="T1077" s="200"/>
      <c r="U1077" s="200"/>
      <c r="V1077" s="200"/>
      <c r="W1077" s="200"/>
      <c r="X1077" s="200"/>
      <c r="Y1077" s="200"/>
      <c r="Z1077" s="200"/>
      <c r="AA1077" s="200"/>
      <c r="AB1077" s="200"/>
      <c r="AC1077" s="200"/>
      <c r="AD1077" s="200"/>
      <c r="AE1077" s="200"/>
      <c r="AF1077" s="200"/>
      <c r="AG1077" s="200"/>
      <c r="AH1077" s="200"/>
      <c r="AI1077" s="200"/>
      <c r="AJ1077" s="200"/>
      <c r="AK1077" s="200"/>
      <c r="AL1077" s="200"/>
      <c r="AM1077" s="200"/>
      <c r="AN1077" s="200"/>
      <c r="AO1077" s="200"/>
      <c r="AP1077" s="200"/>
      <c r="AQ1077" s="200"/>
      <c r="AR1077" s="200"/>
      <c r="AS1077" s="200"/>
      <c r="AT1077" s="200"/>
      <c r="AU1077" s="200"/>
      <c r="AV1077" s="200"/>
      <c r="AW1077" s="200"/>
      <c r="AX1077" s="200"/>
      <c r="AY1077" s="200"/>
      <c r="AZ1077" s="200"/>
      <c r="BA1077" s="200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</row>
  </sheetData>
  <mergeCells count="4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M1"/>
    <mergeCell ref="N1:P1"/>
    <mergeCell ref="Q1:S1"/>
    <mergeCell ref="T1:T2"/>
    <mergeCell ref="V1:V2"/>
    <mergeCell ref="W1:Y1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Q170:AS170"/>
    <mergeCell ref="AZ1:AZ2"/>
    <mergeCell ref="BA1:BA2"/>
    <mergeCell ref="AS1:AS2"/>
    <mergeCell ref="AT1:AT2"/>
    <mergeCell ref="AU1:AU2"/>
    <mergeCell ref="AV1:AV2"/>
    <mergeCell ref="AW1:AW2"/>
    <mergeCell ref="AX1:AX2"/>
    <mergeCell ref="AY1:AY2"/>
  </mergeCells>
  <pageMargins left="0.7" right="0.7" top="0.75" bottom="0.75" header="0.3" footer="0.3"/>
  <tableParts count="3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квітень</vt:lpstr>
      <vt:lpstr>травень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2026-06-12T17:23:31Z</dcterms:modified>
</cp:coreProperties>
</file>